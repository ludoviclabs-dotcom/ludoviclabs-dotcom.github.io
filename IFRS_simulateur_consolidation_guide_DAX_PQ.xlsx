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3" activeTab="36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GUIDE_DÉMARRAGE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MODE_OPERATOIRE_DAX_PQ" sheetId="4" state="visible" r:id="rId4"/>
    <sheet xmlns:r="http://schemas.openxmlformats.org/officeDocument/2006/relationships" name="Méthodologie &amp; Pédagogie" sheetId="5" state="visible" r:id="rId5"/>
    <sheet xmlns:r="http://schemas.openxmlformats.org/officeDocument/2006/relationships" name="FR_ParentCo" sheetId="6" state="visible" r:id="rId6"/>
    <sheet xmlns:r="http://schemas.openxmlformats.org/officeDocument/2006/relationships" name="DE_Filiale" sheetId="7" state="visible" r:id="rId7"/>
    <sheet xmlns:r="http://schemas.openxmlformats.org/officeDocument/2006/relationships" name="UK_Filiale" sheetId="8" state="visible" r:id="rId8"/>
    <sheet xmlns:r="http://schemas.openxmlformats.org/officeDocument/2006/relationships" name="US_Filiale" sheetId="9" state="visible" r:id="rId9"/>
    <sheet xmlns:r="http://schemas.openxmlformats.org/officeDocument/2006/relationships" name="SG_Filiale" sheetId="10" state="visible" r:id="rId10"/>
    <sheet xmlns:r="http://schemas.openxmlformats.org/officeDocument/2006/relationships" name="ELIM" sheetId="11" state="visible" r:id="rId11"/>
    <sheet xmlns:r="http://schemas.openxmlformats.org/officeDocument/2006/relationships" name="CONSOL_BILAN" sheetId="12" state="visible" r:id="rId12"/>
    <sheet xmlns:r="http://schemas.openxmlformats.org/officeDocument/2006/relationships" name="CONSOL_CR" sheetId="13" state="visible" r:id="rId13"/>
    <sheet xmlns:r="http://schemas.openxmlformats.org/officeDocument/2006/relationships" name="CONSOL_TRESORERIE" sheetId="14" state="visible" r:id="rId14"/>
    <sheet xmlns:r="http://schemas.openxmlformats.org/officeDocument/2006/relationships" name="IFRS18_MAPPING" sheetId="15" state="visible" r:id="rId15"/>
    <sheet xmlns:r="http://schemas.openxmlformats.org/officeDocument/2006/relationships" name="NOTES_IFRS" sheetId="16" state="visible" r:id="rId16"/>
    <sheet xmlns:r="http://schemas.openxmlformats.org/officeDocument/2006/relationships" name="ESG_DATA" sheetId="17" state="visible" r:id="rId17"/>
    <sheet xmlns:r="http://schemas.openxmlformats.org/officeDocument/2006/relationships" name="CSRD_RAPPORT" sheetId="18" state="visible" r:id="rId18"/>
    <sheet xmlns:r="http://schemas.openxmlformats.org/officeDocument/2006/relationships" name="DASHBOARD_FIN" sheetId="19" state="visible" r:id="rId19"/>
    <sheet xmlns:r="http://schemas.openxmlformats.org/officeDocument/2006/relationships" name="DASHBOARD_ESG" sheetId="20" state="visible" r:id="rId20"/>
    <sheet xmlns:r="http://schemas.openxmlformats.org/officeDocument/2006/relationships" name="SRC_FR" sheetId="21" state="visible" r:id="rId21"/>
    <sheet xmlns:r="http://schemas.openxmlformats.org/officeDocument/2006/relationships" name="SRC_DE" sheetId="22" state="visible" r:id="rId22"/>
    <sheet xmlns:r="http://schemas.openxmlformats.org/officeDocument/2006/relationships" name="SRC_UK" sheetId="23" state="visible" r:id="rId23"/>
    <sheet xmlns:r="http://schemas.openxmlformats.org/officeDocument/2006/relationships" name="SRC_US" sheetId="24" state="visible" r:id="rId24"/>
    <sheet xmlns:r="http://schemas.openxmlformats.org/officeDocument/2006/relationships" name="SRC_SG" sheetId="25" state="visible" r:id="rId25"/>
    <sheet xmlns:r="http://schemas.openxmlformats.org/officeDocument/2006/relationships" name="PQ_MAPPING" sheetId="26" state="visible" r:id="rId26"/>
    <sheet xmlns:r="http://schemas.openxmlformats.org/officeDocument/2006/relationships" name="PQ_CODE" sheetId="27" state="visible" r:id="rId27"/>
    <sheet xmlns:r="http://schemas.openxmlformats.org/officeDocument/2006/relationships" name="BALANCES_PQ" sheetId="28" state="visible" r:id="rId28"/>
    <sheet xmlns:r="http://schemas.openxmlformats.org/officeDocument/2006/relationships" name="PQ_TAUX_CHANGE" sheetId="29" state="visible" r:id="rId29"/>
    <sheet xmlns:r="http://schemas.openxmlformats.org/officeDocument/2006/relationships" name="PQ_DETENTION" sheetId="30" state="visible" r:id="rId30"/>
    <sheet xmlns:r="http://schemas.openxmlformats.org/officeDocument/2006/relationships" name="PQ_ELIMINATIONS" sheetId="31" state="visible" r:id="rId31"/>
    <sheet xmlns:r="http://schemas.openxmlformats.org/officeDocument/2006/relationships" name="PQ_DAX_MESURES" sheetId="32" state="visible" r:id="rId32"/>
    <sheet xmlns:r="http://schemas.openxmlformats.org/officeDocument/2006/relationships" name="PQ_M_AVANCE" sheetId="33" state="visible" r:id="rId33"/>
    <sheet xmlns:r="http://schemas.openxmlformats.org/officeDocument/2006/relationships" name="FORMULES_LIAISON" sheetId="34" state="visible" r:id="rId34"/>
    <sheet xmlns:r="http://schemas.openxmlformats.org/officeDocument/2006/relationships" name="ESG_CARBONE" sheetId="35" state="visible" r:id="rId35"/>
    <sheet xmlns:r="http://schemas.openxmlformats.org/officeDocument/2006/relationships" name="ESG_DIVERSITE" sheetId="36" state="visible" r:id="rId36"/>
    <sheet xmlns:r="http://schemas.openxmlformats.org/officeDocument/2006/relationships" name="ESG_MAPPING" sheetId="37" state="visible" r:id="rId37"/>
    <sheet xmlns:r="http://schemas.openxmlformats.org/officeDocument/2006/relationships" name="ESG_DAX" sheetId="38" state="visible" r:id="rId38"/>
    <sheet xmlns:r="http://schemas.openxmlformats.org/officeDocument/2006/relationships" name="ESG_DASHBOARD_LINK" sheetId="39" state="visible" r:id="rId39"/>
    <sheet xmlns:r="http://schemas.openxmlformats.org/officeDocument/2006/relationships" name="DASHBOARD" sheetId="40" state="visible" r:id="rId40"/>
  </sheets>
  <definedNames>
    <definedName name="CA_Groupe">CONSOL_CR!$C$35</definedName>
    <definedName name="EBIT_Groupe">CONSOL_CR!$C$36</definedName>
    <definedName name="EBITDA_Groupe">CONSOL_CR!$C$38</definedName>
    <definedName name="Marge_EBIT_Groupe">CONSOL_CR!$C$37</definedName>
    <definedName name="Marge_EBITDA_Groupe">CONSOL_CR!$C$39</definedName>
    <definedName name="RN_Groupe">CONSOL_CR!$C$40</definedName>
    <definedName name="Taux_GBP_Cloture">PQ_TAUX_CHANGE!$F$6</definedName>
    <definedName name="Taux_SGD_Cloture">PQ_TAUX_CHANGE!$F$16</definedName>
    <definedName name="Taux_USD_Cloture">PQ_TAUX_CHANGE!$F$11</definedName>
  </definedNames>
  <calcPr calcId="191029" fullCalcOnLoad="1"/>
  <pivotCaches>
    <pivotCache xmlns:r="http://schemas.openxmlformats.org/officeDocument/2006/relationships" cacheId="0" r:id="rId41"/>
  </pivotCaches>
</workbook>
</file>

<file path=xl/styles.xml><?xml version="1.0" encoding="utf-8"?>
<styleSheet xmlns="http://schemas.openxmlformats.org/spreadsheetml/2006/main">
  <numFmts count="10">
    <numFmt numFmtId="164" formatCode="0.0%"/>
    <numFmt numFmtId="165" formatCode="#,##0;\(#,##0\);\-"/>
    <numFmt numFmtId="166" formatCode="0.0%;\(0.0%\);\-"/>
    <numFmt numFmtId="167" formatCode="0.0"/>
    <numFmt numFmtId="168" formatCode="0.0\x"/>
    <numFmt numFmtId="169" formatCode="#,##0;\(#,##0\)"/>
    <numFmt numFmtId="170" formatCode="0.0000"/>
    <numFmt numFmtId="171" formatCode="0.00&quot;x&quot;"/>
    <numFmt numFmtId="172" formatCode="#,##0;\(#,##0\);&quot;-&quot;"/>
    <numFmt numFmtId="173" formatCode="#,##0&quot; k€&quot;"/>
  </numFmts>
  <fonts count="15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color rgb="FFFFFFFF"/>
      <sz val="20"/>
    </font>
    <font>
      <name val="Aptos Narrow"/>
      <family val="2"/>
      <color rgb="FFBDC3C7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27AE60"/>
      <sz val="10"/>
      <scheme val="minor"/>
    </font>
    <font>
      <name val="Aptos Narrow"/>
      <family val="2"/>
      <b val="1"/>
      <color rgb="FF2980B9"/>
      <sz val="11"/>
      <scheme val="minor"/>
    </font>
    <font>
      <name val="Aptos Narrow"/>
      <family val="2"/>
      <b val="1"/>
      <color rgb="FF2980B9"/>
      <sz val="10"/>
      <scheme val="minor"/>
    </font>
    <font>
      <name val="Aptos Narrow"/>
      <family val="2"/>
      <b val="1"/>
      <color rgb="FFE67E22"/>
      <sz val="10"/>
      <scheme val="minor"/>
    </font>
    <font>
      <name val="Aptos Narrow"/>
      <family val="2"/>
      <b val="1"/>
      <color rgb="FF2C3E50"/>
      <sz val="10"/>
      <scheme val="minor"/>
    </font>
    <font>
      <name val="Aptos Narrow"/>
      <family val="2"/>
      <color rgb="FFBDC3C7"/>
      <sz val="9"/>
      <scheme val="minor"/>
    </font>
    <font>
      <name val="Aptos Narrow"/>
      <family val="2"/>
      <b val="1"/>
      <color rgb="FFFFFFFF"/>
      <sz val="13"/>
      <scheme val="minor"/>
    </font>
    <font>
      <name val="Aptos Narrow"/>
      <family val="2"/>
      <b val="1"/>
      <color rgb="FF1A252F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rgb="FFFFFFFF"/>
      <sz val="10"/>
      <scheme val="minor"/>
    </font>
    <font>
      <name val="Aptos Narrow"/>
      <family val="2"/>
      <color rgb="FF7F8C8D"/>
      <sz val="9"/>
      <scheme val="minor"/>
    </font>
    <font>
      <name val="Aptos Narrow"/>
      <family val="2"/>
      <b val="1"/>
      <color rgb="FFFFFFFF"/>
      <sz val="16"/>
      <scheme val="minor"/>
    </font>
    <font>
      <name val="Aptos Narrow"/>
      <family val="2"/>
      <b val="1"/>
      <color rgb="FF2C3E50"/>
      <sz val="12"/>
      <scheme val="minor"/>
    </font>
    <font>
      <name val="Aptos Narrow"/>
      <family val="2"/>
      <b val="1"/>
      <color rgb="FFFFFFFF"/>
      <sz val="10"/>
      <scheme val="minor"/>
    </font>
    <font>
      <name val="Aptos Narrow"/>
      <family val="2"/>
      <color rgb="FF1A252F"/>
      <sz val="10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1A252F"/>
      <sz val="10"/>
      <scheme val="minor"/>
    </font>
    <font>
      <name val="Aptos Narrow"/>
      <family val="2"/>
      <b val="1"/>
      <color rgb="FFF39C12"/>
      <sz val="11"/>
      <scheme val="minor"/>
    </font>
    <font>
      <name val="Aptos Narrow"/>
      <family val="2"/>
      <b val="1"/>
      <color rgb="FF1E8449"/>
      <sz val="11"/>
      <scheme val="minor"/>
    </font>
    <font>
      <name val="Aptos Narrow"/>
      <family val="2"/>
      <color rgb="FF2980B9"/>
      <sz val="9"/>
      <scheme val="minor"/>
    </font>
    <font>
      <name val="Aptos Narrow"/>
      <family val="2"/>
      <b val="1"/>
      <color rgb="FFF39C12"/>
      <sz val="12"/>
      <scheme val="minor"/>
    </font>
    <font>
      <name val="Aptos Narrow"/>
      <family val="2"/>
      <b val="1"/>
      <color rgb="FFF39C12"/>
      <sz val="10"/>
      <scheme val="minor"/>
    </font>
    <font>
      <name val="Aptos Narrow"/>
      <family val="2"/>
      <color rgb="FFF39C12"/>
      <sz val="10"/>
      <scheme val="minor"/>
    </font>
    <font>
      <name val="Aptos Narrow"/>
      <family val="2"/>
      <b val="1"/>
      <color rgb="FF1E8449"/>
      <sz val="10"/>
      <scheme val="minor"/>
    </font>
    <font>
      <name val="Aptos Narrow"/>
      <family val="2"/>
      <color rgb="FF1E8449"/>
      <sz val="10"/>
      <scheme val="minor"/>
    </font>
    <font>
      <name val="Aptos Narrow"/>
      <family val="2"/>
      <color rgb="FF2C3E50"/>
      <sz val="10"/>
      <scheme val="minor"/>
    </font>
    <font>
      <name val="Aptos Narrow"/>
      <family val="2"/>
      <b val="1"/>
      <color rgb="FFF39C12"/>
      <sz val="18"/>
      <scheme val="minor"/>
    </font>
    <font>
      <name val="Aptos Narrow"/>
      <family val="2"/>
      <color rgb="FF7F8C8D"/>
      <sz val="10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b val="1"/>
      <color rgb="FFFFFFFF"/>
      <sz val="18"/>
      <scheme val="minor"/>
    </font>
    <font>
      <name val="Aptos Narrow"/>
      <family val="2"/>
      <color rgb="FFECF0F1"/>
      <sz val="8"/>
      <scheme val="minor"/>
    </font>
    <font>
      <name val="Aptos Narrow"/>
      <family val="2"/>
      <b val="1"/>
      <color rgb="FF2ECC71"/>
      <sz val="18"/>
      <scheme val="minor"/>
    </font>
    <font>
      <name val="Aptos Narrow"/>
      <family val="2"/>
      <b val="1"/>
      <color rgb="FFFFFFFF"/>
      <sz val="22"/>
      <scheme val="minor"/>
    </font>
    <font>
      <name val="Aptos Narrow"/>
      <family val="2"/>
      <b val="1"/>
      <color rgb="FF2ECC71"/>
      <sz val="12"/>
      <scheme val="minor"/>
    </font>
    <font>
      <name val="Aptos Narrow"/>
      <family val="2"/>
      <color rgb="FFBDC3C7"/>
      <sz val="10"/>
      <scheme val="minor"/>
    </font>
    <font>
      <name val="Aptos Narrow"/>
      <family val="2"/>
      <color rgb="FF6A1B9A"/>
      <sz val="9"/>
      <scheme val="minor"/>
    </font>
    <font>
      <name val="Aptos Narrow"/>
      <family val="2"/>
      <b val="1"/>
      <color rgb="FFE74C3C"/>
      <sz val="10"/>
      <scheme val="minor"/>
    </font>
    <font>
      <name val="Aptos Narrow"/>
      <family val="2"/>
      <b val="1"/>
      <color rgb="FF6A1B9A"/>
      <sz val="11"/>
      <scheme val="minor"/>
    </font>
    <font>
      <name val="Aptos Narrow"/>
      <family val="2"/>
      <b val="1"/>
      <color rgb="FFF39C12"/>
      <sz val="14"/>
      <scheme val="minor"/>
    </font>
    <font>
      <name val="Aptos Narrow"/>
      <family val="2"/>
      <color rgb="FFE74C3C"/>
      <sz val="10"/>
      <scheme val="minor"/>
    </font>
    <font>
      <name val="Consolas"/>
      <b val="1"/>
      <color rgb="FFF39C12"/>
      <sz val="10"/>
    </font>
    <font>
      <name val="Consolas"/>
      <b val="1"/>
      <color rgb="FFF39C12"/>
      <sz val="11"/>
    </font>
    <font>
      <name val="Consolas"/>
      <b val="1"/>
      <color rgb="FF2ECC71"/>
      <sz val="10"/>
    </font>
    <font>
      <name val="Consolas"/>
      <color rgb="FF27AE60"/>
      <sz val="10"/>
    </font>
    <font>
      <name val="Aptos Narrow"/>
      <family val="2"/>
      <color rgb="FF27AE60"/>
      <sz val="9"/>
      <scheme val="minor"/>
    </font>
    <font>
      <name val="Consolas"/>
      <color rgb="FF27AE60"/>
      <sz val="9"/>
    </font>
    <font>
      <name val="Consolas"/>
      <color rgb="FFECF0F1"/>
      <sz val="10"/>
    </font>
    <font>
      <name val="Aptos Narrow"/>
      <family val="2"/>
      <color rgb="FF1A252F"/>
      <sz val="9"/>
      <scheme val="minor"/>
    </font>
    <font>
      <name val="Aptos Narrow"/>
      <family val="2"/>
      <b val="1"/>
      <color rgb="FF8E44AD"/>
      <sz val="10"/>
      <scheme val="minor"/>
    </font>
    <font>
      <name val="Consolas"/>
      <color rgb="FF1A252F"/>
      <sz val="11"/>
    </font>
    <font>
      <name val="Consolas"/>
      <color rgb="FF6A1B9A"/>
      <sz val="11"/>
    </font>
    <font>
      <name val="Aptos Narrow"/>
      <family val="2"/>
      <color rgb="FFE65100"/>
      <sz val="9"/>
      <scheme val="minor"/>
    </font>
    <font>
      <name val="Calibri"/>
      <b val="1"/>
      <color rgb="FFF39C12"/>
      <sz val="14"/>
    </font>
    <font>
      <name val="Consolas"/>
      <b val="1"/>
      <color rgb="FFFFFFFF"/>
      <sz val="11"/>
    </font>
    <font>
      <name val="Aptos Narrow"/>
      <family val="2"/>
      <color rgb="FF2ECC71"/>
      <sz val="9"/>
      <scheme val="minor"/>
    </font>
    <font>
      <name val="Consolas"/>
      <color rgb="FFE8F4FD"/>
      <sz val="9"/>
    </font>
    <font>
      <name val="Aptos Narrow"/>
      <family val="2"/>
      <b val="1"/>
      <color rgb="FFF39C12"/>
      <sz val="13"/>
      <scheme val="minor"/>
    </font>
    <font>
      <name val="Calibri"/>
      <b val="1"/>
      <color rgb="FFFFFFFF"/>
      <sz val="11"/>
    </font>
    <font>
      <name val="Consolas"/>
      <color rgb="FF2980B9"/>
      <sz val="9"/>
    </font>
    <font>
      <name val="Aptos Narrow"/>
      <family val="2"/>
      <color rgb="FF8E44AD"/>
      <sz val="10"/>
      <scheme val="minor"/>
    </font>
    <font>
      <name val="Aptos Narrow"/>
      <family val="2"/>
      <color rgb="FF8E44AD"/>
      <sz val="9"/>
      <scheme val="minor"/>
    </font>
    <font>
      <name val="Aptos Narrow"/>
      <family val="2"/>
      <color rgb="FFECF0F1"/>
      <sz val="9"/>
      <scheme val="minor"/>
    </font>
    <font>
      <name val="Aptos Narrow"/>
      <family val="2"/>
      <color rgb="FFF39C12"/>
      <sz val="9"/>
      <scheme val="minor"/>
    </font>
    <font>
      <name val="Aptos Narrow"/>
      <family val="2"/>
      <b val="1"/>
      <color rgb="FF2ECC71"/>
      <sz val="11"/>
      <scheme val="minor"/>
    </font>
    <font>
      <name val="Aptos Narrow"/>
      <family val="2"/>
      <color rgb="FF1B5E20"/>
      <sz val="9"/>
      <scheme val="minor"/>
    </font>
    <font>
      <name val="Consolas"/>
      <family val="3"/>
      <color rgb="FF1B5E20"/>
      <sz val="9"/>
    </font>
    <font>
      <name val="Calibri"/>
      <family val="2"/>
      <b val="1"/>
      <color rgb="FF4CAF50"/>
      <sz val="14"/>
    </font>
    <font>
      <name val="Aptos Narrow"/>
      <family val="2"/>
      <color rgb="FF4CAF50"/>
      <sz val="9"/>
      <scheme val="minor"/>
    </font>
    <font>
      <name val="Consolas"/>
      <family val="3"/>
      <b val="1"/>
      <color rgb="FFFFFFFF"/>
      <sz val="11"/>
    </font>
    <font>
      <name val="Aptos Narrow"/>
      <family val="2"/>
      <b val="1"/>
      <color rgb="FF4CAF50"/>
      <sz val="9"/>
      <scheme val="minor"/>
    </font>
    <font>
      <name val="Consolas"/>
      <family val="3"/>
      <b val="1"/>
      <color rgb="FF76FF03"/>
      <sz val="10"/>
    </font>
    <font>
      <name val="Aptos Narrow"/>
      <family val="2"/>
      <color rgb="FFB0BEC5"/>
      <sz val="9"/>
      <scheme val="minor"/>
    </font>
    <font>
      <name val="Consolas"/>
      <family val="3"/>
      <color rgb="FFE8F5E9"/>
      <sz val="9"/>
    </font>
    <font>
      <name val="Aptos Narrow"/>
      <family val="2"/>
      <b val="1"/>
      <color rgb="FF282828"/>
      <sz val="10"/>
      <scheme val="minor"/>
    </font>
    <font>
      <name val="Aptos Narrow"/>
      <family val="2"/>
      <b val="1"/>
      <color rgb="FF282828"/>
      <sz val="12"/>
      <scheme val="minor"/>
    </font>
    <font>
      <name val="Aptos Narrow"/>
      <family val="2"/>
      <b val="1"/>
      <color rgb="FF282828"/>
      <sz val="11"/>
      <scheme val="minor"/>
    </font>
    <font>
      <name val="Aptos Narrow"/>
      <family val="2"/>
      <color rgb="FF282828"/>
      <sz val="10"/>
      <scheme val="minor"/>
    </font>
    <font>
      <name val="Aptos Narrow"/>
      <family val="2"/>
      <color rgb="FFA5D6A7"/>
      <sz val="9"/>
      <scheme val="minor"/>
    </font>
    <font>
      <name val="Aptos Narrow"/>
      <family val="2"/>
      <b val="1"/>
      <color rgb="FF69F0AE"/>
      <sz val="20"/>
      <scheme val="minor"/>
    </font>
    <font>
      <name val="Aptos Narrow"/>
      <family val="2"/>
      <color rgb="FF69F0AE"/>
      <sz val="9"/>
      <scheme val="minor"/>
    </font>
    <font>
      <name val="Aptos Narrow"/>
      <family val="2"/>
      <color rgb="FFBFBFBF"/>
      <sz val="9"/>
      <scheme val="minor"/>
    </font>
    <font>
      <name val="Aptos Narrow"/>
      <family val="2"/>
      <color rgb="FFFF6B6B"/>
      <sz val="9"/>
      <scheme val="minor"/>
    </font>
    <font>
      <name val="Aptos Narrow"/>
      <family val="2"/>
      <color rgb="FFBDD7EE"/>
      <sz val="9"/>
      <scheme val="minor"/>
    </font>
    <font>
      <name val="Aptos Narrow"/>
      <family val="2"/>
      <b val="1"/>
      <color rgb="FF375623"/>
      <sz val="9"/>
      <scheme val="minor"/>
    </font>
    <font>
      <name val="Aptos Narrow"/>
      <family val="2"/>
      <b val="1"/>
      <color rgb="FF843C0C"/>
      <sz val="9"/>
      <scheme val="minor"/>
    </font>
    <font>
      <name val="Aptos Narrow"/>
      <family val="2"/>
      <b val="1"/>
      <color rgb="FF1F4E79"/>
      <sz val="9"/>
      <scheme val="minor"/>
    </font>
    <font>
      <name val="Aptos Narrow"/>
      <family val="2"/>
      <b val="1"/>
      <color rgb="FF4A148C"/>
      <sz val="9"/>
      <scheme val="minor"/>
    </font>
    <font>
      <name val="Aptos Narrow"/>
      <family val="2"/>
      <b val="1"/>
      <color rgb="FF7F6000"/>
      <sz val="9"/>
      <scheme val="minor"/>
    </font>
    <font>
      <name val="Aptos Narrow"/>
      <family val="2"/>
      <color rgb="FF9DC3E6"/>
      <sz val="8"/>
      <scheme val="minor"/>
    </font>
    <font>
      <name val="Aptos Narrow"/>
      <family val="2"/>
      <color rgb="FFA5D6A7"/>
      <sz val="8"/>
      <scheme val="minor"/>
    </font>
    <font>
      <name val="Aptos Narrow"/>
      <family val="2"/>
      <b val="1"/>
      <color rgb="FF00B0F0"/>
      <sz val="20"/>
      <scheme val="minor"/>
    </font>
    <font>
      <name val="Aptos Narrow"/>
      <family val="2"/>
      <color rgb="FF70AD47"/>
      <sz val="9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color rgb="FFC00000"/>
      <sz val="8"/>
      <scheme val="minor"/>
    </font>
    <font>
      <name val="Aptos Narrow"/>
      <family val="2"/>
      <color rgb="FF375623"/>
      <sz val="8"/>
      <scheme val="minor"/>
    </font>
    <font>
      <name val="Aptos Narrow"/>
      <family val="2"/>
      <b val="1"/>
      <color rgb="FFC00000"/>
      <sz val="8"/>
      <scheme val="minor"/>
    </font>
    <font>
      <name val="Aptos Narrow"/>
      <family val="2"/>
      <b val="1"/>
      <color rgb="FFFFFFFF"/>
      <sz val="8"/>
      <scheme val="minor"/>
    </font>
    <font>
      <name val="Aptos Narrow"/>
      <family val="2"/>
      <b val="1"/>
      <color rgb="FF375623"/>
      <sz val="8"/>
      <scheme val="minor"/>
    </font>
    <font>
      <name val="Aptos Narrow"/>
      <family val="2"/>
      <b val="1"/>
      <color rgb="FF1F4E79"/>
      <sz val="8"/>
      <scheme val="minor"/>
    </font>
    <font>
      <name val="Aptos Narrow"/>
      <family val="2"/>
      <b val="1"/>
      <color rgb="FF70AD47"/>
      <sz val="11"/>
      <scheme val="minor"/>
    </font>
    <font>
      <name val="Aptos Narrow"/>
      <family val="2"/>
      <b val="1"/>
      <color rgb="FF375623"/>
      <sz val="11"/>
      <scheme val="minor"/>
    </font>
    <font>
      <name val="Aptos Narrow"/>
      <family val="2"/>
      <color rgb="FF1A252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FFFFFF"/>
      <sz val="11"/>
      <scheme val="minor"/>
    </font>
    <font>
      <name val="Aptos Narrow"/>
      <family val="2"/>
      <b val="1"/>
      <color rgb="FF1F3864"/>
      <sz val="10"/>
      <scheme val="minor"/>
    </font>
    <font>
      <name val="Aptos Narrow"/>
      <family val="2"/>
      <b val="1"/>
      <color rgb="FF7F6000"/>
      <sz val="12"/>
      <scheme val="minor"/>
    </font>
    <font>
      <name val="Aptos Narrow"/>
      <family val="2"/>
      <b val="1"/>
      <color rgb="FF7F6000"/>
      <sz val="11"/>
      <scheme val="minor"/>
    </font>
    <font>
      <name val="Aptos Narrow"/>
      <family val="2"/>
      <b val="1"/>
      <color rgb="FF2E74B5"/>
      <sz val="10"/>
      <scheme val="minor"/>
    </font>
    <font>
      <name val="Aptos Narrow"/>
      <family val="2"/>
      <b val="1"/>
      <color rgb="FF375623"/>
      <sz val="10"/>
      <scheme val="minor"/>
    </font>
    <font>
      <name val="Aptos Narrow"/>
      <family val="2"/>
      <b val="1"/>
      <i val="1"/>
      <color rgb="FFC55A11"/>
      <sz val="10"/>
      <scheme val="minor"/>
    </font>
    <font>
      <name val="Aptos Narrow"/>
      <family val="2"/>
      <b val="1"/>
      <color rgb="FF7F6000"/>
      <sz val="10"/>
      <scheme val="minor"/>
    </font>
    <font>
      <name val="Aptos Narrow"/>
      <family val="2"/>
      <b val="1"/>
      <color rgb="FF1F3864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i val="1"/>
      <color rgb="FF7F6000"/>
      <sz val="11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i val="1"/>
      <color rgb="FFFFFFFF"/>
      <sz val="10"/>
      <scheme val="minor"/>
    </font>
    <font>
      <name val="Aptos Narrow"/>
      <family val="2"/>
      <b val="1"/>
      <color rgb="FF2ECC71"/>
      <sz val="10"/>
      <scheme val="minor"/>
    </font>
    <font>
      <name val="Aptos Narrow"/>
      <family val="2"/>
      <color rgb="FF4B0082"/>
      <sz val="11"/>
      <scheme val="minor"/>
    </font>
    <font>
      <name val="Aptos Narrow"/>
      <family val="2"/>
      <i val="1"/>
      <color rgb="FF008000"/>
      <sz val="9"/>
      <scheme val="minor"/>
    </font>
    <font>
      <name val="Aptos Narrow"/>
      <family val="2"/>
      <b val="1"/>
      <color rgb="FF4B0082"/>
      <sz val="9"/>
      <scheme val="minor"/>
    </font>
    <font>
      <name val="Aptos Narrow"/>
      <family val="2"/>
      <color rgb="FF1F3864"/>
      <sz val="9"/>
      <scheme val="minor"/>
    </font>
    <font>
      <name val="Aptos Narrow"/>
      <family val="2"/>
      <i val="1"/>
      <color rgb="FF595959"/>
      <sz val="11"/>
      <scheme val="minor"/>
    </font>
    <font>
      <name val="Aptos Narrow"/>
      <family val="2"/>
      <i val="1"/>
      <color rgb="FF0070C0"/>
      <sz val="10"/>
      <scheme val="minor"/>
    </font>
    <font>
      <name val="Aptos Narrow"/>
      <family val="2"/>
      <b val="1"/>
      <color rgb="FF7F8C8D"/>
      <sz val="9"/>
      <scheme val="minor"/>
    </font>
    <font>
      <name val="Aptos Narrow"/>
      <family val="2"/>
      <i val="1"/>
      <color rgb="FFFF0000"/>
      <sz val="10"/>
      <scheme val="minor"/>
    </font>
    <font>
      <name val="Aptos Narrow"/>
      <family val="2"/>
      <i val="1"/>
      <color rgb="FF0070C0"/>
      <sz val="11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b val="1"/>
      <color rgb="FFFFFFFF"/>
      <sz val="15"/>
      <scheme val="minor"/>
    </font>
    <font>
      <name val="Aptos Narrow"/>
      <family val="2"/>
      <i val="1"/>
      <color rgb="FF1F3864"/>
      <sz val="10"/>
      <scheme val="minor"/>
    </font>
    <font>
      <name val="Aptos Narrow"/>
      <family val="2"/>
      <b val="1"/>
      <color rgb="FF2E74B5"/>
      <sz val="9"/>
      <scheme val="minor"/>
    </font>
    <font>
      <name val="Aptos Narrow"/>
      <family val="2"/>
      <i val="1"/>
      <color theme="1"/>
      <sz val="9"/>
      <scheme val="minor"/>
    </font>
    <font>
      <name val="Aptos Narrow"/>
      <family val="2"/>
      <i val="1"/>
      <color rgb="FF595959"/>
      <sz val="9"/>
      <scheme val="minor"/>
    </font>
    <font>
      <name val="Aptos Narrow"/>
      <family val="2"/>
      <color rgb="FF7F6000"/>
      <sz val="9"/>
      <scheme val="minor"/>
    </font>
    <font>
      <name val="Aptos Narrow"/>
      <family val="2"/>
      <color rgb="FFECF0F1"/>
      <sz val="10"/>
      <scheme val="minor"/>
    </font>
    <font>
      <name val="Aptos Narrow"/>
      <family val="2"/>
      <b val="1"/>
      <i val="1"/>
      <color theme="0"/>
      <sz val="11"/>
      <scheme val="minor"/>
    </font>
    <font>
      <name val="Aptos Narrow"/>
      <family val="2"/>
      <b val="1"/>
      <color theme="0"/>
      <sz val="9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b val="1"/>
      <color rgb="FFECF0F1"/>
      <sz val="10"/>
      <scheme val="minor"/>
    </font>
    <font>
      <name val="Aptos Narrow"/>
      <family val="2"/>
      <b val="1"/>
      <color rgb="FFECF0F1"/>
      <sz val="9"/>
      <scheme val="minor"/>
    </font>
    <font>
      <name val="Abadi"/>
      <family val="2"/>
      <b val="1"/>
      <color rgb="FFFFFFFF"/>
      <sz val="11"/>
    </font>
    <font>
      <name val="Aptos Narrow"/>
      <family val="2"/>
      <b val="1"/>
      <color rgb="FF9DC3E6"/>
      <sz val="10"/>
      <scheme val="minor"/>
    </font>
    <font>
      <b val="1"/>
      <color rgb="00FFFFFF"/>
      <sz val="16"/>
    </font>
    <font>
      <i val="1"/>
      <color rgb="001F1F1F"/>
      <sz val="11"/>
    </font>
    <font>
      <b val="1"/>
      <color rgb="00FFFFFF"/>
      <sz val="12"/>
    </font>
    <font>
      <b val="1"/>
      <color rgb="00FFFFFF"/>
    </font>
    <font>
      <b val="1"/>
    </font>
  </fonts>
  <fills count="151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F0F3F4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1A3A2A"/>
        <bgColor indexed="64"/>
      </patternFill>
    </fill>
    <fill>
      <patternFill patternType="solid">
        <fgColor rgb="FF0D2218"/>
        <bgColor indexed="64"/>
      </patternFill>
    </fill>
    <fill>
      <patternFill patternType="solid">
        <fgColor rgb="FF1A2A3A"/>
        <bgColor indexed="64"/>
      </patternFill>
    </fill>
    <fill>
      <patternFill patternType="solid">
        <fgColor rgb="FF0D1D2A"/>
        <bgColor indexed="64"/>
      </patternFill>
    </fill>
    <fill>
      <patternFill patternType="solid">
        <fgColor rgb="FF2A1A3A"/>
        <bgColor indexed="64"/>
      </patternFill>
    </fill>
    <fill>
      <patternFill patternType="solid">
        <fgColor rgb="FF1A1028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E2A3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1A2E1A"/>
        <bgColor indexed="64"/>
      </patternFill>
    </fill>
    <fill>
      <patternFill patternType="solid">
        <fgColor rgb="FF1E2A1E"/>
        <bgColor indexed="64"/>
      </patternFill>
    </fill>
    <fill>
      <patternFill patternType="solid">
        <fgColor rgb="FF2E2A1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0D0D1A"/>
        <bgColor indexed="64"/>
      </patternFill>
    </fill>
    <fill>
      <patternFill patternType="solid">
        <fgColor rgb="FF0D1A0D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0D1B0D"/>
        <bgColor indexed="64"/>
      </patternFill>
    </fill>
    <fill>
      <patternFill patternType="solid">
        <fgColor rgb="FF0A1200"/>
        <bgColor indexed="64"/>
      </patternFill>
    </fill>
    <fill>
      <patternFill patternType="solid">
        <fgColor rgb="FF051005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D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2375E"/>
        <bgColor indexed="64"/>
      </patternFill>
    </fill>
    <fill>
      <patternFill patternType="solid">
        <fgColor rgb="FF0D3B0D"/>
        <bgColor indexed="64"/>
      </patternFill>
    </fill>
    <fill>
      <patternFill patternType="solid">
        <fgColor rgb="FF0C2D4A"/>
        <bgColor indexed="64"/>
      </patternFill>
    </fill>
    <fill>
      <patternFill patternType="solid">
        <fgColor rgb="FF0C2A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9F5"/>
        <bgColor indexed="64"/>
      </patternFill>
    </fill>
    <fill>
      <patternFill patternType="solid">
        <fgColor rgb="FFE8D5FF"/>
        <bgColor indexed="64"/>
      </patternFill>
    </fill>
    <fill>
      <patternFill patternType="solid">
        <fgColor rgb="FFF5EE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243F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2F9F2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2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2FCF5"/>
        <bgColor indexed="64"/>
      </patternFill>
    </fill>
    <fill>
      <patternFill patternType="solid">
        <fgColor rgb="FFF6FFED"/>
        <bgColor indexed="64"/>
      </patternFill>
    </fill>
    <fill>
      <patternFill patternType="solid">
        <fgColor rgb="FFF3E5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E0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CB07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D9B3E6"/>
        <bgColor indexed="64"/>
      </patternFill>
    </fill>
    <fill>
      <patternFill patternType="solid">
        <fgColor rgb="FFEDD9F5"/>
        <bgColor indexed="64"/>
      </patternFill>
    </fill>
    <fill>
      <patternFill patternType="solid">
        <fgColor rgb="FFF9F0FF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0F243E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38761D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rgb="FF00B0F0"/>
      </bottom>
      <diagonal/>
    </border>
    <border>
      <left style="medium">
        <color rgb="FF2E4D87"/>
      </left>
      <right/>
      <top/>
      <bottom style="thick">
        <color rgb="FF00B0F0"/>
      </bottom>
      <diagonal/>
    </border>
    <border>
      <left style="medium">
        <color rgb="FF2E4D87"/>
      </left>
      <right/>
      <top/>
      <bottom/>
      <diagonal/>
    </border>
    <border>
      <left/>
      <right style="medium">
        <color rgb="FF2E4D87"/>
      </right>
      <top/>
      <bottom/>
      <diagonal/>
    </border>
    <border>
      <left/>
      <right style="medium">
        <color rgb="FF2E4D87"/>
      </right>
      <top/>
      <bottom style="thick">
        <color rgb="FF00B0F0"/>
      </bottom>
      <diagonal/>
    </border>
    <border>
      <left/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/>
      <top/>
      <bottom style="thin">
        <color rgb="FFD6DCE4"/>
      </bottom>
      <diagonal/>
    </border>
    <border>
      <left/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  <border>
      <left/>
      <right style="thin">
        <color rgb="FFD6DCE4"/>
      </right>
      <top style="thin">
        <color rgb="FFD6DCE4"/>
      </top>
      <bottom style="medium">
        <color rgb="FF1F386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medium">
        <color rgb="FF1F3864"/>
      </bottom>
      <diagonal/>
    </border>
    <border>
      <left style="thin">
        <color rgb="FFD6DCE4"/>
      </left>
      <right/>
      <top style="thin">
        <color rgb="FFD6DCE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/>
      <top/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rgb="FF1A5276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1A5276"/>
      </bottom>
      <diagonal/>
    </border>
    <border>
      <left style="thin">
        <color rgb="FFD5D8DC"/>
      </left>
      <right/>
      <top style="thin">
        <color rgb="FFD5D8DC"/>
      </top>
      <bottom style="medium">
        <color rgb="FF1A5276"/>
      </bottom>
      <diagonal/>
    </border>
    <border>
      <left/>
      <right style="thin">
        <color rgb="FFD5D8DC"/>
      </right>
      <top style="medium">
        <color rgb="FF1A5276"/>
      </top>
      <bottom style="medium">
        <color rgb="FF1A5276"/>
      </bottom>
      <diagonal/>
    </border>
    <border>
      <left style="thin">
        <color rgb="FFD5D8DC"/>
      </left>
      <right style="thin">
        <color rgb="FFD5D8DC"/>
      </right>
      <top style="medium">
        <color rgb="FF1A5276"/>
      </top>
      <bottom style="medium">
        <color rgb="FF1A5276"/>
      </bottom>
      <diagonal/>
    </border>
    <border>
      <left style="thin">
        <color rgb="FFD5D8DC"/>
      </left>
      <right/>
      <top style="medium">
        <color rgb="FF1A5276"/>
      </top>
      <bottom style="medium">
        <color rgb="FF1A5276"/>
      </bottom>
      <diagonal/>
    </border>
    <border>
      <left/>
      <right style="thin">
        <color rgb="FFD5D8DC"/>
      </right>
      <top/>
      <bottom/>
      <diagonal/>
    </border>
    <border>
      <left style="thin">
        <color rgb="FFD5D8DC"/>
      </left>
      <right style="thin">
        <color rgb="FFD5D8DC"/>
      </right>
      <top/>
      <bottom/>
      <diagonal/>
    </border>
    <border>
      <left style="thin">
        <color rgb="FFD5D8D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2E4D87"/>
      </left>
      <right style="medium">
        <color rgb="FF2E4D87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10">
    <xf numFmtId="0" fontId="0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3" fillId="4" borderId="0" pivotButton="0" quotePrefix="0" xfId="0"/>
    <xf numFmtId="0" fontId="15" fillId="5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5" fillId="9" borderId="0" pivotButton="0" quotePrefix="0" xfId="0"/>
    <xf numFmtId="0" fontId="0" fillId="10" borderId="0" pivotButton="0" quotePrefix="0" xfId="0"/>
    <xf numFmtId="0" fontId="19" fillId="2" borderId="0" pivotButton="0" quotePrefix="0" xfId="0"/>
    <xf numFmtId="0" fontId="19" fillId="15" borderId="0" pivotButton="0" quotePrefix="0" xfId="0"/>
    <xf numFmtId="0" fontId="0" fillId="16" borderId="0" pivotButton="0" quotePrefix="0" xfId="0"/>
    <xf numFmtId="0" fontId="20" fillId="17" borderId="0" pivotButton="0" quotePrefix="0" xfId="0"/>
    <xf numFmtId="0" fontId="5" fillId="19" borderId="0" pivotButton="0" quotePrefix="0" xfId="0"/>
    <xf numFmtId="0" fontId="19" fillId="19" borderId="0" pivotButton="0" quotePrefix="0" xfId="0"/>
    <xf numFmtId="0" fontId="0" fillId="20" borderId="0" pivotButton="0" quotePrefix="0" xfId="0"/>
    <xf numFmtId="0" fontId="22" fillId="17" borderId="0" pivotButton="0" quotePrefix="0" xfId="0"/>
    <xf numFmtId="0" fontId="24" fillId="6" borderId="0" pivotButton="0" quotePrefix="0" xfId="0"/>
    <xf numFmtId="0" fontId="22" fillId="11" borderId="0" pivotButton="0" quotePrefix="0" xfId="0"/>
    <xf numFmtId="0" fontId="24" fillId="21" borderId="0" pivotButton="0" quotePrefix="0" xfId="0"/>
    <xf numFmtId="0" fontId="19" fillId="21" borderId="0" pivotButton="0" quotePrefix="0" xfId="0"/>
    <xf numFmtId="0" fontId="22" fillId="22" borderId="0" pivotButton="0" quotePrefix="0" xfId="0"/>
    <xf numFmtId="0" fontId="19" fillId="23" borderId="0" pivotButton="0" quotePrefix="0" xfId="0"/>
    <xf numFmtId="0" fontId="25" fillId="21" borderId="0" pivotButton="0" quotePrefix="0" xfId="0"/>
    <xf numFmtId="0" fontId="25" fillId="23" borderId="0" pivotButton="0" quotePrefix="0" xfId="0"/>
    <xf numFmtId="164" fontId="22" fillId="17" borderId="0" pivotButton="0" quotePrefix="0" xfId="0"/>
    <xf numFmtId="165" fontId="22" fillId="11" borderId="0" pivotButton="0" quotePrefix="0" xfId="0"/>
    <xf numFmtId="165" fontId="22" fillId="17" borderId="0" pivotButton="0" quotePrefix="0" xfId="0"/>
    <xf numFmtId="165" fontId="19" fillId="21" borderId="0" pivotButton="0" quotePrefix="0" xfId="0"/>
    <xf numFmtId="165" fontId="24" fillId="6" borderId="0" pivotButton="0" quotePrefix="0" xfId="0"/>
    <xf numFmtId="165" fontId="22" fillId="22" borderId="0" pivotButton="0" quotePrefix="0" xfId="0"/>
    <xf numFmtId="165" fontId="19" fillId="23" borderId="0" pivotButton="0" quotePrefix="0" xfId="0"/>
    <xf numFmtId="9" fontId="22" fillId="17" borderId="0" pivotButton="0" quotePrefix="0" xfId="0"/>
    <xf numFmtId="0" fontId="20" fillId="24" borderId="0" pivotButton="0" quotePrefix="0" xfId="0"/>
    <xf numFmtId="0" fontId="20" fillId="25" borderId="0" pivotButton="0" quotePrefix="0" xfId="0"/>
    <xf numFmtId="0" fontId="2" fillId="16" borderId="0" pivotButton="0" quotePrefix="0" xfId="0"/>
    <xf numFmtId="0" fontId="22" fillId="26" borderId="0" pivotButton="0" quotePrefix="0" xfId="0"/>
    <xf numFmtId="0" fontId="22" fillId="27" borderId="0" pivotButton="0" quotePrefix="0" xfId="0"/>
    <xf numFmtId="9" fontId="22" fillId="26" borderId="0" pivotButton="0" quotePrefix="0" xfId="0"/>
    <xf numFmtId="14" fontId="22" fillId="26" borderId="0" pivotButton="0" quotePrefix="0" xfId="0"/>
    <xf numFmtId="14" fontId="22" fillId="17" borderId="0" pivotButton="0" quotePrefix="0" xfId="0"/>
    <xf numFmtId="0" fontId="20" fillId="26" borderId="0" pivotButton="0" quotePrefix="0" xfId="0"/>
    <xf numFmtId="0" fontId="0" fillId="3" borderId="0" pivotButton="0" quotePrefix="0" xfId="0"/>
    <xf numFmtId="0" fontId="27" fillId="28" borderId="0" pivotButton="0" quotePrefix="0" xfId="0"/>
    <xf numFmtId="0" fontId="32" fillId="28" borderId="0" pivotButton="0" quotePrefix="0" xfId="0"/>
    <xf numFmtId="0" fontId="33" fillId="28" borderId="0" pivotButton="0" quotePrefix="0" xfId="0"/>
    <xf numFmtId="0" fontId="16" fillId="28" borderId="0" pivotButton="0" quotePrefix="0" xfId="0"/>
    <xf numFmtId="0" fontId="22" fillId="16" borderId="0" pivotButton="0" quotePrefix="0" xfId="0"/>
    <xf numFmtId="0" fontId="15" fillId="15" borderId="0" pivotButton="0" quotePrefix="0" xfId="0"/>
    <xf numFmtId="0" fontId="15" fillId="30" borderId="0" pivotButton="0" quotePrefix="0" xfId="0"/>
    <xf numFmtId="0" fontId="19" fillId="30" borderId="0" pivotButton="0" quotePrefix="0" xfId="0"/>
    <xf numFmtId="0" fontId="15" fillId="31" borderId="0" pivotButton="0" quotePrefix="0" xfId="0"/>
    <xf numFmtId="0" fontId="19" fillId="31" borderId="0" pivotButton="0" quotePrefix="0" xfId="0"/>
    <xf numFmtId="0" fontId="0" fillId="32" borderId="0" pivotButton="0" quotePrefix="0" xfId="0"/>
    <xf numFmtId="0" fontId="24" fillId="33" borderId="0" pivotButton="0" quotePrefix="0" xfId="0"/>
    <xf numFmtId="0" fontId="22" fillId="34" borderId="0" pivotButton="0" quotePrefix="0" xfId="0"/>
    <xf numFmtId="9" fontId="22" fillId="34" borderId="0" pivotButton="0" quotePrefix="0" xfId="0"/>
    <xf numFmtId="10" fontId="22" fillId="34" borderId="0" pivotButton="0" quotePrefix="0" xfId="0"/>
    <xf numFmtId="0" fontId="24" fillId="17" borderId="0" pivotButton="0" quotePrefix="0" xfId="0"/>
    <xf numFmtId="0" fontId="24" fillId="11" borderId="0" pivotButton="0" quotePrefix="0" xfId="0"/>
    <xf numFmtId="0" fontId="15" fillId="2" borderId="0" pivotButton="0" quotePrefix="0" xfId="0"/>
    <xf numFmtId="0" fontId="15" fillId="4" borderId="0" pivotButton="0" quotePrefix="0" xfId="0"/>
    <xf numFmtId="0" fontId="19" fillId="4" borderId="0" pivotButton="0" quotePrefix="0" xfId="0"/>
    <xf numFmtId="164" fontId="15" fillId="2" borderId="0" pivotButton="0" quotePrefix="0" xfId="0"/>
    <xf numFmtId="164" fontId="15" fillId="5" borderId="0" pivotButton="0" quotePrefix="0" xfId="0"/>
    <xf numFmtId="164" fontId="19" fillId="4" borderId="0" pivotButton="0" quotePrefix="0" xfId="0"/>
    <xf numFmtId="0" fontId="15" fillId="38" borderId="0" pivotButton="0" quotePrefix="0" xfId="0"/>
    <xf numFmtId="0" fontId="19" fillId="3" borderId="0" pivotButton="0" quotePrefix="0" xfId="0"/>
    <xf numFmtId="0" fontId="0" fillId="40" borderId="0" pivotButton="0" quotePrefix="0" xfId="0"/>
    <xf numFmtId="0" fontId="15" fillId="41" borderId="0" pivotButton="0" quotePrefix="0" xfId="0"/>
    <xf numFmtId="0" fontId="15" fillId="42" borderId="0" pivotButton="0" quotePrefix="0" xfId="0"/>
    <xf numFmtId="0" fontId="15" fillId="43" borderId="0" pivotButton="0" quotePrefix="0" xfId="0"/>
    <xf numFmtId="0" fontId="15" fillId="44" borderId="0" pivotButton="0" quotePrefix="0" xfId="0"/>
    <xf numFmtId="0" fontId="15" fillId="45" borderId="0" pivotButton="0" quotePrefix="0" xfId="0"/>
    <xf numFmtId="0" fontId="15" fillId="46" borderId="0" pivotButton="0" quotePrefix="0" xfId="0"/>
    <xf numFmtId="0" fontId="0" fillId="47" borderId="0" pivotButton="0" quotePrefix="0" xfId="0"/>
    <xf numFmtId="0" fontId="22" fillId="47" borderId="0" pivotButton="0" quotePrefix="0" xfId="0"/>
    <xf numFmtId="0" fontId="22" fillId="49" borderId="0" pivotButton="0" quotePrefix="0" xfId="0"/>
    <xf numFmtId="0" fontId="22" fillId="50" borderId="0" pivotButton="0" quotePrefix="0" xfId="0"/>
    <xf numFmtId="0" fontId="22" fillId="51" borderId="0" pivotButton="0" quotePrefix="0" xfId="0"/>
    <xf numFmtId="0" fontId="45" fillId="22" borderId="0" pivotButton="0" quotePrefix="0" xfId="0"/>
    <xf numFmtId="0" fontId="16" fillId="52" borderId="0" applyAlignment="1" pivotButton="0" quotePrefix="0" xfId="0">
      <alignment horizontal="right"/>
    </xf>
    <xf numFmtId="0" fontId="50" fillId="53" borderId="0" pivotButton="0" quotePrefix="0" xfId="0"/>
    <xf numFmtId="0" fontId="51" fillId="54" borderId="0" pivotButton="0" quotePrefix="0" xfId="0"/>
    <xf numFmtId="0" fontId="52" fillId="55" borderId="0" pivotButton="0" quotePrefix="0" xfId="0"/>
    <xf numFmtId="0" fontId="54" fillId="0" borderId="0" pivotButton="0" quotePrefix="0" xfId="0"/>
    <xf numFmtId="0" fontId="49" fillId="56" borderId="0" pivotButton="0" quotePrefix="0" xfId="0"/>
    <xf numFmtId="0" fontId="55" fillId="52" borderId="0" pivotButton="0" quotePrefix="0" xfId="0"/>
    <xf numFmtId="0" fontId="24" fillId="57" borderId="0" pivotButton="0" quotePrefix="0" xfId="0"/>
    <xf numFmtId="0" fontId="0" fillId="50" borderId="0" pivotButton="0" quotePrefix="0" xfId="0"/>
    <xf numFmtId="0" fontId="22" fillId="59" borderId="0" pivotButton="0" quotePrefix="0" xfId="0"/>
    <xf numFmtId="0" fontId="22" fillId="61" borderId="0" pivotButton="0" quotePrefix="0" xfId="0"/>
    <xf numFmtId="14" fontId="22" fillId="61" borderId="0" pivotButton="0" quotePrefix="0" xfId="0"/>
    <xf numFmtId="0" fontId="22" fillId="62" borderId="0" pivotButton="0" quotePrefix="0" xfId="0"/>
    <xf numFmtId="14" fontId="22" fillId="62" borderId="0" pivotButton="0" quotePrefix="0" xfId="0"/>
    <xf numFmtId="0" fontId="22" fillId="63" borderId="0" pivotButton="0" quotePrefix="0" xfId="0"/>
    <xf numFmtId="17" fontId="22" fillId="47" borderId="0" pivotButton="0" quotePrefix="0" xfId="0"/>
    <xf numFmtId="17" fontId="22" fillId="61" borderId="0" pivotButton="0" quotePrefix="0" xfId="0"/>
    <xf numFmtId="0" fontId="5" fillId="65" borderId="0" pivotButton="0" quotePrefix="0" xfId="0"/>
    <xf numFmtId="0" fontId="14" fillId="65" borderId="0" pivotButton="0" quotePrefix="0" xfId="0"/>
    <xf numFmtId="14" fontId="22" fillId="59" borderId="0" pivotButton="0" quotePrefix="0" xfId="0"/>
    <xf numFmtId="0" fontId="22" fillId="24" borderId="0" pivotButton="0" quotePrefix="0" xfId="0"/>
    <xf numFmtId="14" fontId="22" fillId="24" borderId="0" pivotButton="0" quotePrefix="0" xfId="0"/>
    <xf numFmtId="9" fontId="22" fillId="59" borderId="0" pivotButton="0" quotePrefix="0" xfId="0"/>
    <xf numFmtId="0" fontId="19" fillId="65" borderId="0" pivotButton="0" quotePrefix="0" xfId="0"/>
    <xf numFmtId="0" fontId="0" fillId="63" borderId="0" pivotButton="0" quotePrefix="0" xfId="0"/>
    <xf numFmtId="0" fontId="22" fillId="68" borderId="0" pivotButton="0" quotePrefix="0" xfId="0"/>
    <xf numFmtId="0" fontId="19" fillId="67" borderId="0" pivotButton="0" quotePrefix="0" xfId="0"/>
    <xf numFmtId="164" fontId="22" fillId="68" borderId="0" pivotButton="0" quotePrefix="0" xfId="0"/>
    <xf numFmtId="0" fontId="5" fillId="66" borderId="0" pivotButton="0" quotePrefix="0" xfId="0"/>
    <xf numFmtId="0" fontId="0" fillId="69" borderId="0" pivotButton="0" quotePrefix="0" xfId="0"/>
    <xf numFmtId="0" fontId="37" fillId="2" borderId="0" pivotButton="0" quotePrefix="0" xfId="0"/>
    <xf numFmtId="0" fontId="49" fillId="70" borderId="0" pivotButton="0" quotePrefix="0" xfId="0"/>
    <xf numFmtId="0" fontId="63" fillId="70" borderId="0" pivotButton="0" quotePrefix="0" xfId="0"/>
    <xf numFmtId="0" fontId="11" fillId="70" borderId="0" pivotButton="0" quotePrefix="0" xfId="0"/>
    <xf numFmtId="0" fontId="53" fillId="71" borderId="0" pivotButton="0" quotePrefix="0" xfId="0"/>
    <xf numFmtId="0" fontId="0" fillId="70" borderId="0" pivotButton="0" quotePrefix="0" xfId="0"/>
    <xf numFmtId="0" fontId="5" fillId="75" borderId="0" pivotButton="0" quotePrefix="0" xfId="0"/>
    <xf numFmtId="0" fontId="22" fillId="78" borderId="0" pivotButton="0" quotePrefix="0" xfId="0"/>
    <xf numFmtId="0" fontId="67" fillId="51" borderId="0" pivotButton="0" quotePrefix="0" xfId="0"/>
    <xf numFmtId="0" fontId="67" fillId="16" borderId="0" pivotButton="0" quotePrefix="0" xfId="0"/>
    <xf numFmtId="0" fontId="70" fillId="2" borderId="0" pivotButton="0" quotePrefix="0" xfId="0"/>
    <xf numFmtId="0" fontId="70" fillId="5" borderId="0" pivotButton="0" quotePrefix="0" xfId="0"/>
    <xf numFmtId="0" fontId="71" fillId="2" borderId="0" pivotButton="0" quotePrefix="0" xfId="0"/>
    <xf numFmtId="0" fontId="1" fillId="79" borderId="2" applyAlignment="1" pivotButton="0" quotePrefix="0" xfId="0">
      <alignment horizontal="center"/>
    </xf>
    <xf numFmtId="9" fontId="1" fillId="79" borderId="2" applyAlignment="1" pivotButton="0" quotePrefix="0" xfId="0">
      <alignment horizontal="center"/>
    </xf>
    <xf numFmtId="0" fontId="1" fillId="79" borderId="1" applyAlignment="1" pivotButton="0" quotePrefix="0" xfId="0">
      <alignment horizontal="center"/>
    </xf>
    <xf numFmtId="0" fontId="1" fillId="79" borderId="3" applyAlignment="1" pivotButton="0" quotePrefix="0" xfId="0">
      <alignment horizontal="center"/>
    </xf>
    <xf numFmtId="0" fontId="0" fillId="20" borderId="4" pivotButton="0" quotePrefix="0" xfId="0"/>
    <xf numFmtId="0" fontId="0" fillId="20" borderId="5" pivotButton="0" quotePrefix="0" xfId="0"/>
    <xf numFmtId="0" fontId="1" fillId="79" borderId="6" applyAlignment="1" pivotButton="0" quotePrefix="0" xfId="0">
      <alignment horizontal="center"/>
    </xf>
    <xf numFmtId="0" fontId="1" fillId="79" borderId="7" applyAlignment="1" pivotButton="0" quotePrefix="0" xfId="0">
      <alignment horizontal="center"/>
    </xf>
    <xf numFmtId="0" fontId="1" fillId="79" borderId="8" applyAlignment="1" pivotButton="0" quotePrefix="0" xfId="0">
      <alignment horizontal="center"/>
    </xf>
    <xf numFmtId="0" fontId="1" fillId="79" borderId="9" applyAlignment="1" pivotButton="0" quotePrefix="0" xfId="0">
      <alignment horizontal="center"/>
    </xf>
    <xf numFmtId="0" fontId="1" fillId="79" borderId="11" applyAlignment="1" pivotButton="0" quotePrefix="0" xfId="0">
      <alignment horizontal="center"/>
    </xf>
    <xf numFmtId="0" fontId="0" fillId="20" borderId="10" pivotButton="0" quotePrefix="0" xfId="0"/>
    <xf numFmtId="0" fontId="0" fillId="20" borderId="12" pivotButton="0" quotePrefix="0" xfId="0"/>
    <xf numFmtId="0" fontId="0" fillId="62" borderId="0" pivotButton="0" quotePrefix="0" xfId="0"/>
    <xf numFmtId="0" fontId="2" fillId="62" borderId="0" pivotButton="0" quotePrefix="0" xfId="0"/>
    <xf numFmtId="0" fontId="5" fillId="80" borderId="0" pivotButton="0" quotePrefix="0" xfId="0"/>
    <xf numFmtId="0" fontId="19" fillId="75" borderId="0" pivotButton="0" quotePrefix="0" xfId="0"/>
    <xf numFmtId="0" fontId="22" fillId="81" borderId="0" pivotButton="0" quotePrefix="0" xfId="0"/>
    <xf numFmtId="0" fontId="22" fillId="82" borderId="0" pivotButton="0" quotePrefix="0" xfId="0"/>
    <xf numFmtId="0" fontId="22" fillId="83" borderId="0" pivotButton="0" quotePrefix="0" xfId="0"/>
    <xf numFmtId="0" fontId="22" fillId="84" borderId="0" pivotButton="0" quotePrefix="0" xfId="0"/>
    <xf numFmtId="166" fontId="22" fillId="84" borderId="0" pivotButton="0" quotePrefix="0" xfId="0"/>
    <xf numFmtId="164" fontId="22" fillId="84" borderId="0" pivotButton="0" quotePrefix="0" xfId="0"/>
    <xf numFmtId="167" fontId="22" fillId="84" borderId="0" pivotButton="0" quotePrefix="0" xfId="0"/>
    <xf numFmtId="0" fontId="22" fillId="85" borderId="0" pivotButton="0" quotePrefix="0" xfId="0"/>
    <xf numFmtId="166" fontId="22" fillId="85" borderId="0" pivotButton="0" quotePrefix="0" xfId="0"/>
    <xf numFmtId="164" fontId="22" fillId="85" borderId="0" pivotButton="0" quotePrefix="0" xfId="0"/>
    <xf numFmtId="167" fontId="22" fillId="85" borderId="0" pivotButton="0" quotePrefix="0" xfId="0"/>
    <xf numFmtId="0" fontId="22" fillId="86" borderId="0" pivotButton="0" quotePrefix="0" xfId="0"/>
    <xf numFmtId="166" fontId="22" fillId="86" borderId="0" pivotButton="0" quotePrefix="0" xfId="0"/>
    <xf numFmtId="164" fontId="22" fillId="86" borderId="0" pivotButton="0" quotePrefix="0" xfId="0"/>
    <xf numFmtId="167" fontId="22" fillId="86" borderId="0" pivotButton="0" quotePrefix="0" xfId="0"/>
    <xf numFmtId="168" fontId="22" fillId="84" borderId="0" pivotButton="0" quotePrefix="0" xfId="0"/>
    <xf numFmtId="168" fontId="22" fillId="85" borderId="0" pivotButton="0" quotePrefix="0" xfId="0"/>
    <xf numFmtId="168" fontId="22" fillId="86" borderId="0" pivotButton="0" quotePrefix="0" xfId="0"/>
    <xf numFmtId="164" fontId="5" fillId="75" borderId="0" pivotButton="0" quotePrefix="0" xfId="0"/>
    <xf numFmtId="164" fontId="19" fillId="75" borderId="0" pivotButton="0" quotePrefix="0" xfId="0"/>
    <xf numFmtId="167" fontId="19" fillId="75" borderId="0" pivotButton="0" quotePrefix="0" xfId="0"/>
    <xf numFmtId="0" fontId="2" fillId="14" borderId="0" pivotButton="0" quotePrefix="0" xfId="0"/>
    <xf numFmtId="0" fontId="0" fillId="61" borderId="0" pivotButton="0" quotePrefix="0" xfId="0"/>
    <xf numFmtId="0" fontId="5" fillId="87" borderId="0" pivotButton="0" quotePrefix="0" xfId="0"/>
    <xf numFmtId="0" fontId="19" fillId="87" borderId="0" pivotButton="0" quotePrefix="0" xfId="0"/>
    <xf numFmtId="164" fontId="22" fillId="61" borderId="0" pivotButton="0" quotePrefix="0" xfId="0"/>
    <xf numFmtId="164" fontId="5" fillId="87" borderId="0" pivotButton="0" quotePrefix="0" xfId="0"/>
    <xf numFmtId="168" fontId="22" fillId="61" borderId="0" pivotButton="0" quotePrefix="0" xfId="0"/>
    <xf numFmtId="168" fontId="22" fillId="17" borderId="0" pivotButton="0" quotePrefix="0" xfId="0"/>
    <xf numFmtId="9" fontId="22" fillId="61" borderId="0" pivotButton="0" quotePrefix="0" xfId="0"/>
    <xf numFmtId="10" fontId="22" fillId="61" borderId="0" pivotButton="0" quotePrefix="0" xfId="0"/>
    <xf numFmtId="0" fontId="0" fillId="81" borderId="0" pivotButton="0" quotePrefix="0" xfId="0"/>
    <xf numFmtId="9" fontId="22" fillId="84" borderId="0" pivotButton="0" quotePrefix="0" xfId="0"/>
    <xf numFmtId="0" fontId="74" fillId="84" borderId="0" pivotButton="0" quotePrefix="0" xfId="0"/>
    <xf numFmtId="9" fontId="74" fillId="84" borderId="0" pivotButton="0" quotePrefix="0" xfId="0"/>
    <xf numFmtId="0" fontId="74" fillId="61" borderId="0" pivotButton="0" quotePrefix="0" xfId="0"/>
    <xf numFmtId="0" fontId="74" fillId="47" borderId="0" pivotButton="0" quotePrefix="0" xfId="0"/>
    <xf numFmtId="0" fontId="74" fillId="24" borderId="0" pivotButton="0" quotePrefix="0" xfId="0"/>
    <xf numFmtId="0" fontId="0" fillId="88" borderId="0" pivotButton="0" quotePrefix="0" xfId="0"/>
    <xf numFmtId="0" fontId="76" fillId="88" borderId="0" pivotButton="0" quotePrefix="0" xfId="0"/>
    <xf numFmtId="0" fontId="78" fillId="54" borderId="0" pivotButton="0" quotePrefix="0" xfId="0"/>
    <xf numFmtId="0" fontId="79" fillId="88" borderId="0" pivotButton="0" quotePrefix="0" xfId="0"/>
    <xf numFmtId="0" fontId="80" fillId="88" borderId="0" pivotButton="0" quotePrefix="0" xfId="0"/>
    <xf numFmtId="0" fontId="81" fillId="90" borderId="0" applyAlignment="1" pivotButton="0" quotePrefix="0" xfId="0">
      <alignment wrapText="1"/>
    </xf>
    <xf numFmtId="0" fontId="24" fillId="84" borderId="0" pivotButton="0" quotePrefix="0" xfId="0"/>
    <xf numFmtId="0" fontId="24" fillId="61" borderId="0" pivotButton="0" quotePrefix="0" xfId="0"/>
    <xf numFmtId="0" fontId="24" fillId="47" borderId="0" pivotButton="0" quotePrefix="0" xfId="0"/>
    <xf numFmtId="9" fontId="22" fillId="47" borderId="0" pivotButton="0" quotePrefix="0" xfId="0"/>
    <xf numFmtId="0" fontId="24" fillId="24" borderId="0" pivotButton="0" quotePrefix="0" xfId="0"/>
    <xf numFmtId="9" fontId="24" fillId="24" borderId="0" pivotButton="0" quotePrefix="0" xfId="0"/>
    <xf numFmtId="164" fontId="22" fillId="62" borderId="0" pivotButton="0" quotePrefix="0" xfId="0"/>
    <xf numFmtId="0" fontId="19" fillId="80" borderId="0" pivotButton="0" quotePrefix="0" xfId="0"/>
    <xf numFmtId="0" fontId="82" fillId="18" borderId="0" pivotButton="0" quotePrefix="0" xfId="0"/>
    <xf numFmtId="0" fontId="85" fillId="18" borderId="0" pivotButton="0" quotePrefix="0" xfId="0"/>
    <xf numFmtId="0" fontId="0" fillId="92" borderId="0" pivotButton="0" quotePrefix="0" xfId="0"/>
    <xf numFmtId="0" fontId="84" fillId="18" borderId="0" pivotButton="0" quotePrefix="0" xfId="0"/>
    <xf numFmtId="0" fontId="5" fillId="15" borderId="0" pivotButton="0" quotePrefix="0" xfId="0"/>
    <xf numFmtId="0" fontId="14" fillId="0" borderId="0" pivotButton="0" quotePrefix="0" xfId="0"/>
    <xf numFmtId="0" fontId="101" fillId="106" borderId="0" applyAlignment="1" pivotButton="0" quotePrefix="0" xfId="0">
      <alignment horizontal="center"/>
    </xf>
    <xf numFmtId="0" fontId="102" fillId="107" borderId="0" pivotButton="0" quotePrefix="0" xfId="0"/>
    <xf numFmtId="3" fontId="102" fillId="107" borderId="0" pivotButton="0" quotePrefix="0" xfId="0"/>
    <xf numFmtId="164" fontId="102" fillId="107" borderId="0" pivotButton="0" quotePrefix="0" xfId="0"/>
    <xf numFmtId="0" fontId="102" fillId="17" borderId="0" pivotButton="0" quotePrefix="0" xfId="0"/>
    <xf numFmtId="3" fontId="102" fillId="17" borderId="0" pivotButton="0" quotePrefix="0" xfId="0"/>
    <xf numFmtId="164" fontId="102" fillId="17" borderId="0" pivotButton="0" quotePrefix="0" xfId="0"/>
    <xf numFmtId="0" fontId="101" fillId="96" borderId="0" pivotButton="0" quotePrefix="0" xfId="0"/>
    <xf numFmtId="3" fontId="101" fillId="96" borderId="0" pivotButton="0" quotePrefix="0" xfId="0"/>
    <xf numFmtId="164" fontId="101" fillId="96" borderId="0" pivotButton="0" quotePrefix="0" xfId="0"/>
    <xf numFmtId="0" fontId="101" fillId="95" borderId="0" pivotButton="0" quotePrefix="0" xfId="0"/>
    <xf numFmtId="3" fontId="101" fillId="95" borderId="0" pivotButton="0" quotePrefix="0" xfId="0"/>
    <xf numFmtId="164" fontId="101" fillId="95" borderId="0" pivotButton="0" quotePrefix="0" xfId="0"/>
    <xf numFmtId="0" fontId="101" fillId="108" borderId="0" applyAlignment="1" pivotButton="0" quotePrefix="0" xfId="0">
      <alignment horizontal="center"/>
    </xf>
    <xf numFmtId="169" fontId="103" fillId="107" borderId="0" pivotButton="0" quotePrefix="0" xfId="0"/>
    <xf numFmtId="169" fontId="102" fillId="17" borderId="0" pivotButton="0" quotePrefix="0" xfId="0"/>
    <xf numFmtId="169" fontId="104" fillId="17" borderId="0" pivotButton="0" quotePrefix="0" xfId="0"/>
    <xf numFmtId="169" fontId="104" fillId="107" borderId="0" pivotButton="0" quotePrefix="0" xfId="0"/>
    <xf numFmtId="169" fontId="105" fillId="96" borderId="0" pivotButton="0" quotePrefix="0" xfId="0"/>
    <xf numFmtId="169" fontId="103" fillId="17" borderId="0" pivotButton="0" quotePrefix="0" xfId="0"/>
    <xf numFmtId="169" fontId="105" fillId="95" borderId="0" pivotButton="0" quotePrefix="0" xfId="0"/>
    <xf numFmtId="0" fontId="102" fillId="109" borderId="0" pivotButton="0" quotePrefix="0" xfId="0"/>
    <xf numFmtId="10" fontId="102" fillId="109" borderId="0" pivotButton="0" quotePrefix="0" xfId="0"/>
    <xf numFmtId="3" fontId="102" fillId="109" borderId="0" pivotButton="0" quotePrefix="0" xfId="0"/>
    <xf numFmtId="169" fontId="103" fillId="109" borderId="0" pivotButton="0" quotePrefix="0" xfId="0"/>
    <xf numFmtId="10" fontId="103" fillId="109" borderId="0" pivotButton="0" quotePrefix="0" xfId="0"/>
    <xf numFmtId="10" fontId="102" fillId="17" borderId="0" pivotButton="0" quotePrefix="0" xfId="0"/>
    <xf numFmtId="10" fontId="103" fillId="17" borderId="0" pivotButton="0" quotePrefix="0" xfId="0"/>
    <xf numFmtId="169" fontId="104" fillId="109" borderId="0" pivotButton="0" quotePrefix="0" xfId="0"/>
    <xf numFmtId="10" fontId="104" fillId="109" borderId="0" pivotButton="0" quotePrefix="0" xfId="0"/>
    <xf numFmtId="9" fontId="102" fillId="109" borderId="0" pivotButton="0" quotePrefix="0" xfId="0"/>
    <xf numFmtId="9" fontId="102" fillId="17" borderId="0" pivotButton="0" quotePrefix="0" xfId="0"/>
    <xf numFmtId="0" fontId="101" fillId="112" borderId="0" pivotButton="0" quotePrefix="0" xfId="0"/>
    <xf numFmtId="0" fontId="101" fillId="112" borderId="0" applyAlignment="1" pivotButton="0" quotePrefix="0" xfId="0">
      <alignment horizontal="center"/>
    </xf>
    <xf numFmtId="0" fontId="101" fillId="97" borderId="0" pivotButton="0" quotePrefix="0" xfId="0"/>
    <xf numFmtId="10" fontId="101" fillId="97" borderId="0" pivotButton="0" quotePrefix="0" xfId="0"/>
    <xf numFmtId="3" fontId="101" fillId="97" borderId="0" pivotButton="0" quotePrefix="0" xfId="0"/>
    <xf numFmtId="169" fontId="101" fillId="97" borderId="0" pivotButton="0" quotePrefix="0" xfId="0"/>
    <xf numFmtId="0" fontId="102" fillId="113" borderId="0" pivotButton="0" quotePrefix="0" xfId="0"/>
    <xf numFmtId="10" fontId="102" fillId="113" borderId="0" pivotButton="0" quotePrefix="0" xfId="0"/>
    <xf numFmtId="3" fontId="102" fillId="113" borderId="0" pivotButton="0" quotePrefix="0" xfId="0"/>
    <xf numFmtId="169" fontId="102" fillId="113" borderId="0" pivotButton="0" quotePrefix="0" xfId="0"/>
    <xf numFmtId="0" fontId="101" fillId="17" borderId="0" pivotButton="0" quotePrefix="0" xfId="0"/>
    <xf numFmtId="0" fontId="101" fillId="95" borderId="0" applyAlignment="1" pivotButton="0" quotePrefix="0" xfId="0">
      <alignment horizontal="center"/>
    </xf>
    <xf numFmtId="0" fontId="102" fillId="20" borderId="0" pivotButton="0" quotePrefix="0" xfId="0"/>
    <xf numFmtId="10" fontId="102" fillId="20" borderId="0" pivotButton="0" quotePrefix="0" xfId="0"/>
    <xf numFmtId="3" fontId="102" fillId="20" borderId="0" pivotButton="0" quotePrefix="0" xfId="0"/>
    <xf numFmtId="10" fontId="101" fillId="95" borderId="0" pivotButton="0" quotePrefix="0" xfId="0"/>
    <xf numFmtId="3" fontId="0" fillId="0" borderId="0" pivotButton="0" quotePrefix="0" xfId="0"/>
    <xf numFmtId="0" fontId="102" fillId="112" borderId="0" pivotButton="0" quotePrefix="0" xfId="0"/>
    <xf numFmtId="0" fontId="107" fillId="17" borderId="0" pivotButton="0" quotePrefix="0" xfId="0"/>
    <xf numFmtId="0" fontId="102" fillId="117" borderId="0" pivotButton="0" quotePrefix="0" xfId="0"/>
    <xf numFmtId="0" fontId="107" fillId="117" borderId="0" pivotButton="0" quotePrefix="0" xfId="0"/>
    <xf numFmtId="0" fontId="108" fillId="112" borderId="0" pivotButton="0" quotePrefix="0" xfId="0"/>
    <xf numFmtId="0" fontId="102" fillId="0" borderId="0" pivotButton="0" quotePrefix="0" xfId="0"/>
    <xf numFmtId="0" fontId="102" fillId="92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19" fillId="114" borderId="0" applyAlignment="1" pivotButton="0" quotePrefix="0" xfId="0">
      <alignment horizontal="center"/>
    </xf>
    <xf numFmtId="0" fontId="19" fillId="111" borderId="0" applyAlignment="1" pivotButton="0" quotePrefix="0" xfId="0">
      <alignment horizontal="center"/>
    </xf>
    <xf numFmtId="0" fontId="101" fillId="115" borderId="0" pivotButton="0" quotePrefix="0" xfId="0"/>
    <xf numFmtId="0" fontId="102" fillId="118" borderId="0" pivotButton="0" quotePrefix="0" xfId="0"/>
    <xf numFmtId="10" fontId="102" fillId="118" borderId="0" pivotButton="0" quotePrefix="0" xfId="0"/>
    <xf numFmtId="0" fontId="101" fillId="118" borderId="0" pivotButton="0" quotePrefix="0" xfId="0"/>
    <xf numFmtId="0" fontId="5" fillId="93" borderId="0" applyAlignment="1" pivotButton="0" quotePrefix="0" xfId="0">
      <alignment horizontal="center"/>
    </xf>
    <xf numFmtId="0" fontId="108" fillId="17" borderId="0" pivotButton="0" quotePrefix="0" xfId="0"/>
    <xf numFmtId="0" fontId="108" fillId="117" borderId="0" pivotButton="0" quotePrefix="0" xfId="0"/>
    <xf numFmtId="10" fontId="102" fillId="117" borderId="0" pivotButton="0" quotePrefix="0" xfId="0"/>
    <xf numFmtId="0" fontId="106" fillId="93" borderId="18" applyAlignment="1" pivotButton="0" quotePrefix="0" xfId="0">
      <alignment horizontal="center"/>
    </xf>
    <xf numFmtId="0" fontId="106" fillId="93" borderId="19" applyAlignment="1" pivotButton="0" quotePrefix="0" xfId="0">
      <alignment horizontal="center"/>
    </xf>
    <xf numFmtId="0" fontId="106" fillId="93" borderId="2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98" borderId="22" pivotButton="0" quotePrefix="0" xfId="0"/>
    <xf numFmtId="3" fontId="0" fillId="0" borderId="22" pivotButton="0" quotePrefix="0" xfId="0"/>
    <xf numFmtId="0" fontId="0" fillId="0" borderId="23" pivotButton="0" quotePrefix="0" xfId="0"/>
    <xf numFmtId="169" fontId="0" fillId="0" borderId="22" pivotButton="0" quotePrefix="0" xfId="0"/>
    <xf numFmtId="0" fontId="0" fillId="97" borderId="22" pivotButton="0" quotePrefix="0" xfId="0"/>
    <xf numFmtId="0" fontId="0" fillId="115" borderId="22" pivotButton="0" quotePrefix="0" xfId="0"/>
    <xf numFmtId="0" fontId="0" fillId="96" borderId="22" pivotButton="0" quotePrefix="0" xfId="0"/>
    <xf numFmtId="0" fontId="0" fillId="59" borderId="22" pivotButton="0" quotePrefix="0" xfId="0"/>
    <xf numFmtId="0" fontId="0" fillId="116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59" borderId="25" pivotButton="0" quotePrefix="0" xfId="0"/>
    <xf numFmtId="3" fontId="0" fillId="0" borderId="25" pivotButton="0" quotePrefix="0" xfId="0"/>
    <xf numFmtId="0" fontId="0" fillId="0" borderId="26" pivotButton="0" quotePrefix="0" xfId="0"/>
    <xf numFmtId="0" fontId="109" fillId="9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111" fillId="11" borderId="0" pivotButton="0" quotePrefix="0" xfId="0"/>
    <xf numFmtId="0" fontId="111" fillId="12" borderId="0" pivotButton="0" quotePrefix="0" xfId="0"/>
    <xf numFmtId="0" fontId="111" fillId="13" borderId="0" pivotButton="0" quotePrefix="0" xfId="0"/>
    <xf numFmtId="0" fontId="111" fillId="14" borderId="0" pivotButton="0" quotePrefix="0" xfId="0"/>
    <xf numFmtId="0" fontId="111" fillId="16" borderId="0" pivotButton="0" quotePrefix="0" xfId="0"/>
    <xf numFmtId="0" fontId="111" fillId="17" borderId="0" pivotButton="0" quotePrefix="0" xfId="0"/>
    <xf numFmtId="0" fontId="113" fillId="119" borderId="0" applyAlignment="1" pivotButton="0" quotePrefix="0" xfId="0">
      <alignment horizontal="center"/>
    </xf>
    <xf numFmtId="0" fontId="12" fillId="119" borderId="0" pivotButton="0" quotePrefix="0" xfId="0"/>
    <xf numFmtId="0" fontId="2" fillId="120" borderId="0" pivotButton="0" quotePrefix="0" xfId="0"/>
    <xf numFmtId="0" fontId="0" fillId="121" borderId="0" pivotButton="0" quotePrefix="0" xfId="0"/>
    <xf numFmtId="0" fontId="0" fillId="17" borderId="0" pivotButton="0" quotePrefix="0" xfId="0"/>
    <xf numFmtId="0" fontId="21" fillId="93" borderId="0" pivotButton="0" quotePrefix="0" xfId="0"/>
    <xf numFmtId="0" fontId="0" fillId="121" borderId="0" applyAlignment="1" pivotButton="0" quotePrefix="0" xfId="0">
      <alignment wrapText="1"/>
    </xf>
    <xf numFmtId="0" fontId="5" fillId="119" borderId="0" pivotButton="0" quotePrefix="0" xfId="0"/>
    <xf numFmtId="0" fontId="22" fillId="122" borderId="0" applyAlignment="1" pivotButton="0" quotePrefix="0" xfId="0">
      <alignment wrapText="1"/>
    </xf>
    <xf numFmtId="0" fontId="22" fillId="122" borderId="0" applyAlignment="1" pivotButton="0" quotePrefix="0" xfId="0">
      <alignment vertical="top" wrapText="1"/>
    </xf>
    <xf numFmtId="0" fontId="114" fillId="122" borderId="0" applyAlignment="1" pivotButton="0" quotePrefix="0" xfId="0">
      <alignment vertical="top" wrapText="1"/>
    </xf>
    <xf numFmtId="0" fontId="22" fillId="17" borderId="0" applyAlignment="1" pivotButton="0" quotePrefix="0" xfId="0">
      <alignment wrapText="1"/>
    </xf>
    <xf numFmtId="0" fontId="22" fillId="17" borderId="0" applyAlignment="1" pivotButton="0" quotePrefix="0" xfId="0">
      <alignment vertical="top" wrapText="1"/>
    </xf>
    <xf numFmtId="0" fontId="114" fillId="17" borderId="0" applyAlignment="1" pivotButton="0" quotePrefix="0" xfId="0">
      <alignment vertical="top" wrapText="1"/>
    </xf>
    <xf numFmtId="0" fontId="115" fillId="123" borderId="0" pivotButton="0" quotePrefix="0" xfId="0"/>
    <xf numFmtId="0" fontId="22" fillId="83" borderId="0" applyAlignment="1" pivotButton="0" quotePrefix="0" xfId="0">
      <alignment wrapText="1"/>
    </xf>
    <xf numFmtId="0" fontId="24" fillId="83" borderId="0" applyAlignment="1" pivotButton="0" quotePrefix="0" xfId="0">
      <alignment wrapText="1"/>
    </xf>
    <xf numFmtId="0" fontId="23" fillId="93" borderId="0" applyAlignment="1" pivotButton="0" quotePrefix="0" xfId="0">
      <alignment wrapText="1"/>
    </xf>
    <xf numFmtId="0" fontId="24" fillId="119" borderId="0" pivotButton="0" quotePrefix="0" xfId="0"/>
    <xf numFmtId="0" fontId="19" fillId="119" borderId="0" pivotButton="0" quotePrefix="0" xfId="0"/>
    <xf numFmtId="0" fontId="22" fillId="124" borderId="0" pivotButton="0" quotePrefix="0" xfId="0"/>
    <xf numFmtId="0" fontId="19" fillId="93" borderId="0" applyAlignment="1" pivotButton="0" quotePrefix="0" xfId="0">
      <alignment wrapText="1"/>
    </xf>
    <xf numFmtId="0" fontId="19" fillId="124" borderId="0" applyAlignment="1" pivotButton="0" quotePrefix="0" xfId="0">
      <alignment wrapText="1"/>
    </xf>
    <xf numFmtId="0" fontId="19" fillId="17" borderId="0" pivotButton="0" quotePrefix="0" xfId="0"/>
    <xf numFmtId="0" fontId="24" fillId="120" borderId="0" pivotButton="0" quotePrefix="0" xfId="0"/>
    <xf numFmtId="0" fontId="114" fillId="120" borderId="0" pivotButton="0" quotePrefix="0" xfId="0"/>
    <xf numFmtId="0" fontId="24" fillId="122" borderId="0" applyAlignment="1" pivotButton="0" quotePrefix="0" xfId="0">
      <alignment wrapText="1"/>
    </xf>
    <xf numFmtId="0" fontId="24" fillId="17" borderId="0" applyAlignment="1" pivotButton="0" quotePrefix="0" xfId="0">
      <alignment wrapText="1"/>
    </xf>
    <xf numFmtId="0" fontId="22" fillId="122" borderId="0" pivotButton="0" quotePrefix="0" xfId="0"/>
    <xf numFmtId="9" fontId="22" fillId="122" borderId="0" pivotButton="0" quotePrefix="0" xfId="0"/>
    <xf numFmtId="0" fontId="116" fillId="123" borderId="0" pivotButton="0" quotePrefix="0" xfId="0"/>
    <xf numFmtId="0" fontId="21" fillId="93" borderId="0" applyAlignment="1" pivotButton="0" quotePrefix="0" xfId="0">
      <alignment wrapText="1"/>
    </xf>
    <xf numFmtId="0" fontId="117" fillId="122" borderId="0" applyAlignment="1" pivotButton="0" quotePrefix="0" xfId="0">
      <alignment wrapText="1"/>
    </xf>
    <xf numFmtId="0" fontId="117" fillId="17" borderId="0" applyAlignment="1" pivotButton="0" quotePrefix="0" xfId="0">
      <alignment wrapText="1"/>
    </xf>
    <xf numFmtId="0" fontId="114" fillId="122" borderId="0" applyAlignment="1" pivotButton="0" quotePrefix="0" xfId="0">
      <alignment wrapText="1"/>
    </xf>
    <xf numFmtId="0" fontId="114" fillId="17" borderId="0" applyAlignment="1" pivotButton="0" quotePrefix="0" xfId="0">
      <alignment wrapText="1"/>
    </xf>
    <xf numFmtId="0" fontId="5" fillId="111" borderId="0" pivotButton="0" quotePrefix="0" xfId="0"/>
    <xf numFmtId="0" fontId="22" fillId="125" borderId="0" applyAlignment="1" pivotButton="0" quotePrefix="0" xfId="0">
      <alignment wrapText="1"/>
    </xf>
    <xf numFmtId="0" fontId="118" fillId="125" borderId="0" applyAlignment="1" pivotButton="0" quotePrefix="0" xfId="0">
      <alignment wrapText="1"/>
    </xf>
    <xf numFmtId="0" fontId="118" fillId="17" borderId="0" applyAlignment="1" pivotButton="0" quotePrefix="0" xfId="0">
      <alignment wrapText="1"/>
    </xf>
    <xf numFmtId="0" fontId="110" fillId="115" borderId="0" pivotButton="0" quotePrefix="0" xfId="0"/>
    <xf numFmtId="0" fontId="22" fillId="126" borderId="0" applyAlignment="1" pivotButton="0" quotePrefix="0" xfId="0">
      <alignment wrapText="1"/>
    </xf>
    <xf numFmtId="0" fontId="118" fillId="126" borderId="0" applyAlignment="1" pivotButton="0" quotePrefix="0" xfId="0">
      <alignment wrapText="1"/>
    </xf>
    <xf numFmtId="0" fontId="23" fillId="119" borderId="0" pivotButton="0" quotePrefix="0" xfId="0"/>
    <xf numFmtId="0" fontId="24" fillId="122" borderId="0" pivotButton="0" quotePrefix="0" xfId="0"/>
    <xf numFmtId="0" fontId="114" fillId="122" borderId="0" pivotButton="0" quotePrefix="0" xfId="0"/>
    <xf numFmtId="0" fontId="119" fillId="122" borderId="0" pivotButton="0" quotePrefix="0" xfId="0"/>
    <xf numFmtId="0" fontId="24" fillId="123" borderId="0" pivotButton="0" quotePrefix="0" xfId="0"/>
    <xf numFmtId="0" fontId="120" fillId="123" borderId="0" pivotButton="0" quotePrefix="0" xfId="0"/>
    <xf numFmtId="0" fontId="122" fillId="17" borderId="0" pivotButton="0" quotePrefix="0" xfId="0"/>
    <xf numFmtId="0" fontId="122" fillId="107" borderId="0" pivotButton="0" quotePrefix="0" xfId="0"/>
    <xf numFmtId="49" fontId="114" fillId="122" borderId="0" pivotButton="0" quotePrefix="0" xfId="0"/>
    <xf numFmtId="49" fontId="22" fillId="122" borderId="0" pivotButton="0" quotePrefix="0" xfId="0"/>
    <xf numFmtId="49" fontId="22" fillId="17" borderId="0" pivotButton="0" quotePrefix="0" xfId="0"/>
    <xf numFmtId="49" fontId="114" fillId="17" borderId="0" pivotButton="0" quotePrefix="0" xfId="0"/>
    <xf numFmtId="0" fontId="23" fillId="111" borderId="0" pivotButton="0" quotePrefix="0" xfId="0"/>
    <xf numFmtId="0" fontId="22" fillId="126" borderId="0" pivotButton="0" quotePrefix="0" xfId="0"/>
    <xf numFmtId="0" fontId="118" fillId="126" borderId="0" pivotButton="0" quotePrefix="0" xfId="0"/>
    <xf numFmtId="0" fontId="118" fillId="17" borderId="0" pivotButton="0" quotePrefix="0" xfId="0"/>
    <xf numFmtId="0" fontId="123" fillId="98" borderId="0" applyAlignment="1" pivotButton="0" quotePrefix="0" xfId="0">
      <alignment wrapText="1"/>
    </xf>
    <xf numFmtId="0" fontId="125" fillId="93" borderId="0" pivotButton="0" quotePrefix="0" xfId="0"/>
    <xf numFmtId="0" fontId="12" fillId="93" borderId="0" pivotButton="0" quotePrefix="0" xfId="0"/>
    <xf numFmtId="0" fontId="22" fillId="121" borderId="0" pivotButton="0" quotePrefix="0" xfId="0"/>
    <xf numFmtId="0" fontId="24" fillId="121" borderId="0" pivotButton="0" quotePrefix="0" xfId="0"/>
    <xf numFmtId="0" fontId="15" fillId="121" borderId="0" pivotButton="0" quotePrefix="0" xfId="0"/>
    <xf numFmtId="0" fontId="15" fillId="17" borderId="0" pivotButton="0" quotePrefix="0" xfId="0"/>
    <xf numFmtId="0" fontId="15" fillId="123" borderId="0" pivotButton="0" quotePrefix="0" xfId="0"/>
    <xf numFmtId="0" fontId="118" fillId="123" borderId="0" pivotButton="0" quotePrefix="0" xfId="0"/>
    <xf numFmtId="0" fontId="25" fillId="121" borderId="0" pivotButton="0" quotePrefix="0" xfId="0"/>
    <xf numFmtId="9" fontId="15" fillId="17" borderId="0" pivotButton="0" quotePrefix="0" xfId="0"/>
    <xf numFmtId="9" fontId="15" fillId="121" borderId="0" pivotButton="0" quotePrefix="0" xfId="0"/>
    <xf numFmtId="0" fontId="12" fillId="105" borderId="0" pivotButton="0" quotePrefix="0" xfId="0"/>
    <xf numFmtId="0" fontId="127" fillId="127" borderId="0" applyAlignment="1" pivotButton="0" quotePrefix="0" xfId="0">
      <alignment wrapText="1"/>
    </xf>
    <xf numFmtId="49" fontId="128" fillId="128" borderId="0" pivotButton="0" quotePrefix="1" xfId="0"/>
    <xf numFmtId="49" fontId="122" fillId="17" borderId="0" pivotButton="0" quotePrefix="0" xfId="0"/>
    <xf numFmtId="49" fontId="129" fillId="129" borderId="0" pivotButton="0" quotePrefix="0" xfId="0"/>
    <xf numFmtId="49" fontId="128" fillId="128" borderId="0" pivotButton="0" quotePrefix="0" xfId="0"/>
    <xf numFmtId="49" fontId="130" fillId="130" borderId="0" pivotButton="0" quotePrefix="0" xfId="0"/>
    <xf numFmtId="0" fontId="121" fillId="121" borderId="0" pivotButton="0" quotePrefix="0" xfId="0"/>
    <xf numFmtId="0" fontId="22" fillId="121" borderId="0" applyAlignment="1" pivotButton="0" quotePrefix="0" xfId="0">
      <alignment wrapText="1"/>
    </xf>
    <xf numFmtId="0" fontId="121" fillId="17" borderId="0" pivotButton="0" quotePrefix="0" xfId="0"/>
    <xf numFmtId="0" fontId="131" fillId="16" borderId="0" pivotButton="0" quotePrefix="0" xfId="0"/>
    <xf numFmtId="165" fontId="2" fillId="16" borderId="0" pivotButton="0" quotePrefix="0" xfId="0"/>
    <xf numFmtId="165" fontId="0" fillId="16" borderId="0" pivotButton="0" quotePrefix="0" xfId="0"/>
    <xf numFmtId="0" fontId="23" fillId="93" borderId="0" pivotButton="0" quotePrefix="0" xfId="0"/>
    <xf numFmtId="0" fontId="124" fillId="121" borderId="0" pivotButton="0" quotePrefix="0" xfId="0"/>
    <xf numFmtId="3" fontId="22" fillId="122" borderId="0" pivotButton="0" quotePrefix="0" xfId="0"/>
    <xf numFmtId="3" fontId="0" fillId="122" borderId="0" pivotButton="0" quotePrefix="0" xfId="0"/>
    <xf numFmtId="3" fontId="2" fillId="123" borderId="0" pivotButton="0" quotePrefix="0" xfId="0"/>
    <xf numFmtId="3" fontId="22" fillId="17" borderId="0" pivotButton="0" quotePrefix="0" xfId="0"/>
    <xf numFmtId="3" fontId="0" fillId="17" borderId="0" pivotButton="0" quotePrefix="0" xfId="0"/>
    <xf numFmtId="17" fontId="22" fillId="120" borderId="0" pivotButton="0" quotePrefix="0" xfId="0"/>
    <xf numFmtId="0" fontId="22" fillId="120" borderId="0" pivotButton="0" quotePrefix="0" xfId="0"/>
    <xf numFmtId="3" fontId="2" fillId="120" borderId="0" pivotButton="0" quotePrefix="0" xfId="0"/>
    <xf numFmtId="0" fontId="23" fillId="105" borderId="0" applyAlignment="1" pivotButton="0" quotePrefix="0" xfId="0">
      <alignment horizontal="center"/>
    </xf>
    <xf numFmtId="170" fontId="22" fillId="122" borderId="0" pivotButton="0" quotePrefix="0" xfId="0"/>
    <xf numFmtId="170" fontId="22" fillId="17" borderId="0" pivotButton="0" quotePrefix="0" xfId="0"/>
    <xf numFmtId="3" fontId="24" fillId="120" borderId="0" pivotButton="0" quotePrefix="0" xfId="0"/>
    <xf numFmtId="0" fontId="136" fillId="61" borderId="0" pivotButton="0" quotePrefix="0" xfId="0"/>
    <xf numFmtId="165" fontId="124" fillId="61" borderId="0" pivotButton="0" quotePrefix="0" xfId="0"/>
    <xf numFmtId="165" fontId="112" fillId="50" borderId="0" pivotButton="0" quotePrefix="0" xfId="0"/>
    <xf numFmtId="166" fontId="0" fillId="16" borderId="0" pivotButton="0" quotePrefix="0" xfId="0"/>
    <xf numFmtId="164" fontId="85" fillId="18" borderId="0" pivotButton="0" quotePrefix="0" xfId="0"/>
    <xf numFmtId="164" fontId="15" fillId="15" borderId="0" pivotButton="0" quotePrefix="0" xfId="0"/>
    <xf numFmtId="164" fontId="15" fillId="30" borderId="0" pivotButton="0" quotePrefix="0" xfId="0"/>
    <xf numFmtId="164" fontId="15" fillId="38" borderId="0" pivotButton="0" quotePrefix="0" xfId="0"/>
    <xf numFmtId="164" fontId="15" fillId="31" borderId="0" pivotButton="0" quotePrefix="0" xfId="0"/>
    <xf numFmtId="164" fontId="19" fillId="3" borderId="0" pivotButton="0" quotePrefix="0" xfId="0"/>
    <xf numFmtId="0" fontId="22" fillId="64" borderId="0" applyAlignment="1" pivotButton="0" quotePrefix="0" xfId="0">
      <alignment wrapText="1"/>
    </xf>
    <xf numFmtId="0" fontId="22" fillId="132" borderId="0" applyAlignment="1" pivotButton="0" quotePrefix="0" xfId="0">
      <alignment wrapText="1"/>
    </xf>
    <xf numFmtId="0" fontId="22" fillId="133" borderId="0" applyAlignment="1" pivotButton="0" quotePrefix="0" xfId="0">
      <alignment wrapText="1"/>
    </xf>
    <xf numFmtId="0" fontId="22" fillId="47" borderId="0" applyAlignment="1" pivotButton="0" quotePrefix="0" xfId="0">
      <alignment wrapText="1"/>
    </xf>
    <xf numFmtId="0" fontId="22" fillId="62" borderId="0" applyAlignment="1" pivotButton="0" quotePrefix="0" xfId="0">
      <alignment wrapText="1"/>
    </xf>
    <xf numFmtId="0" fontId="2" fillId="123" borderId="0" applyAlignment="1" pivotButton="0" quotePrefix="0" xfId="0">
      <alignment wrapText="1"/>
    </xf>
    <xf numFmtId="0" fontId="22" fillId="115" borderId="0" pivotButton="0" quotePrefix="0" xfId="0"/>
    <xf numFmtId="0" fontId="24" fillId="112" borderId="0" pivotButton="0" quotePrefix="0" xfId="0"/>
    <xf numFmtId="0" fontId="124" fillId="115" borderId="0" pivotButton="0" quotePrefix="0" xfId="0"/>
    <xf numFmtId="0" fontId="22" fillId="112" borderId="0" pivotButton="0" quotePrefix="0" xfId="0"/>
    <xf numFmtId="0" fontId="124" fillId="112" borderId="0" pivotButton="0" quotePrefix="0" xfId="0"/>
    <xf numFmtId="0" fontId="22" fillId="96" borderId="0" pivotButton="0" quotePrefix="0" xfId="0"/>
    <xf numFmtId="0" fontId="124" fillId="96" borderId="0" pivotButton="0" quotePrefix="0" xfId="0"/>
    <xf numFmtId="0" fontId="22" fillId="134" borderId="0" pivotButton="0" quotePrefix="0" xfId="0"/>
    <xf numFmtId="0" fontId="124" fillId="134" borderId="0" pivotButton="0" quotePrefix="0" xfId="0"/>
    <xf numFmtId="0" fontId="22" fillId="135" borderId="0" pivotButton="0" quotePrefix="0" xfId="0"/>
    <xf numFmtId="0" fontId="124" fillId="135" borderId="0" pivotButton="0" quotePrefix="0" xfId="0"/>
    <xf numFmtId="0" fontId="24" fillId="136" borderId="0" pivotButton="0" quotePrefix="0" xfId="0"/>
    <xf numFmtId="0" fontId="24" fillId="68" borderId="0" applyAlignment="1" pivotButton="0" quotePrefix="0" xfId="0">
      <alignment wrapText="1"/>
    </xf>
    <xf numFmtId="0" fontId="22" fillId="68" borderId="0" applyAlignment="1" pivotButton="0" quotePrefix="0" xfId="0">
      <alignment wrapText="1"/>
    </xf>
    <xf numFmtId="0" fontId="139" fillId="68" borderId="0" applyAlignment="1" pivotButton="0" quotePrefix="0" xfId="0">
      <alignment wrapText="1"/>
    </xf>
    <xf numFmtId="0" fontId="141" fillId="68" borderId="0" applyAlignment="1" pivotButton="0" quotePrefix="0" xfId="0">
      <alignment wrapText="1"/>
    </xf>
    <xf numFmtId="0" fontId="24" fillId="61" borderId="0" applyAlignment="1" pivotButton="0" quotePrefix="0" xfId="0">
      <alignment wrapText="1"/>
    </xf>
    <xf numFmtId="0" fontId="22" fillId="61" borderId="0" applyAlignment="1" pivotButton="0" quotePrefix="0" xfId="0">
      <alignment wrapText="1"/>
    </xf>
    <xf numFmtId="0" fontId="139" fillId="61" borderId="0" applyAlignment="1" pivotButton="0" quotePrefix="0" xfId="0">
      <alignment wrapText="1"/>
    </xf>
    <xf numFmtId="0" fontId="141" fillId="61" borderId="0" applyAlignment="1" pivotButton="0" quotePrefix="0" xfId="0">
      <alignment wrapText="1"/>
    </xf>
    <xf numFmtId="0" fontId="24" fillId="62" borderId="0" applyAlignment="1" pivotButton="0" quotePrefix="0" xfId="0">
      <alignment wrapText="1"/>
    </xf>
    <xf numFmtId="0" fontId="139" fillId="62" borderId="0" applyAlignment="1" pivotButton="0" quotePrefix="0" xfId="0">
      <alignment wrapText="1"/>
    </xf>
    <xf numFmtId="0" fontId="141" fillId="62" borderId="0" applyAlignment="1" pivotButton="0" quotePrefix="0" xfId="0">
      <alignment wrapText="1"/>
    </xf>
    <xf numFmtId="0" fontId="24" fillId="24" borderId="0" applyAlignment="1" pivotButton="0" quotePrefix="0" xfId="0">
      <alignment wrapText="1"/>
    </xf>
    <xf numFmtId="0" fontId="22" fillId="24" borderId="0" applyAlignment="1" pivotButton="0" quotePrefix="0" xfId="0">
      <alignment wrapText="1"/>
    </xf>
    <xf numFmtId="0" fontId="139" fillId="24" borderId="0" applyAlignment="1" pivotButton="0" quotePrefix="0" xfId="0">
      <alignment wrapText="1"/>
    </xf>
    <xf numFmtId="0" fontId="141" fillId="24" borderId="0" applyAlignment="1" pivotButton="0" quotePrefix="0" xfId="0">
      <alignment wrapText="1"/>
    </xf>
    <xf numFmtId="0" fontId="24" fillId="47" borderId="0" applyAlignment="1" pivotButton="0" quotePrefix="0" xfId="0">
      <alignment wrapText="1"/>
    </xf>
    <xf numFmtId="0" fontId="139" fillId="47" borderId="0" applyAlignment="1" pivotButton="0" quotePrefix="0" xfId="0">
      <alignment wrapText="1"/>
    </xf>
    <xf numFmtId="0" fontId="141" fillId="47" borderId="0" applyAlignment="1" pivotButton="0" quotePrefix="0" xfId="0">
      <alignment wrapText="1"/>
    </xf>
    <xf numFmtId="0" fontId="24" fillId="133" borderId="0" applyAlignment="1" pivotButton="0" quotePrefix="0" xfId="0">
      <alignment wrapText="1"/>
    </xf>
    <xf numFmtId="0" fontId="139" fillId="133" borderId="0" applyAlignment="1" pivotButton="0" quotePrefix="0" xfId="0">
      <alignment wrapText="1"/>
    </xf>
    <xf numFmtId="0" fontId="141" fillId="133" borderId="0" applyAlignment="1" pivotButton="0" quotePrefix="0" xfId="0">
      <alignment wrapText="1"/>
    </xf>
    <xf numFmtId="0" fontId="24" fillId="132" borderId="0" applyAlignment="1" pivotButton="0" quotePrefix="0" xfId="0">
      <alignment wrapText="1"/>
    </xf>
    <xf numFmtId="0" fontId="139" fillId="132" borderId="0" applyAlignment="1" pivotButton="0" quotePrefix="0" xfId="0">
      <alignment wrapText="1"/>
    </xf>
    <xf numFmtId="0" fontId="141" fillId="132" borderId="0" applyAlignment="1" pivotButton="0" quotePrefix="0" xfId="0">
      <alignment wrapText="1"/>
    </xf>
    <xf numFmtId="0" fontId="24" fillId="81" borderId="0" applyAlignment="1" pivotButton="0" quotePrefix="0" xfId="0">
      <alignment wrapText="1"/>
    </xf>
    <xf numFmtId="0" fontId="22" fillId="81" borderId="0" applyAlignment="1" pivotButton="0" quotePrefix="0" xfId="0">
      <alignment wrapText="1"/>
    </xf>
    <xf numFmtId="0" fontId="139" fillId="81" borderId="0" applyAlignment="1" pivotButton="0" quotePrefix="0" xfId="0">
      <alignment wrapText="1"/>
    </xf>
    <xf numFmtId="0" fontId="141" fillId="81" borderId="0" applyAlignment="1" pivotButton="0" quotePrefix="0" xfId="0">
      <alignment wrapText="1"/>
    </xf>
    <xf numFmtId="0" fontId="24" fillId="64" borderId="0" applyAlignment="1" pivotButton="0" quotePrefix="0" xfId="0">
      <alignment wrapText="1"/>
    </xf>
    <xf numFmtId="0" fontId="139" fillId="64" borderId="0" applyAlignment="1" pivotButton="0" quotePrefix="0" xfId="0">
      <alignment wrapText="1"/>
    </xf>
    <xf numFmtId="0" fontId="141" fillId="64" borderId="0" applyAlignment="1" pivotButton="0" quotePrefix="0" xfId="0">
      <alignment wrapText="1"/>
    </xf>
    <xf numFmtId="0" fontId="24" fillId="137" borderId="0" applyAlignment="1" pivotButton="0" quotePrefix="0" xfId="0">
      <alignment wrapText="1"/>
    </xf>
    <xf numFmtId="0" fontId="22" fillId="137" borderId="0" applyAlignment="1" pivotButton="0" quotePrefix="0" xfId="0">
      <alignment wrapText="1"/>
    </xf>
    <xf numFmtId="0" fontId="139" fillId="137" borderId="0" applyAlignment="1" pivotButton="0" quotePrefix="0" xfId="0">
      <alignment wrapText="1"/>
    </xf>
    <xf numFmtId="0" fontId="141" fillId="137" borderId="0" applyAlignment="1" pivotButton="0" quotePrefix="0" xfId="0">
      <alignment wrapText="1"/>
    </xf>
    <xf numFmtId="0" fontId="122" fillId="138" borderId="0" applyAlignment="1" pivotButton="0" quotePrefix="0" xfId="0">
      <alignment wrapText="1"/>
    </xf>
    <xf numFmtId="0" fontId="139" fillId="138" borderId="0" applyAlignment="1" pivotButton="0" quotePrefix="0" xfId="0">
      <alignment wrapText="1"/>
    </xf>
    <xf numFmtId="0" fontId="140" fillId="138" borderId="0" applyAlignment="1" pivotButton="0" quotePrefix="0" xfId="0">
      <alignment wrapText="1"/>
    </xf>
    <xf numFmtId="0" fontId="122" fillId="17" borderId="0" applyAlignment="1" pivotButton="0" quotePrefix="0" xfId="0">
      <alignment wrapText="1"/>
    </xf>
    <xf numFmtId="0" fontId="139" fillId="17" borderId="0" applyAlignment="1" pivotButton="0" quotePrefix="0" xfId="0">
      <alignment wrapText="1"/>
    </xf>
    <xf numFmtId="0" fontId="140" fillId="17" borderId="0" applyAlignment="1" pivotButton="0" quotePrefix="0" xfId="0">
      <alignment wrapText="1"/>
    </xf>
    <xf numFmtId="0" fontId="19" fillId="139" borderId="0" applyAlignment="1" pivotButton="0" quotePrefix="0" xfId="0">
      <alignment wrapText="1"/>
    </xf>
    <xf numFmtId="0" fontId="24" fillId="139" borderId="0" pivotButton="0" quotePrefix="0" xfId="0"/>
    <xf numFmtId="0" fontId="129" fillId="140" borderId="0" applyAlignment="1" pivotButton="0" quotePrefix="0" xfId="0">
      <alignment wrapText="1"/>
    </xf>
    <xf numFmtId="0" fontId="122" fillId="141" borderId="0" applyAlignment="1" pivotButton="0" quotePrefix="0" xfId="0">
      <alignment wrapText="1"/>
    </xf>
    <xf numFmtId="0" fontId="139" fillId="141" borderId="0" applyAlignment="1" pivotButton="0" quotePrefix="0" xfId="0">
      <alignment wrapText="1"/>
    </xf>
    <xf numFmtId="0" fontId="19" fillId="31" borderId="0" applyAlignment="1" pivotButton="0" quotePrefix="0" xfId="0">
      <alignment wrapText="1"/>
    </xf>
    <xf numFmtId="0" fontId="24" fillId="143" borderId="0" pivotButton="0" quotePrefix="0" xfId="0"/>
    <xf numFmtId="0" fontId="22" fillId="144" borderId="0" applyAlignment="1" pivotButton="0" quotePrefix="0" xfId="0">
      <alignment wrapText="1"/>
    </xf>
    <xf numFmtId="0" fontId="140" fillId="144" borderId="0" applyAlignment="1" pivotButton="0" quotePrefix="0" xfId="0">
      <alignment wrapText="1"/>
    </xf>
    <xf numFmtId="0" fontId="0" fillId="119" borderId="0" pivotButton="0" quotePrefix="0" xfId="0"/>
    <xf numFmtId="0" fontId="21" fillId="93" borderId="0" applyAlignment="1" pivotButton="0" quotePrefix="0" xfId="0">
      <alignment horizontal="center" wrapText="1"/>
    </xf>
    <xf numFmtId="0" fontId="5" fillId="75" borderId="0" pivotButton="0" quotePrefix="0" xfId="0"/>
    <xf numFmtId="0" fontId="43" fillId="17" borderId="0" pivotButton="0" quotePrefix="0" xfId="0"/>
    <xf numFmtId="0" fontId="43" fillId="3" borderId="0" pivotButton="0" quotePrefix="0" xfId="0"/>
    <xf numFmtId="0" fontId="43" fillId="121" borderId="0" pivotButton="0" quotePrefix="0" xfId="0"/>
    <xf numFmtId="0" fontId="29" fillId="3" borderId="0" pivotButton="0" quotePrefix="0" xfId="0"/>
    <xf numFmtId="0" fontId="72" fillId="3" borderId="0" pivotButton="0" quotePrefix="0" xfId="0"/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12" fillId="2" borderId="0" pivotButton="0" quotePrefix="0" xfId="0"/>
    <xf numFmtId="0" fontId="19" fillId="17" borderId="0" pivotButton="0" quotePrefix="0" xfId="0"/>
    <xf numFmtId="0" fontId="36" fillId="121" borderId="0" pivotButton="0" quotePrefix="0" xfId="0"/>
    <xf numFmtId="0" fontId="16" fillId="2" borderId="0" pivotButton="0" quotePrefix="0" xfId="0"/>
    <xf numFmtId="0" fontId="126" fillId="17" borderId="0" pivotButton="0" quotePrefix="0" xfId="0"/>
    <xf numFmtId="0" fontId="42" fillId="3" borderId="0" pivotButton="0" quotePrefix="0" xfId="0"/>
    <xf numFmtId="0" fontId="57" fillId="121" borderId="0" pivotButton="0" quotePrefix="0" xfId="0"/>
    <xf numFmtId="0" fontId="57" fillId="3" borderId="0" pivotButton="0" quotePrefix="0" xfId="0"/>
    <xf numFmtId="0" fontId="142" fillId="144" borderId="0" applyAlignment="1" pivotButton="0" quotePrefix="0" xfId="0">
      <alignment wrapText="1"/>
    </xf>
    <xf numFmtId="0" fontId="142" fillId="17" borderId="0" applyAlignment="1" pivotButton="0" quotePrefix="0" xfId="0">
      <alignment wrapText="1"/>
    </xf>
    <xf numFmtId="0" fontId="12" fillId="111" borderId="0" applyAlignment="1" pivotButton="0" quotePrefix="0" xfId="0">
      <alignment horizontal="center"/>
    </xf>
    <xf numFmtId="0" fontId="0" fillId="0" borderId="0" pivotButton="0" quotePrefix="0" xfId="0"/>
    <xf numFmtId="0" fontId="122" fillId="141" borderId="0" applyAlignment="1" pivotButton="0" quotePrefix="0" xfId="0">
      <alignment wrapText="1"/>
    </xf>
    <xf numFmtId="0" fontId="122" fillId="17" borderId="0" applyAlignment="1" pivotButton="0" quotePrefix="0" xfId="0">
      <alignment wrapText="1"/>
    </xf>
    <xf numFmtId="0" fontId="23" fillId="142" borderId="0" pivotButton="0" quotePrefix="0" xfId="0"/>
    <xf numFmtId="0" fontId="19" fillId="31" borderId="0" pivotButton="0" quotePrefix="0" xfId="0"/>
    <xf numFmtId="0" fontId="23" fillId="105" borderId="0" pivotButton="0" quotePrefix="0" xfId="0"/>
    <xf numFmtId="0" fontId="24" fillId="139" borderId="0" pivotButton="0" quotePrefix="0" xfId="0"/>
    <xf numFmtId="0" fontId="22" fillId="98" borderId="0" pivotButton="0" quotePrefix="0" xfId="0"/>
    <xf numFmtId="0" fontId="23" fillId="119" borderId="0" pivotButton="0" quotePrefix="0" xfId="0"/>
    <xf numFmtId="0" fontId="23" fillId="131" borderId="0" pivotButton="0" quotePrefix="0" xfId="0"/>
    <xf numFmtId="0" fontId="23" fillId="93" borderId="0" pivotButton="0" quotePrefix="0" xfId="0"/>
    <xf numFmtId="0" fontId="137" fillId="93" borderId="0" applyAlignment="1" pivotButton="0" quotePrefix="0" xfId="0">
      <alignment horizontal="center"/>
    </xf>
    <xf numFmtId="0" fontId="138" fillId="120" borderId="0" applyAlignment="1" pivotButton="0" quotePrefix="0" xfId="0">
      <alignment horizontal="center"/>
    </xf>
    <xf numFmtId="0" fontId="116" fillId="98" borderId="0" pivotButton="0" quotePrefix="0" xfId="0"/>
    <xf numFmtId="0" fontId="17" fillId="2" borderId="0" pivotButton="0" quotePrefix="0" xfId="0"/>
    <xf numFmtId="0" fontId="18" fillId="11" borderId="0" pivotButton="0" quotePrefix="0" xfId="0"/>
    <xf numFmtId="0" fontId="18" fillId="12" borderId="0" pivotButton="0" quotePrefix="0" xfId="0"/>
    <xf numFmtId="0" fontId="18" fillId="13" borderId="0" pivotButton="0" quotePrefix="0" xfId="0"/>
    <xf numFmtId="0" fontId="17" fillId="93" borderId="0" applyAlignment="1" pivotButton="0" quotePrefix="0" xfId="0">
      <alignment horizontal="center"/>
    </xf>
    <xf numFmtId="0" fontId="21" fillId="6" borderId="0" pivotButton="0" quotePrefix="0" xfId="0"/>
    <xf numFmtId="0" fontId="13" fillId="11" borderId="0" pivotButton="0" quotePrefix="0" xfId="0"/>
    <xf numFmtId="0" fontId="83" fillId="18" borderId="0" pivotButton="0" quotePrefix="0" xfId="0"/>
    <xf numFmtId="0" fontId="23" fillId="18" borderId="0" pivotButton="0" quotePrefix="0" xfId="0"/>
    <xf numFmtId="0" fontId="12" fillId="6" borderId="0" pivotButton="0" quotePrefix="0" xfId="0"/>
    <xf numFmtId="0" fontId="2" fillId="11" borderId="0" pivotButton="0" quotePrefix="0" xfId="0"/>
    <xf numFmtId="0" fontId="84" fillId="18" borderId="0" pivotButton="0" quotePrefix="0" xfId="0"/>
    <xf numFmtId="0" fontId="2" fillId="4" borderId="0" pivotButton="0" quotePrefix="0" xfId="0"/>
    <xf numFmtId="0" fontId="21" fillId="7" borderId="0" pivotButton="0" quotePrefix="0" xfId="0"/>
    <xf numFmtId="0" fontId="23" fillId="15" borderId="0" pivotButton="0" quotePrefix="0" xfId="0"/>
    <xf numFmtId="0" fontId="16" fillId="16" borderId="0" pivotButton="0" quotePrefix="0" xfId="0"/>
    <xf numFmtId="0" fontId="28" fillId="16" borderId="0" pivotButton="0" quotePrefix="0" xfId="0"/>
    <xf numFmtId="0" fontId="69" fillId="50" borderId="0" pivotButton="0" quotePrefix="0" xfId="0"/>
    <xf numFmtId="0" fontId="12" fillId="7" borderId="0" pivotButton="0" quotePrefix="0" xfId="0"/>
    <xf numFmtId="0" fontId="34" fillId="22" borderId="0" pivotButton="0" quotePrefix="0" xfId="0"/>
    <xf numFmtId="0" fontId="22" fillId="32" borderId="0" pivotButton="0" quotePrefix="0" xfId="0"/>
    <xf numFmtId="0" fontId="5" fillId="15" borderId="0" pivotButton="0" quotePrefix="0" xfId="0"/>
    <xf numFmtId="0" fontId="5" fillId="19" borderId="0" pivotButton="0" quotePrefix="0" xfId="0"/>
    <xf numFmtId="0" fontId="5" fillId="6" borderId="0" pivotButton="0" quotePrefix="0" xfId="0"/>
    <xf numFmtId="0" fontId="5" fillId="23" borderId="0" pivotButton="0" quotePrefix="0" xfId="0"/>
    <xf numFmtId="0" fontId="5" fillId="30" borderId="0" pivotButton="0" quotePrefix="0" xfId="0"/>
    <xf numFmtId="0" fontId="22" fillId="17" borderId="0" pivotButton="0" quotePrefix="0" xfId="0"/>
    <xf numFmtId="0" fontId="0" fillId="20" borderId="0" pivotButton="0" quotePrefix="0" xfId="0"/>
    <xf numFmtId="0" fontId="22" fillId="11" borderId="0" pivotButton="0" quotePrefix="0" xfId="0"/>
    <xf numFmtId="0" fontId="19" fillId="2" borderId="0" pivotButton="0" quotePrefix="0" xfId="0"/>
    <xf numFmtId="0" fontId="16" fillId="20" borderId="0" pivotButton="0" quotePrefix="0" xfId="0"/>
    <xf numFmtId="0" fontId="35" fillId="3" borderId="0" pivotButton="0" quotePrefix="0" xfId="0"/>
    <xf numFmtId="0" fontId="36" fillId="3" borderId="0" pivotButton="0" quotePrefix="0" xfId="0"/>
    <xf numFmtId="0" fontId="23" fillId="19" borderId="0" pivotButton="0" quotePrefix="0" xfId="0"/>
    <xf numFmtId="0" fontId="23" fillId="30" borderId="0" pivotButton="0" quotePrefix="0" xfId="0"/>
    <xf numFmtId="0" fontId="40" fillId="40" borderId="0" pivotButton="0" quotePrefix="0" xfId="0"/>
    <xf numFmtId="0" fontId="36" fillId="40" borderId="0" pivotButton="0" quotePrefix="0" xfId="0"/>
    <xf numFmtId="0" fontId="23" fillId="35" borderId="0" pivotButton="0" quotePrefix="0" xfId="0"/>
    <xf numFmtId="0" fontId="23" fillId="6" borderId="0" pivotButton="0" quotePrefix="0" xfId="0"/>
    <xf numFmtId="0" fontId="23" fillId="23" borderId="0" pivotButton="0" quotePrefix="0" xfId="0"/>
    <xf numFmtId="0" fontId="12" fillId="48" borderId="0" pivotButton="0" quotePrefix="0" xfId="0"/>
    <xf numFmtId="0" fontId="44" fillId="47" borderId="0" pivotButton="0" quotePrefix="0" xfId="0"/>
    <xf numFmtId="0" fontId="46" fillId="47" borderId="0" pivotButton="0" quotePrefix="0" xfId="0"/>
    <xf numFmtId="0" fontId="19" fillId="60" borderId="0" pivotButton="0" quotePrefix="0" xfId="0"/>
    <xf numFmtId="0" fontId="19" fillId="58" borderId="0" pivotButton="0" quotePrefix="0" xfId="0"/>
    <xf numFmtId="0" fontId="56" fillId="24" borderId="0" pivotButton="0" quotePrefix="0" xfId="0"/>
    <xf numFmtId="0" fontId="56" fillId="59" borderId="0" pivotButton="0" quotePrefix="0" xfId="0"/>
    <xf numFmtId="0" fontId="47" fillId="3" borderId="0" pivotButton="0" quotePrefix="0" xfId="0"/>
    <xf numFmtId="0" fontId="48" fillId="3" borderId="0" pivotButton="0" quotePrefix="0" xfId="0"/>
    <xf numFmtId="0" fontId="7" fillId="0" borderId="0" pivotButton="0" quotePrefix="0" xfId="0"/>
    <xf numFmtId="0" fontId="44" fillId="50" borderId="0" pivotButton="0" quotePrefix="0" xfId="0"/>
    <xf numFmtId="0" fontId="5" fillId="58" borderId="0" pivotButton="0" quotePrefix="0" xfId="0"/>
    <xf numFmtId="0" fontId="58" fillId="59" borderId="0" pivotButton="0" quotePrefix="0" xfId="0"/>
    <xf numFmtId="0" fontId="58" fillId="17" borderId="0" pivotButton="0" quotePrefix="0" xfId="0"/>
    <xf numFmtId="0" fontId="59" fillId="47" borderId="0" pivotButton="0" quotePrefix="0" xfId="0"/>
    <xf numFmtId="0" fontId="50" fillId="2" borderId="0" pivotButton="0" quotePrefix="0" xfId="0"/>
    <xf numFmtId="0" fontId="60" fillId="68" borderId="0" pivotButton="0" quotePrefix="0" xfId="0"/>
    <xf numFmtId="0" fontId="5" fillId="67" borderId="0" pivotButton="0" quotePrefix="0" xfId="0"/>
    <xf numFmtId="0" fontId="23" fillId="66" borderId="0" pivotButton="0" quotePrefix="0" xfId="0"/>
    <xf numFmtId="0" fontId="12" fillId="66" borderId="0" pivotButton="0" quotePrefix="0" xfId="0"/>
    <xf numFmtId="0" fontId="24" fillId="25" borderId="0" pivotButton="0" quotePrefix="0" xfId="0"/>
    <xf numFmtId="0" fontId="62" fillId="73" borderId="0" applyAlignment="1" pivotButton="0" quotePrefix="0" xfId="0">
      <alignment wrapText="1"/>
    </xf>
    <xf numFmtId="0" fontId="64" fillId="40" borderId="0" applyAlignment="1" pivotButton="0" quotePrefix="0" xfId="0">
      <alignment wrapText="1"/>
    </xf>
    <xf numFmtId="0" fontId="62" fillId="4" borderId="0" applyAlignment="1" pivotButton="0" quotePrefix="0" xfId="0">
      <alignment wrapText="1"/>
    </xf>
    <xf numFmtId="0" fontId="62" fillId="19" borderId="0" applyAlignment="1" pivotButton="0" quotePrefix="0" xfId="0">
      <alignment wrapText="1"/>
    </xf>
    <xf numFmtId="0" fontId="62" fillId="38" borderId="0" applyAlignment="1" pivotButton="0" quotePrefix="0" xfId="0">
      <alignment wrapText="1"/>
    </xf>
    <xf numFmtId="0" fontId="62" fillId="72" borderId="0" applyAlignment="1" pivotButton="0" quotePrefix="0" xfId="0">
      <alignment wrapText="1"/>
    </xf>
    <xf numFmtId="0" fontId="62" fillId="15" borderId="0" applyAlignment="1" pivotButton="0" quotePrefix="0" xfId="0">
      <alignment wrapText="1"/>
    </xf>
    <xf numFmtId="0" fontId="62" fillId="30" borderId="0" applyAlignment="1" pivotButton="0" quotePrefix="0" xfId="0">
      <alignment wrapText="1"/>
    </xf>
    <xf numFmtId="0" fontId="61" fillId="70" borderId="0" pivotButton="0" quotePrefix="0" xfId="0"/>
    <xf numFmtId="0" fontId="16" fillId="69" borderId="0" pivotButton="0" quotePrefix="0" xfId="0"/>
    <xf numFmtId="0" fontId="62" fillId="18" borderId="0" applyAlignment="1" pivotButton="0" quotePrefix="0" xfId="0">
      <alignment wrapText="1"/>
    </xf>
    <xf numFmtId="0" fontId="64" fillId="40" borderId="0" pivotButton="0" quotePrefix="0" xfId="0"/>
    <xf numFmtId="0" fontId="66" fillId="77" borderId="0" pivotButton="0" quotePrefix="0" xfId="0"/>
    <xf numFmtId="0" fontId="66" fillId="76" borderId="0" pivotButton="0" quotePrefix="0" xfId="0"/>
    <xf numFmtId="0" fontId="66" fillId="75" borderId="0" pivotButton="0" quotePrefix="0" xfId="0"/>
    <xf numFmtId="0" fontId="65" fillId="70" borderId="0" pivotButton="0" quotePrefix="0" xfId="0"/>
    <xf numFmtId="0" fontId="16" fillId="70" borderId="0" pivotButton="0" quotePrefix="0" xfId="0"/>
    <xf numFmtId="0" fontId="66" fillId="74" borderId="0" pivotButton="0" quotePrefix="0" xfId="0"/>
    <xf numFmtId="0" fontId="5" fillId="7" borderId="0" pivotButton="0" quotePrefix="0" xfId="0"/>
    <xf numFmtId="0" fontId="60" fillId="62" borderId="0" pivotButton="0" quotePrefix="0" xfId="0"/>
    <xf numFmtId="0" fontId="12" fillId="75" borderId="0" pivotButton="0" quotePrefix="0" xfId="0"/>
    <xf numFmtId="0" fontId="73" fillId="62" borderId="0" pivotButton="0" quotePrefix="0" xfId="0"/>
    <xf numFmtId="0" fontId="5" fillId="80" borderId="0" pivotButton="0" quotePrefix="0" xfId="0"/>
    <xf numFmtId="0" fontId="12" fillId="87" borderId="0" pivotButton="0" quotePrefix="0" xfId="0"/>
    <xf numFmtId="0" fontId="5" fillId="74" borderId="0" pivotButton="0" quotePrefix="0" xfId="0"/>
    <xf numFmtId="0" fontId="73" fillId="81" borderId="0" pivotButton="0" quotePrefix="0" xfId="0"/>
    <xf numFmtId="0" fontId="77" fillId="66" borderId="0" applyAlignment="1" pivotButton="0" quotePrefix="0" xfId="0">
      <alignment wrapText="1"/>
    </xf>
    <xf numFmtId="0" fontId="77" fillId="91" borderId="0" applyAlignment="1" pivotButton="0" quotePrefix="0" xfId="0">
      <alignment wrapText="1"/>
    </xf>
    <xf numFmtId="0" fontId="75" fillId="89" borderId="0" pivotButton="0" quotePrefix="0" xfId="0"/>
    <xf numFmtId="0" fontId="76" fillId="88" borderId="0" pivotButton="0" quotePrefix="0" xfId="0"/>
    <xf numFmtId="0" fontId="77" fillId="75" borderId="0" applyAlignment="1" pivotButton="0" quotePrefix="0" xfId="0">
      <alignment wrapText="1"/>
    </xf>
    <xf numFmtId="0" fontId="77" fillId="80" borderId="0" applyAlignment="1" pivotButton="0" quotePrefix="0" xfId="0">
      <alignment wrapText="1"/>
    </xf>
    <xf numFmtId="0" fontId="77" fillId="87" borderId="0" applyAlignment="1" pivotButton="0" quotePrefix="0" xfId="0">
      <alignment wrapText="1"/>
    </xf>
    <xf numFmtId="0" fontId="77" fillId="48" borderId="0" applyAlignment="1" pivotButton="0" quotePrefix="0" xfId="0">
      <alignment wrapText="1"/>
    </xf>
    <xf numFmtId="0" fontId="99" fillId="100" borderId="15" applyAlignment="1" pivotButton="0" quotePrefix="0" xfId="0">
      <alignment horizontal="center" vertical="center"/>
    </xf>
    <xf numFmtId="0" fontId="99" fillId="100" borderId="0" applyAlignment="1" pivotButton="0" quotePrefix="0" xfId="0">
      <alignment horizontal="center" vertical="center"/>
    </xf>
    <xf numFmtId="0" fontId="87" fillId="101" borderId="15" applyAlignment="1" pivotButton="0" quotePrefix="0" xfId="0">
      <alignment horizontal="center" vertical="center"/>
    </xf>
    <xf numFmtId="0" fontId="87" fillId="101" borderId="0" applyAlignment="1" pivotButton="0" quotePrefix="0" xfId="0">
      <alignment horizontal="center" vertical="center"/>
    </xf>
    <xf numFmtId="0" fontId="87" fillId="101" borderId="16" applyAlignment="1" pivotButton="0" quotePrefix="0" xfId="0">
      <alignment horizontal="center" vertical="center"/>
    </xf>
    <xf numFmtId="0" fontId="97" fillId="94" borderId="15" applyAlignment="1" pivotButton="0" quotePrefix="0" xfId="0">
      <alignment horizontal="center" vertical="center"/>
    </xf>
    <xf numFmtId="0" fontId="97" fillId="94" borderId="0" applyAlignment="1" pivotButton="0" quotePrefix="0" xfId="0">
      <alignment horizontal="center" vertical="center"/>
    </xf>
    <xf numFmtId="0" fontId="98" fillId="75" borderId="15" applyAlignment="1" pivotButton="0" quotePrefix="0" xfId="0">
      <alignment horizontal="center" vertical="center"/>
    </xf>
    <xf numFmtId="0" fontId="98" fillId="75" borderId="0" applyAlignment="1" pivotButton="0" quotePrefix="0" xfId="0">
      <alignment horizontal="center" vertical="center"/>
    </xf>
    <xf numFmtId="0" fontId="98" fillId="75" borderId="16" applyAlignment="1" pivotButton="0" quotePrefix="0" xfId="0">
      <alignment horizontal="center" vertical="center"/>
    </xf>
    <xf numFmtId="0" fontId="5" fillId="93" borderId="0" applyAlignment="1" pivotButton="0" quotePrefix="0" xfId="0">
      <alignment horizontal="center" vertical="center"/>
    </xf>
    <xf numFmtId="0" fontId="19" fillId="99" borderId="15" applyAlignment="1" pivotButton="0" quotePrefix="0" xfId="0">
      <alignment horizontal="center" vertical="center"/>
    </xf>
    <xf numFmtId="0" fontId="19" fillId="99" borderId="0" applyAlignment="1" pivotButton="0" quotePrefix="0" xfId="0">
      <alignment horizontal="center" vertical="center"/>
    </xf>
    <xf numFmtId="0" fontId="19" fillId="80" borderId="15" applyAlignment="1" pivotButton="0" quotePrefix="0" xfId="0">
      <alignment horizontal="center" vertical="center"/>
    </xf>
    <xf numFmtId="0" fontId="19" fillId="80" borderId="0" applyAlignment="1" pivotButton="0" quotePrefix="0" xfId="0">
      <alignment horizontal="center" vertical="center"/>
    </xf>
    <xf numFmtId="0" fontId="19" fillId="80" borderId="16" applyAlignment="1" pivotButton="0" quotePrefix="0" xfId="0">
      <alignment horizontal="center" vertical="center"/>
    </xf>
    <xf numFmtId="0" fontId="21" fillId="93" borderId="0" applyAlignment="1" pivotButton="0" quotePrefix="0" xfId="0">
      <alignment horizontal="center" vertical="center"/>
    </xf>
    <xf numFmtId="0" fontId="91" fillId="94" borderId="0" applyAlignment="1" pivotButton="0" quotePrefix="0" xfId="0">
      <alignment horizontal="center"/>
    </xf>
    <xf numFmtId="0" fontId="92" fillId="95" borderId="0" applyAlignment="1" pivotButton="0" quotePrefix="0" xfId="0">
      <alignment horizontal="center" vertical="center"/>
    </xf>
    <xf numFmtId="0" fontId="93" fillId="96" borderId="0" applyAlignment="1" pivotButton="0" quotePrefix="0" xfId="0">
      <alignment horizontal="center" vertical="center"/>
    </xf>
    <xf numFmtId="0" fontId="94" fillId="97" borderId="0" applyAlignment="1" pivotButton="0" quotePrefix="0" xfId="0">
      <alignment horizontal="center" vertical="center"/>
    </xf>
    <xf numFmtId="0" fontId="95" fillId="59" borderId="0" applyAlignment="1" pivotButton="0" quotePrefix="0" xfId="0">
      <alignment horizontal="center" vertical="center"/>
    </xf>
    <xf numFmtId="0" fontId="96" fillId="98" borderId="0" applyAlignment="1" pivotButton="0" quotePrefix="0" xfId="0">
      <alignment horizontal="center" vertical="center"/>
    </xf>
    <xf numFmtId="0" fontId="89" fillId="102" borderId="13" applyAlignment="1" pivotButton="0" quotePrefix="0" xfId="0">
      <alignment horizontal="center" vertical="center"/>
    </xf>
    <xf numFmtId="0" fontId="88" fillId="103" borderId="14" applyAlignment="1" pivotButton="0" quotePrefix="0" xfId="0">
      <alignment horizontal="center" vertical="center"/>
    </xf>
    <xf numFmtId="0" fontId="88" fillId="103" borderId="13" applyAlignment="1" pivotButton="0" quotePrefix="0" xfId="0">
      <alignment horizontal="center" vertical="center"/>
    </xf>
    <xf numFmtId="0" fontId="86" fillId="103" borderId="13" applyAlignment="1" pivotButton="0" quotePrefix="0" xfId="0">
      <alignment horizontal="center" vertical="center"/>
    </xf>
    <xf numFmtId="0" fontId="86" fillId="103" borderId="17" applyAlignment="1" pivotButton="0" quotePrefix="0" xfId="0">
      <alignment horizontal="center" vertical="center"/>
    </xf>
    <xf numFmtId="0" fontId="5" fillId="104" borderId="0" applyAlignment="1" pivotButton="0" quotePrefix="0" xfId="0">
      <alignment horizontal="center" vertical="center"/>
    </xf>
    <xf numFmtId="0" fontId="5" fillId="105" borderId="0" applyAlignment="1" pivotButton="0" quotePrefix="0" xfId="0">
      <alignment horizontal="center" vertical="center"/>
    </xf>
    <xf numFmtId="0" fontId="100" fillId="102" borderId="14" applyAlignment="1" pivotButton="0" quotePrefix="0" xfId="0">
      <alignment horizontal="center" vertical="center"/>
    </xf>
    <xf numFmtId="0" fontId="100" fillId="102" borderId="13" applyAlignment="1" pivotButton="0" quotePrefix="0" xfId="0">
      <alignment horizontal="center" vertical="center"/>
    </xf>
    <xf numFmtId="0" fontId="90" fillId="102" borderId="14" applyAlignment="1" pivotButton="0" quotePrefix="0" xfId="0">
      <alignment horizontal="center" vertical="center"/>
    </xf>
    <xf numFmtId="0" fontId="90" fillId="102" borderId="13" applyAlignment="1" pivotButton="0" quotePrefix="0" xfId="0">
      <alignment horizontal="center" vertical="center"/>
    </xf>
    <xf numFmtId="0" fontId="102" fillId="109" borderId="0" pivotButton="0" quotePrefix="0" xfId="0"/>
    <xf numFmtId="0" fontId="102" fillId="17" borderId="0" pivotButton="0" quotePrefix="0" xfId="0"/>
    <xf numFmtId="0" fontId="5" fillId="110" borderId="0" applyAlignment="1" pivotButton="0" quotePrefix="0" xfId="0">
      <alignment horizontal="center"/>
    </xf>
    <xf numFmtId="0" fontId="5" fillId="111" borderId="0" applyAlignment="1" pivotButton="0" quotePrefix="0" xfId="0">
      <alignment horizontal="center"/>
    </xf>
    <xf numFmtId="0" fontId="5" fillId="114" borderId="0" applyAlignment="1" pivotButton="0" quotePrefix="0" xfId="0">
      <alignment horizontal="center" vertical="center"/>
    </xf>
    <xf numFmtId="0" fontId="102" fillId="20" borderId="0" pivotButton="0" quotePrefix="0" xfId="0"/>
    <xf numFmtId="0" fontId="101" fillId="95" borderId="0" pivotButton="0" quotePrefix="0" xfId="0"/>
    <xf numFmtId="169" fontId="135" fillId="16" borderId="0" pivotButton="0" quotePrefix="0" xfId="0"/>
    <xf numFmtId="171" fontId="0" fillId="3" borderId="0" pivotButton="0" quotePrefix="0" xfId="0"/>
    <xf numFmtId="3" fontId="15" fillId="2" borderId="0" pivotButton="0" quotePrefix="0" xfId="0"/>
    <xf numFmtId="3" fontId="15" fillId="5" borderId="0" pivotButton="0" quotePrefix="0" xfId="0"/>
    <xf numFmtId="3" fontId="19" fillId="4" borderId="0" pivotButton="0" quotePrefix="0" xfId="0"/>
    <xf numFmtId="172" fontId="85" fillId="18" borderId="0" pivotButton="0" quotePrefix="0" xfId="0"/>
    <xf numFmtId="172" fontId="15" fillId="15" borderId="0" pivotButton="0" quotePrefix="0" xfId="0"/>
    <xf numFmtId="172" fontId="19" fillId="4" borderId="0" pivotButton="0" quotePrefix="0" xfId="0"/>
    <xf numFmtId="172" fontId="15" fillId="30" borderId="0" pivotButton="0" quotePrefix="0" xfId="0"/>
    <xf numFmtId="172" fontId="15" fillId="38" borderId="0" pivotButton="0" quotePrefix="0" xfId="0"/>
    <xf numFmtId="172" fontId="15" fillId="31" borderId="0" pivotButton="0" quotePrefix="0" xfId="0"/>
    <xf numFmtId="172" fontId="19" fillId="3" borderId="0" pivotButton="0" quotePrefix="0" xfId="0"/>
    <xf numFmtId="169" fontId="85" fillId="18" borderId="0" pivotButton="0" quotePrefix="0" xfId="0"/>
    <xf numFmtId="169" fontId="15" fillId="15" borderId="0" pivotButton="0" quotePrefix="0" xfId="0"/>
    <xf numFmtId="169" fontId="19" fillId="4" borderId="0" pivotButton="0" quotePrefix="0" xfId="0"/>
    <xf numFmtId="169" fontId="15" fillId="30" borderId="0" pivotButton="0" quotePrefix="0" xfId="0"/>
    <xf numFmtId="169" fontId="15" fillId="38" borderId="0" pivotButton="0" quotePrefix="0" xfId="0"/>
    <xf numFmtId="169" fontId="15" fillId="31" borderId="0" pivotButton="0" quotePrefix="0" xfId="0"/>
    <xf numFmtId="169" fontId="19" fillId="3" borderId="0" pivotButton="0" quotePrefix="0" xfId="0"/>
    <xf numFmtId="169" fontId="15" fillId="4" borderId="0" pivotButton="0" quotePrefix="0" xfId="0"/>
    <xf numFmtId="3" fontId="15" fillId="41" borderId="0" pivotButton="0" quotePrefix="0" xfId="0"/>
    <xf numFmtId="3" fontId="15" fillId="42" borderId="0" pivotButton="0" quotePrefix="0" xfId="0"/>
    <xf numFmtId="164" fontId="15" fillId="41" borderId="0" pivotButton="0" quotePrefix="0" xfId="0"/>
    <xf numFmtId="164" fontId="15" fillId="42" borderId="0" pivotButton="0" quotePrefix="0" xfId="0"/>
    <xf numFmtId="3" fontId="15" fillId="43" borderId="0" pivotButton="0" quotePrefix="0" xfId="0"/>
    <xf numFmtId="164" fontId="15" fillId="44" borderId="0" pivotButton="0" quotePrefix="0" xfId="0"/>
    <xf numFmtId="164" fontId="15" fillId="43" borderId="0" pivotButton="0" quotePrefix="0" xfId="0"/>
    <xf numFmtId="167" fontId="15" fillId="44" borderId="0" pivotButton="0" quotePrefix="0" xfId="0"/>
    <xf numFmtId="167" fontId="15" fillId="43" borderId="0" pivotButton="0" quotePrefix="0" xfId="0"/>
    <xf numFmtId="164" fontId="15" fillId="45" borderId="0" pivotButton="0" quotePrefix="0" xfId="0"/>
    <xf numFmtId="164" fontId="15" fillId="46" borderId="0" pivotButton="0" quotePrefix="0" xfId="0"/>
    <xf numFmtId="0" fontId="19" fillId="2" borderId="28" pivotButton="0" quotePrefix="0" xfId="0"/>
    <xf numFmtId="0" fontId="19" fillId="2" borderId="29" pivotButton="0" quotePrefix="0" xfId="0"/>
    <xf numFmtId="0" fontId="37" fillId="2" borderId="29" applyAlignment="1" pivotButton="0" quotePrefix="0" xfId="0">
      <alignment wrapText="1"/>
    </xf>
    <xf numFmtId="0" fontId="19" fillId="2" borderId="30" pivotButton="0" quotePrefix="0" xfId="0"/>
    <xf numFmtId="0" fontId="5" fillId="7" borderId="31" pivotButton="0" quotePrefix="0" xfId="0"/>
    <xf numFmtId="0" fontId="5" fillId="7" borderId="32" pivotButton="0" quotePrefix="0" xfId="0"/>
    <xf numFmtId="0" fontId="5" fillId="7" borderId="33" pivotButton="0" quotePrefix="0" xfId="0"/>
    <xf numFmtId="0" fontId="22" fillId="17" borderId="31" pivotButton="0" quotePrefix="0" xfId="0"/>
    <xf numFmtId="0" fontId="22" fillId="17" borderId="32" pivotButton="0" quotePrefix="0" xfId="0"/>
    <xf numFmtId="0" fontId="22" fillId="26" borderId="31" pivotButton="0" quotePrefix="0" xfId="0"/>
    <xf numFmtId="0" fontId="22" fillId="26" borderId="32" pivotButton="0" quotePrefix="0" xfId="0"/>
    <xf numFmtId="0" fontId="22" fillId="21" borderId="34" pivotButton="0" quotePrefix="0" xfId="0"/>
    <xf numFmtId="0" fontId="22" fillId="21" borderId="35" pivotButton="0" quotePrefix="0" xfId="0"/>
    <xf numFmtId="0" fontId="22" fillId="21" borderId="36" pivotButton="0" quotePrefix="0" xfId="0"/>
    <xf numFmtId="0" fontId="19" fillId="7" borderId="31" pivotButton="0" quotePrefix="0" xfId="0"/>
    <xf numFmtId="0" fontId="19" fillId="7" borderId="32" pivotButton="0" quotePrefix="0" xfId="0"/>
    <xf numFmtId="166" fontId="19" fillId="7" borderId="33" pivotButton="0" quotePrefix="0" xfId="0"/>
    <xf numFmtId="0" fontId="22" fillId="22" borderId="31" pivotButton="0" quotePrefix="0" xfId="0"/>
    <xf numFmtId="0" fontId="0" fillId="16" borderId="32" pivotButton="0" quotePrefix="0" xfId="0"/>
    <xf numFmtId="0" fontId="0" fillId="16" borderId="33" pivotButton="0" quotePrefix="0" xfId="0"/>
    <xf numFmtId="0" fontId="16" fillId="26" borderId="33" pivotButton="0" quotePrefix="0" xfId="0"/>
    <xf numFmtId="0" fontId="16" fillId="17" borderId="33" pivotButton="0" quotePrefix="0" xfId="0"/>
    <xf numFmtId="165" fontId="133" fillId="26" borderId="33" pivotButton="0" quotePrefix="0" xfId="0"/>
    <xf numFmtId="165" fontId="16" fillId="17" borderId="33" pivotButton="0" quotePrefix="0" xfId="0"/>
    <xf numFmtId="0" fontId="22" fillId="17" borderId="34" pivotButton="0" quotePrefix="0" xfId="0"/>
    <xf numFmtId="0" fontId="22" fillId="17" borderId="35" pivotButton="0" quotePrefix="0" xfId="0"/>
    <xf numFmtId="0" fontId="5" fillId="7" borderId="28" pivotButton="0" quotePrefix="0" xfId="0"/>
    <xf numFmtId="0" fontId="5" fillId="7" borderId="29" pivotButton="0" quotePrefix="0" xfId="0"/>
    <xf numFmtId="0" fontId="19" fillId="23" borderId="37" pivotButton="0" quotePrefix="0" xfId="0"/>
    <xf numFmtId="0" fontId="19" fillId="23" borderId="38" pivotButton="0" quotePrefix="0" xfId="0"/>
    <xf numFmtId="0" fontId="22" fillId="26" borderId="34" pivotButton="0" quotePrefix="0" xfId="0"/>
    <xf numFmtId="0" fontId="22" fillId="26" borderId="35" pivotButton="0" quotePrefix="0" xfId="0"/>
    <xf numFmtId="0" fontId="19" fillId="23" borderId="34" pivotButton="0" quotePrefix="0" xfId="0"/>
    <xf numFmtId="0" fontId="19" fillId="23" borderId="35" pivotButton="0" quotePrefix="0" xfId="0"/>
    <xf numFmtId="0" fontId="13" fillId="4" borderId="40" pivotButton="0" quotePrefix="0" xfId="0"/>
    <xf numFmtId="0" fontId="2" fillId="4" borderId="41" pivotButton="0" quotePrefix="0" xfId="0"/>
    <xf numFmtId="0" fontId="22" fillId="26" borderId="43" pivotButton="0" quotePrefix="0" xfId="0"/>
    <xf numFmtId="0" fontId="22" fillId="26" borderId="44" pivotButton="0" quotePrefix="0" xfId="0"/>
    <xf numFmtId="0" fontId="22" fillId="21" borderId="28" pivotButton="0" quotePrefix="0" xfId="0"/>
    <xf numFmtId="0" fontId="22" fillId="21" borderId="29" pivotButton="0" quotePrefix="0" xfId="0"/>
    <xf numFmtId="0" fontId="22" fillId="21" borderId="30" pivotButton="0" quotePrefix="0" xfId="0"/>
    <xf numFmtId="0" fontId="29" fillId="3" borderId="37" pivotButton="0" quotePrefix="0" xfId="0"/>
    <xf numFmtId="0" fontId="29" fillId="3" borderId="38" pivotButton="0" quotePrefix="0" xfId="0"/>
    <xf numFmtId="0" fontId="19" fillId="7" borderId="28" pivotButton="0" quotePrefix="0" xfId="0"/>
    <xf numFmtId="0" fontId="0" fillId="16" borderId="28" pivotButton="0" quotePrefix="0" xfId="0"/>
    <xf numFmtId="0" fontId="26" fillId="3" borderId="40" pivotButton="0" quotePrefix="0" xfId="0"/>
    <xf numFmtId="0" fontId="16" fillId="17" borderId="36" pivotButton="0" quotePrefix="0" xfId="0"/>
    <xf numFmtId="0" fontId="0" fillId="16" borderId="30" pivotButton="0" quotePrefix="0" xfId="0"/>
    <xf numFmtId="0" fontId="16" fillId="23" borderId="39" pivotButton="0" quotePrefix="0" xfId="0"/>
    <xf numFmtId="0" fontId="22" fillId="22" borderId="34" pivotButton="0" quotePrefix="0" xfId="0"/>
    <xf numFmtId="0" fontId="16" fillId="22" borderId="36" pivotButton="0" quotePrefix="0" xfId="0"/>
    <xf numFmtId="0" fontId="22" fillId="22" borderId="43" pivotButton="0" quotePrefix="0" xfId="0"/>
    <xf numFmtId="0" fontId="16" fillId="22" borderId="45" pivotButton="0" quotePrefix="0" xfId="0"/>
    <xf numFmtId="0" fontId="30" fillId="3" borderId="37" pivotButton="0" quotePrefix="0" xfId="0"/>
    <xf numFmtId="0" fontId="16" fillId="3" borderId="39" pivotButton="0" quotePrefix="0" xfId="0"/>
    <xf numFmtId="0" fontId="16" fillId="26" borderId="45" pivotButton="0" quotePrefix="0" xfId="0"/>
    <xf numFmtId="49" fontId="16" fillId="3" borderId="39" pivotButton="0" quotePrefix="0" xfId="0"/>
    <xf numFmtId="0" fontId="19" fillId="6" borderId="31" pivotButton="0" quotePrefix="0" xfId="0"/>
    <xf numFmtId="0" fontId="19" fillId="6" borderId="32" pivotButton="0" quotePrefix="0" xfId="0"/>
    <xf numFmtId="0" fontId="19" fillId="6" borderId="33" pivotButton="0" quotePrefix="0" xfId="0"/>
    <xf numFmtId="0" fontId="22" fillId="11" borderId="31" pivotButton="0" quotePrefix="0" xfId="0"/>
    <xf numFmtId="0" fontId="22" fillId="11" borderId="32" pivotButton="0" quotePrefix="0" xfId="0"/>
    <xf numFmtId="0" fontId="22" fillId="11" borderId="33" pivotButton="0" quotePrefix="0" xfId="0"/>
    <xf numFmtId="0" fontId="22" fillId="17" borderId="33" pivotButton="0" quotePrefix="0" xfId="0"/>
    <xf numFmtId="0" fontId="22" fillId="22" borderId="32" pivotButton="0" quotePrefix="0" xfId="0"/>
    <xf numFmtId="0" fontId="22" fillId="22" borderId="33" pivotButton="0" quotePrefix="0" xfId="0"/>
    <xf numFmtId="164" fontId="22" fillId="17" borderId="32" pivotButton="0" quotePrefix="0" xfId="0"/>
    <xf numFmtId="0" fontId="22" fillId="11" borderId="34" pivotButton="0" quotePrefix="0" xfId="0"/>
    <xf numFmtId="0" fontId="22" fillId="11" borderId="35" pivotButton="0" quotePrefix="0" xfId="0"/>
    <xf numFmtId="0" fontId="22" fillId="11" borderId="36" pivotButton="0" quotePrefix="0" xfId="0"/>
    <xf numFmtId="0" fontId="19" fillId="6" borderId="28" pivotButton="0" quotePrefix="0" xfId="0"/>
    <xf numFmtId="0" fontId="19" fillId="6" borderId="29" pivotButton="0" quotePrefix="0" xfId="0"/>
    <xf numFmtId="0" fontId="19" fillId="6" borderId="30" pivotButton="0" quotePrefix="0" xfId="0"/>
    <xf numFmtId="0" fontId="24" fillId="21" borderId="37" pivotButton="0" quotePrefix="0" xfId="0"/>
    <xf numFmtId="0" fontId="24" fillId="21" borderId="38" pivotButton="0" quotePrefix="0" xfId="0"/>
    <xf numFmtId="0" fontId="24" fillId="21" borderId="39" pivotButton="0" quotePrefix="0" xfId="0"/>
    <xf numFmtId="0" fontId="24" fillId="21" borderId="34" pivotButton="0" quotePrefix="0" xfId="0"/>
    <xf numFmtId="0" fontId="24" fillId="21" borderId="35" pivotButton="0" quotePrefix="0" xfId="0"/>
    <xf numFmtId="0" fontId="24" fillId="21" borderId="36" pivotButton="0" quotePrefix="0" xfId="0"/>
    <xf numFmtId="0" fontId="19" fillId="23" borderId="40" pivotButton="0" quotePrefix="0" xfId="0"/>
    <xf numFmtId="0" fontId="19" fillId="23" borderId="41" pivotButton="0" quotePrefix="0" xfId="0"/>
    <xf numFmtId="0" fontId="19" fillId="23" borderId="42" pivotButton="0" quotePrefix="0" xfId="0"/>
    <xf numFmtId="0" fontId="22" fillId="17" borderId="36" pivotButton="0" quotePrefix="0" xfId="0"/>
    <xf numFmtId="0" fontId="22" fillId="11" borderId="28" pivotButton="0" quotePrefix="0" xfId="0"/>
    <xf numFmtId="0" fontId="22" fillId="11" borderId="29" pivotButton="0" quotePrefix="0" xfId="0"/>
    <xf numFmtId="0" fontId="22" fillId="11" borderId="30" pivotButton="0" quotePrefix="0" xfId="0"/>
    <xf numFmtId="164" fontId="22" fillId="11" borderId="35" pivotButton="0" quotePrefix="0" xfId="0"/>
    <xf numFmtId="0" fontId="19" fillId="7" borderId="37" pivotButton="0" quotePrefix="0" xfId="0"/>
    <xf numFmtId="0" fontId="19" fillId="7" borderId="38" pivotButton="0" quotePrefix="0" xfId="0"/>
    <xf numFmtId="0" fontId="19" fillId="7" borderId="39" pivotButton="0" quotePrefix="0" xfId="0"/>
    <xf numFmtId="165" fontId="22" fillId="11" borderId="32" pivotButton="0" quotePrefix="0" xfId="0"/>
    <xf numFmtId="166" fontId="22" fillId="11" borderId="32" pivotButton="0" quotePrefix="0" xfId="0"/>
    <xf numFmtId="165" fontId="22" fillId="17" borderId="32" pivotButton="0" quotePrefix="0" xfId="0"/>
    <xf numFmtId="166" fontId="22" fillId="17" borderId="32" pivotButton="0" quotePrefix="0" xfId="0"/>
    <xf numFmtId="165" fontId="22" fillId="21" borderId="35" pivotButton="0" quotePrefix="0" xfId="0"/>
    <xf numFmtId="166" fontId="22" fillId="21" borderId="35" pivotButton="0" quotePrefix="0" xfId="0"/>
    <xf numFmtId="165" fontId="22" fillId="11" borderId="35" pivotButton="0" quotePrefix="0" xfId="0"/>
    <xf numFmtId="166" fontId="22" fillId="11" borderId="35" pivotButton="0" quotePrefix="0" xfId="0"/>
    <xf numFmtId="165" fontId="19" fillId="6" borderId="29" pivotButton="0" quotePrefix="0" xfId="0"/>
    <xf numFmtId="166" fontId="19" fillId="6" borderId="29" pivotButton="0" quotePrefix="0" xfId="0"/>
    <xf numFmtId="165" fontId="24" fillId="21" borderId="38" pivotButton="0" quotePrefix="0" xfId="0"/>
    <xf numFmtId="166" fontId="24" fillId="21" borderId="38" pivotButton="0" quotePrefix="0" xfId="0"/>
    <xf numFmtId="165" fontId="22" fillId="17" borderId="35" pivotButton="0" quotePrefix="0" xfId="0"/>
    <xf numFmtId="166" fontId="22" fillId="17" borderId="35" pivotButton="0" quotePrefix="0" xfId="0"/>
    <xf numFmtId="165" fontId="19" fillId="23" borderId="38" pivotButton="0" quotePrefix="0" xfId="0"/>
    <xf numFmtId="166" fontId="19" fillId="23" borderId="38" pivotButton="0" quotePrefix="0" xfId="0"/>
    <xf numFmtId="0" fontId="19" fillId="23" borderId="39" pivotButton="0" quotePrefix="0" xfId="0"/>
    <xf numFmtId="0" fontId="22" fillId="11" borderId="43" pivotButton="0" quotePrefix="0" xfId="0"/>
    <xf numFmtId="165" fontId="22" fillId="11" borderId="44" pivotButton="0" quotePrefix="0" xfId="0"/>
    <xf numFmtId="0" fontId="22" fillId="11" borderId="44" pivotButton="0" quotePrefix="0" xfId="0"/>
    <xf numFmtId="166" fontId="22" fillId="11" borderId="44" pivotButton="0" quotePrefix="0" xfId="0"/>
    <xf numFmtId="0" fontId="22" fillId="11" borderId="45" pivotButton="0" quotePrefix="0" xfId="0"/>
    <xf numFmtId="165" fontId="22" fillId="21" borderId="29" pivotButton="0" quotePrefix="0" xfId="0"/>
    <xf numFmtId="166" fontId="22" fillId="21" borderId="29" pivotButton="0" quotePrefix="0" xfId="0"/>
    <xf numFmtId="165" fontId="19" fillId="7" borderId="38" pivotButton="0" quotePrefix="0" xfId="0"/>
    <xf numFmtId="166" fontId="19" fillId="7" borderId="38" pivotButton="0" quotePrefix="0" xfId="0"/>
    <xf numFmtId="0" fontId="19" fillId="119" borderId="29" pivotButton="0" quotePrefix="0" xfId="0"/>
    <xf numFmtId="0" fontId="19" fillId="119" borderId="30" pivotButton="0" quotePrefix="0" xfId="0"/>
    <xf numFmtId="9" fontId="22" fillId="17" borderId="32" pivotButton="0" quotePrefix="0" xfId="0"/>
    <xf numFmtId="9" fontId="22" fillId="11" borderId="35" pivotButton="0" quotePrefix="0" xfId="0"/>
    <xf numFmtId="0" fontId="22" fillId="12" borderId="31" pivotButton="0" quotePrefix="0" xfId="0"/>
    <xf numFmtId="0" fontId="22" fillId="12" borderId="32" pivotButton="0" quotePrefix="0" xfId="0"/>
    <xf numFmtId="10" fontId="22" fillId="12" borderId="32" pivotButton="0" quotePrefix="0" xfId="0"/>
    <xf numFmtId="164" fontId="22" fillId="12" borderId="32" pivotButton="0" quotePrefix="0" xfId="0"/>
    <xf numFmtId="9" fontId="22" fillId="12" borderId="32" pivotButton="0" quotePrefix="0" xfId="0"/>
    <xf numFmtId="9" fontId="22" fillId="17" borderId="35" pivotButton="0" quotePrefix="0" xfId="0"/>
    <xf numFmtId="0" fontId="22" fillId="78" borderId="32" pivotButton="0" quotePrefix="0" xfId="0"/>
    <xf numFmtId="0" fontId="22" fillId="78" borderId="33" pivotButton="0" quotePrefix="0" xfId="0"/>
    <xf numFmtId="0" fontId="22" fillId="78" borderId="35" pivotButton="0" quotePrefix="0" xfId="0"/>
    <xf numFmtId="0" fontId="22" fillId="78" borderId="36" pivotButton="0" quotePrefix="0" xfId="0"/>
    <xf numFmtId="172" fontId="22" fillId="17" borderId="32" applyAlignment="1" pivotButton="0" quotePrefix="0" xfId="0">
      <alignment horizontal="center"/>
    </xf>
    <xf numFmtId="164" fontId="22" fillId="17" borderId="33" applyAlignment="1" pivotButton="0" quotePrefix="0" xfId="0">
      <alignment horizontal="center"/>
    </xf>
    <xf numFmtId="172" fontId="22" fillId="26" borderId="32" applyAlignment="1" pivotButton="0" quotePrefix="0" xfId="0">
      <alignment horizontal="center"/>
    </xf>
    <xf numFmtId="164" fontId="22" fillId="26" borderId="33" applyAlignment="1" pivotButton="0" quotePrefix="0" xfId="0">
      <alignment horizontal="center"/>
    </xf>
    <xf numFmtId="172" fontId="22" fillId="17" borderId="35" applyAlignment="1" pivotButton="0" quotePrefix="0" xfId="0">
      <alignment horizontal="center"/>
    </xf>
    <xf numFmtId="164" fontId="22" fillId="17" borderId="36" applyAlignment="1" pivotButton="0" quotePrefix="0" xfId="0">
      <alignment horizontal="center"/>
    </xf>
    <xf numFmtId="172" fontId="19" fillId="23" borderId="38" applyAlignment="1" pivotButton="0" quotePrefix="0" xfId="0">
      <alignment horizontal="center"/>
    </xf>
    <xf numFmtId="164" fontId="19" fillId="23" borderId="39" applyAlignment="1" pivotButton="0" quotePrefix="0" xfId="0">
      <alignment horizontal="center"/>
    </xf>
    <xf numFmtId="0" fontId="5" fillId="7" borderId="29" applyAlignment="1" pivotButton="0" quotePrefix="0" xfId="0">
      <alignment horizontal="center"/>
    </xf>
    <xf numFmtId="0" fontId="5" fillId="7" borderId="30" applyAlignment="1" pivotButton="0" quotePrefix="0" xfId="0">
      <alignment horizontal="center"/>
    </xf>
    <xf numFmtId="172" fontId="22" fillId="26" borderId="35" applyAlignment="1" pivotButton="0" quotePrefix="0" xfId="0">
      <alignment horizontal="center"/>
    </xf>
    <xf numFmtId="164" fontId="22" fillId="26" borderId="36" applyAlignment="1" pivotButton="0" quotePrefix="0" xfId="0">
      <alignment horizontal="center"/>
    </xf>
    <xf numFmtId="172" fontId="19" fillId="23" borderId="35" applyAlignment="1" pivotButton="0" quotePrefix="0" xfId="0">
      <alignment horizontal="center"/>
    </xf>
    <xf numFmtId="164" fontId="19" fillId="23" borderId="36" applyAlignment="1" pivotButton="0" quotePrefix="0" xfId="0">
      <alignment horizontal="center"/>
    </xf>
    <xf numFmtId="172" fontId="2" fillId="4" borderId="41" applyAlignment="1" pivotButton="0" quotePrefix="0" xfId="0">
      <alignment horizontal="center"/>
    </xf>
    <xf numFmtId="164" fontId="2" fillId="4" borderId="42" applyAlignment="1" pivotButton="0" quotePrefix="0" xfId="0">
      <alignment horizontal="center"/>
    </xf>
    <xf numFmtId="172" fontId="22" fillId="26" borderId="44" applyAlignment="1" pivotButton="0" quotePrefix="0" xfId="0">
      <alignment horizontal="center"/>
    </xf>
    <xf numFmtId="164" fontId="22" fillId="26" borderId="45" applyAlignment="1" pivotButton="0" quotePrefix="0" xfId="0">
      <alignment horizontal="center"/>
    </xf>
    <xf numFmtId="172" fontId="29" fillId="3" borderId="38" applyAlignment="1" pivotButton="0" quotePrefix="0" xfId="0">
      <alignment horizontal="center"/>
    </xf>
    <xf numFmtId="164" fontId="29" fillId="3" borderId="39" applyAlignment="1" pivotButton="0" quotePrefix="0" xfId="0">
      <alignment horizontal="center"/>
    </xf>
    <xf numFmtId="172" fontId="22" fillId="21" borderId="29" applyAlignment="1" pivotButton="0" quotePrefix="0" xfId="0">
      <alignment horizontal="center"/>
    </xf>
    <xf numFmtId="0" fontId="22" fillId="21" borderId="30" applyAlignment="1" pivotButton="0" quotePrefix="0" xfId="0">
      <alignment horizontal="center"/>
    </xf>
    <xf numFmtId="172" fontId="22" fillId="21" borderId="35" applyAlignment="1" pivotButton="0" quotePrefix="0" xfId="0">
      <alignment horizontal="center"/>
    </xf>
    <xf numFmtId="172" fontId="69" fillId="21" borderId="35" applyAlignment="1" pivotButton="0" quotePrefix="0" xfId="0">
      <alignment horizontal="center"/>
    </xf>
    <xf numFmtId="0" fontId="22" fillId="21" borderId="36" applyAlignment="1" pivotButton="0" quotePrefix="0" xfId="0">
      <alignment horizontal="center"/>
    </xf>
    <xf numFmtId="164" fontId="0" fillId="16" borderId="0" applyAlignment="1" pivotButton="0" quotePrefix="0" xfId="0">
      <alignment horizontal="right"/>
    </xf>
    <xf numFmtId="171" fontId="0" fillId="16" borderId="0" applyAlignment="1" pivotButton="0" quotePrefix="0" xfId="0">
      <alignment horizontal="right"/>
    </xf>
    <xf numFmtId="166" fontId="5" fillId="7" borderId="30" applyAlignment="1" pivotButton="0" quotePrefix="0" xfId="0">
      <alignment horizontal="center"/>
    </xf>
    <xf numFmtId="172" fontId="22" fillId="22" borderId="32" applyAlignment="1" pivotButton="0" quotePrefix="0" xfId="0">
      <alignment horizontal="center"/>
    </xf>
    <xf numFmtId="164" fontId="22" fillId="22" borderId="33" applyAlignment="1" pivotButton="0" quotePrefix="0" xfId="0">
      <alignment horizontal="center"/>
    </xf>
    <xf numFmtId="172" fontId="26" fillId="3" borderId="41" applyAlignment="1" pivotButton="0" quotePrefix="0" xfId="0">
      <alignment horizontal="center"/>
    </xf>
    <xf numFmtId="164" fontId="26" fillId="3" borderId="42" applyAlignment="1" pivotButton="0" quotePrefix="0" xfId="0">
      <alignment horizontal="center"/>
    </xf>
    <xf numFmtId="0" fontId="0" fillId="16" borderId="29" applyAlignment="1" pivotButton="0" quotePrefix="0" xfId="0">
      <alignment horizontal="center"/>
    </xf>
    <xf numFmtId="166" fontId="0" fillId="16" borderId="30" applyAlignment="1" pivotButton="0" quotePrefix="0" xfId="0">
      <alignment horizontal="center"/>
    </xf>
    <xf numFmtId="0" fontId="5" fillId="7" borderId="32" applyAlignment="1" pivotButton="0" quotePrefix="0" xfId="0">
      <alignment horizontal="center"/>
    </xf>
    <xf numFmtId="166" fontId="5" fillId="7" borderId="33" applyAlignment="1" pivotButton="0" quotePrefix="0" xfId="0">
      <alignment horizontal="center"/>
    </xf>
    <xf numFmtId="166" fontId="22" fillId="17" borderId="33" applyAlignment="1" pivotButton="0" quotePrefix="0" xfId="0">
      <alignment horizontal="center"/>
    </xf>
    <xf numFmtId="166" fontId="22" fillId="26" borderId="33" applyAlignment="1" pivotButton="0" quotePrefix="0" xfId="0">
      <alignment horizontal="center"/>
    </xf>
    <xf numFmtId="172" fontId="68" fillId="26" borderId="32" applyAlignment="1" pivotButton="0" quotePrefix="0" xfId="0">
      <alignment horizontal="center"/>
    </xf>
    <xf numFmtId="166" fontId="22" fillId="17" borderId="36" applyAlignment="1" pivotButton="0" quotePrefix="0" xfId="0">
      <alignment horizontal="center"/>
    </xf>
    <xf numFmtId="172" fontId="136" fillId="26" borderId="32" applyAlignment="1" pivotButton="0" quotePrefix="0" xfId="0">
      <alignment horizontal="center"/>
    </xf>
    <xf numFmtId="172" fontId="134" fillId="26" borderId="32" applyAlignment="1" pivotButton="0" quotePrefix="0" xfId="0">
      <alignment horizontal="center"/>
    </xf>
    <xf numFmtId="172" fontId="136" fillId="17" borderId="32" applyAlignment="1" pivotButton="0" quotePrefix="0" xfId="0">
      <alignment horizontal="center"/>
    </xf>
    <xf numFmtId="0" fontId="132" fillId="17" borderId="32" applyAlignment="1" pivotButton="0" quotePrefix="0" xfId="0">
      <alignment horizontal="center"/>
    </xf>
    <xf numFmtId="172" fontId="15" fillId="23" borderId="38" applyAlignment="1" pivotButton="0" quotePrefix="0" xfId="0">
      <alignment horizontal="center"/>
    </xf>
    <xf numFmtId="172" fontId="0" fillId="16" borderId="29" applyAlignment="1" pivotButton="0" quotePrefix="0" xfId="0">
      <alignment horizontal="center"/>
    </xf>
    <xf numFmtId="172" fontId="22" fillId="22" borderId="35" applyAlignment="1" pivotButton="0" quotePrefix="0" xfId="0">
      <alignment horizontal="center"/>
    </xf>
    <xf numFmtId="172" fontId="22" fillId="22" borderId="44" applyAlignment="1" pivotButton="0" quotePrefix="0" xfId="0">
      <alignment horizontal="center"/>
    </xf>
    <xf numFmtId="172" fontId="30" fillId="3" borderId="38" applyAlignment="1" pivotButton="0" quotePrefix="0" xfId="0">
      <alignment horizontal="center"/>
    </xf>
    <xf numFmtId="172" fontId="31" fillId="3" borderId="38" applyAlignment="1" pivotButton="0" quotePrefix="0" xfId="0">
      <alignment horizontal="center"/>
    </xf>
    <xf numFmtId="0" fontId="67" fillId="78" borderId="32" applyAlignment="1" pivotButton="0" quotePrefix="0" xfId="0">
      <alignment horizontal="right"/>
    </xf>
    <xf numFmtId="0" fontId="67" fillId="78" borderId="35" applyAlignment="1" pivotButton="0" quotePrefix="0" xfId="0">
      <alignment horizontal="right"/>
    </xf>
    <xf numFmtId="0" fontId="67" fillId="78" borderId="0" applyAlignment="1" pivotButton="0" quotePrefix="0" xfId="0">
      <alignment horizontal="right"/>
    </xf>
    <xf numFmtId="0" fontId="67" fillId="51" borderId="0" applyAlignment="1" pivotButton="0" quotePrefix="0" xfId="0">
      <alignment horizontal="right"/>
    </xf>
    <xf numFmtId="0" fontId="67" fillId="16" borderId="0" applyAlignment="1" pivotButton="0" quotePrefix="0" xfId="0">
      <alignment horizontal="right"/>
    </xf>
    <xf numFmtId="9" fontId="67" fillId="16" borderId="0" applyAlignment="1" pivotButton="0" quotePrefix="0" xfId="0">
      <alignment horizontal="right"/>
    </xf>
    <xf numFmtId="0" fontId="22" fillId="78" borderId="31" applyAlignment="1" pivotButton="0" quotePrefix="0" xfId="0">
      <alignment horizontal="center"/>
    </xf>
    <xf numFmtId="0" fontId="22" fillId="78" borderId="34" applyAlignment="1" pivotButton="0" quotePrefix="0" xfId="0">
      <alignment horizontal="center"/>
    </xf>
    <xf numFmtId="0" fontId="22" fillId="78" borderId="0" applyAlignment="1" pivotButton="0" quotePrefix="0" xfId="0">
      <alignment horizontal="center"/>
    </xf>
    <xf numFmtId="0" fontId="22" fillId="51" borderId="0" applyAlignment="1" pivotButton="0" quotePrefix="0" xfId="0">
      <alignment horizontal="center"/>
    </xf>
    <xf numFmtId="0" fontId="22" fillId="16" borderId="0" applyAlignment="1" pivotButton="0" quotePrefix="0" xfId="0">
      <alignment horizontal="center"/>
    </xf>
    <xf numFmtId="172" fontId="22" fillId="11" borderId="32" applyAlignment="1" pivotButton="0" quotePrefix="0" xfId="0">
      <alignment horizontal="center"/>
    </xf>
    <xf numFmtId="172" fontId="22" fillId="11" borderId="35" applyAlignment="1" pivotButton="0" quotePrefix="0" xfId="0">
      <alignment horizontal="center"/>
    </xf>
    <xf numFmtId="172" fontId="24" fillId="21" borderId="38" applyAlignment="1" pivotButton="0" quotePrefix="0" xfId="0">
      <alignment horizontal="center"/>
    </xf>
    <xf numFmtId="172" fontId="19" fillId="6" borderId="29" applyAlignment="1" pivotButton="0" quotePrefix="0" xfId="0">
      <alignment horizontal="center"/>
    </xf>
    <xf numFmtId="172" fontId="24" fillId="21" borderId="35" applyAlignment="1" pivotButton="0" quotePrefix="0" xfId="0">
      <alignment horizontal="center"/>
    </xf>
    <xf numFmtId="172" fontId="19" fillId="23" borderId="41" applyAlignment="1" pivotButton="0" quotePrefix="0" xfId="0">
      <alignment horizontal="center"/>
    </xf>
    <xf numFmtId="164" fontId="22" fillId="11" borderId="32" applyAlignment="1" pivotButton="0" quotePrefix="0" xfId="0">
      <alignment horizontal="center"/>
    </xf>
    <xf numFmtId="164" fontId="22" fillId="17" borderId="32" applyAlignment="1" pivotButton="0" quotePrefix="0" xfId="0">
      <alignment horizontal="center"/>
    </xf>
    <xf numFmtId="164" fontId="22" fillId="17" borderId="35" applyAlignment="1" pivotButton="0" quotePrefix="0" xfId="0">
      <alignment horizontal="center"/>
    </xf>
    <xf numFmtId="164" fontId="24" fillId="21" borderId="38" applyAlignment="1" pivotButton="0" quotePrefix="0" xfId="0">
      <alignment horizontal="center"/>
    </xf>
    <xf numFmtId="172" fontId="22" fillId="11" borderId="29" applyAlignment="1" pivotButton="0" quotePrefix="0" xfId="0">
      <alignment horizontal="center"/>
    </xf>
    <xf numFmtId="164" fontId="22" fillId="11" borderId="29" applyAlignment="1" pivotButton="0" quotePrefix="0" xfId="0">
      <alignment horizontal="center"/>
    </xf>
    <xf numFmtId="164" fontId="22" fillId="11" borderId="35" applyAlignment="1" pivotButton="0" quotePrefix="0" xfId="0">
      <alignment horizontal="center"/>
    </xf>
    <xf numFmtId="172" fontId="19" fillId="7" borderId="38" applyAlignment="1" pivotButton="0" quotePrefix="0" xfId="0">
      <alignment horizontal="center"/>
    </xf>
    <xf numFmtId="164" fontId="19" fillId="7" borderId="38" applyAlignment="1" pivotButton="0" quotePrefix="0" xfId="0">
      <alignment horizontal="center"/>
    </xf>
    <xf numFmtId="172" fontId="22" fillId="11" borderId="0" applyAlignment="1" pivotButton="0" quotePrefix="0" xfId="0">
      <alignment horizontal="center"/>
    </xf>
    <xf numFmtId="172" fontId="22" fillId="17" borderId="0" applyAlignment="1" pivotButton="0" quotePrefix="0" xfId="0">
      <alignment horizontal="center"/>
    </xf>
    <xf numFmtId="172" fontId="19" fillId="21" borderId="0" applyAlignment="1" pivotButton="0" quotePrefix="0" xfId="0">
      <alignment horizontal="center"/>
    </xf>
    <xf numFmtId="172" fontId="24" fillId="6" borderId="0" applyAlignment="1" pivotButton="0" quotePrefix="0" xfId="0">
      <alignment horizontal="center"/>
    </xf>
    <xf numFmtId="172" fontId="22" fillId="22" borderId="0" applyAlignment="1" pivotButton="0" quotePrefix="0" xfId="0">
      <alignment horizontal="center"/>
    </xf>
    <xf numFmtId="172" fontId="19" fillId="23" borderId="0" applyAlignment="1" pivotButton="0" quotePrefix="0" xfId="0">
      <alignment horizontal="center"/>
    </xf>
    <xf numFmtId="164" fontId="19" fillId="23" borderId="0" applyAlignment="1" pivotButton="0" quotePrefix="0" xfId="0">
      <alignment horizontal="center"/>
    </xf>
    <xf numFmtId="172" fontId="0" fillId="20" borderId="0" applyAlignment="1" pivotButton="0" quotePrefix="0" xfId="0">
      <alignment horizontal="center"/>
    </xf>
    <xf numFmtId="164" fontId="0" fillId="20" borderId="0" applyAlignment="1" pivotButton="0" quotePrefix="0" xfId="0">
      <alignment horizontal="center"/>
    </xf>
    <xf numFmtId="172" fontId="23" fillId="18" borderId="0" applyAlignment="1" pivotButton="0" quotePrefix="0" xfId="0">
      <alignment horizontal="center"/>
    </xf>
    <xf numFmtId="164" fontId="23" fillId="18" borderId="0" applyAlignment="1" pivotButton="0" quotePrefix="0" xfId="0">
      <alignment horizontal="center"/>
    </xf>
    <xf numFmtId="172" fontId="19" fillId="2" borderId="29" applyAlignment="1" pivotButton="0" quotePrefix="0" xfId="0">
      <alignment horizontal="center"/>
    </xf>
    <xf numFmtId="164" fontId="19" fillId="2" borderId="29" applyAlignment="1" pivotButton="0" quotePrefix="0" xfId="0">
      <alignment horizontal="center"/>
    </xf>
    <xf numFmtId="172" fontId="19" fillId="6" borderId="32" applyAlignment="1" pivotButton="0" quotePrefix="0" xfId="0">
      <alignment horizontal="center"/>
    </xf>
    <xf numFmtId="164" fontId="19" fillId="6" borderId="32" applyAlignment="1" pivotButton="0" quotePrefix="0" xfId="0">
      <alignment horizontal="center"/>
    </xf>
    <xf numFmtId="0" fontId="12" fillId="93" borderId="0" applyAlignment="1" pivotButton="0" quotePrefix="0" xfId="0">
      <alignment horizontal="center" vertical="center"/>
    </xf>
    <xf numFmtId="0" fontId="37" fillId="36" borderId="0" applyAlignment="1" pivotButton="0" quotePrefix="0" xfId="0">
      <alignment horizontal="center"/>
    </xf>
    <xf numFmtId="0" fontId="143" fillId="36" borderId="0" applyAlignment="1" pivotButton="0" quotePrefix="0" xfId="0">
      <alignment horizontal="center" vertical="center"/>
    </xf>
    <xf numFmtId="0" fontId="37" fillId="35" borderId="0" applyAlignment="1" pivotButton="0" quotePrefix="0" xfId="0">
      <alignment horizontal="center"/>
    </xf>
    <xf numFmtId="173" fontId="38" fillId="35" borderId="0" applyAlignment="1" pivotButton="0" quotePrefix="0" xfId="0">
      <alignment horizontal="center"/>
    </xf>
    <xf numFmtId="0" fontId="143" fillId="35" borderId="0" applyAlignment="1" pivotButton="0" quotePrefix="0" xfId="0">
      <alignment horizontal="center" vertical="center"/>
    </xf>
    <xf numFmtId="0" fontId="37" fillId="37" borderId="0" applyAlignment="1" pivotButton="0" quotePrefix="0" xfId="0">
      <alignment horizontal="center"/>
    </xf>
    <xf numFmtId="164" fontId="38" fillId="37" borderId="0" applyAlignment="1" pivotButton="0" quotePrefix="0" xfId="0">
      <alignment horizontal="center"/>
    </xf>
    <xf numFmtId="0" fontId="143" fillId="37" borderId="0" applyAlignment="1" pivotButton="0" quotePrefix="0" xfId="0">
      <alignment horizontal="center" vertical="center"/>
    </xf>
    <xf numFmtId="0" fontId="37" fillId="15" borderId="0" applyAlignment="1" pivotButton="0" quotePrefix="0" xfId="0">
      <alignment horizontal="center"/>
    </xf>
    <xf numFmtId="173" fontId="21" fillId="15" borderId="0" applyAlignment="1" pivotButton="0" quotePrefix="0" xfId="0">
      <alignment horizontal="center" vertical="center"/>
    </xf>
    <xf numFmtId="0" fontId="37" fillId="38" borderId="0" applyAlignment="1" pivotButton="0" quotePrefix="0" xfId="0">
      <alignment horizontal="center"/>
    </xf>
    <xf numFmtId="173" fontId="38" fillId="38" borderId="0" applyAlignment="1" pivotButton="0" quotePrefix="0" xfId="0">
      <alignment horizontal="center"/>
    </xf>
    <xf numFmtId="0" fontId="39" fillId="38" borderId="0" applyAlignment="1" pivotButton="0" quotePrefix="0" xfId="0">
      <alignment horizontal="center" vertical="center"/>
    </xf>
    <xf numFmtId="0" fontId="37" fillId="30" borderId="0" applyAlignment="1" pivotButton="0" quotePrefix="0" xfId="0">
      <alignment horizontal="center"/>
    </xf>
    <xf numFmtId="173" fontId="21" fillId="30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/>
    </xf>
    <xf numFmtId="173" fontId="38" fillId="4" borderId="0" applyAlignment="1" pivotButton="0" quotePrefix="0" xfId="0">
      <alignment horizontal="center" vertical="center"/>
    </xf>
    <xf numFmtId="0" fontId="143" fillId="4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center"/>
    </xf>
    <xf numFmtId="173" fontId="21" fillId="19" borderId="0" applyAlignment="1" pivotButton="0" quotePrefix="0" xfId="0">
      <alignment horizontal="center" vertical="center"/>
    </xf>
    <xf numFmtId="0" fontId="144" fillId="3" borderId="0" pivotButton="0" quotePrefix="0" xfId="0"/>
    <xf numFmtId="173" fontId="21" fillId="39" borderId="0" applyAlignment="1" pivotButton="0" quotePrefix="0" xfId="0">
      <alignment horizontal="center" vertical="center"/>
    </xf>
    <xf numFmtId="0" fontId="19" fillId="39" borderId="0" applyAlignment="1" pivotButton="0" quotePrefix="0" xfId="0">
      <alignment horizontal="center"/>
    </xf>
    <xf numFmtId="0" fontId="145" fillId="18" borderId="0" applyAlignment="1" pivotButton="0" quotePrefix="0" xfId="0">
      <alignment horizontal="center"/>
    </xf>
    <xf numFmtId="164" fontId="146" fillId="18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2" borderId="0" pivotButton="0" quotePrefix="0" xfId="0"/>
    <xf numFmtId="3" fontId="1" fillId="5" borderId="0" pivotButton="0" quotePrefix="0" xfId="0"/>
    <xf numFmtId="164" fontId="1" fillId="5" borderId="0" pivotButton="0" quotePrefix="0" xfId="0"/>
    <xf numFmtId="3" fontId="1" fillId="2" borderId="0" pivotButton="0" quotePrefix="0" xfId="0"/>
    <xf numFmtId="164" fontId="1" fillId="2" borderId="0" pivotButton="0" quotePrefix="0" xfId="0"/>
    <xf numFmtId="0" fontId="82" fillId="18" borderId="0" applyAlignment="1" pivotButton="0" quotePrefix="0" xfId="0">
      <alignment horizontal="center" vertical="center"/>
    </xf>
    <xf numFmtId="0" fontId="41" fillId="18" borderId="0" applyAlignment="1" pivotButton="0" quotePrefix="0" xfId="0">
      <alignment horizontal="center"/>
    </xf>
    <xf numFmtId="0" fontId="19" fillId="23" borderId="0" applyAlignment="1" pivotButton="0" quotePrefix="0" xfId="0">
      <alignment horizontal="center" vertical="center"/>
    </xf>
    <xf numFmtId="0" fontId="41" fillId="23" borderId="0" applyAlignment="1" pivotButton="0" quotePrefix="0" xfId="0">
      <alignment horizontal="center"/>
    </xf>
    <xf numFmtId="0" fontId="19" fillId="30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41" fillId="19" borderId="0" applyAlignment="1" pivotButton="0" quotePrefix="0" xfId="0">
      <alignment horizontal="center"/>
    </xf>
    <xf numFmtId="0" fontId="41" fillId="30" borderId="0" applyAlignment="1" pivotButton="0" quotePrefix="0" xfId="0">
      <alignment horizontal="center"/>
    </xf>
    <xf numFmtId="0" fontId="148" fillId="18" borderId="47" applyAlignment="1" pivotButton="0" quotePrefix="0" xfId="0">
      <alignment horizontal="center"/>
    </xf>
    <xf numFmtId="0" fontId="148" fillId="18" borderId="27" applyAlignment="1" pivotButton="0" quotePrefix="0" xfId="0">
      <alignment horizontal="center"/>
    </xf>
    <xf numFmtId="0" fontId="148" fillId="18" borderId="2" applyAlignment="1" pivotButton="0" quotePrefix="0" xfId="0">
      <alignment horizontal="center"/>
    </xf>
    <xf numFmtId="0" fontId="149" fillId="23" borderId="47" applyAlignment="1" pivotButton="0" quotePrefix="0" xfId="0">
      <alignment horizontal="center"/>
    </xf>
    <xf numFmtId="0" fontId="149" fillId="23" borderId="27" applyAlignment="1" pivotButton="0" quotePrefix="0" xfId="0">
      <alignment horizontal="center"/>
    </xf>
    <xf numFmtId="0" fontId="149" fillId="23" borderId="2" applyAlignment="1" pivotButton="0" quotePrefix="0" xfId="0">
      <alignment horizontal="center"/>
    </xf>
    <xf numFmtId="0" fontId="148" fillId="30" borderId="47" applyAlignment="1" pivotButton="0" quotePrefix="0" xfId="0">
      <alignment horizontal="center" vertical="center"/>
    </xf>
    <xf numFmtId="0" fontId="148" fillId="30" borderId="27" applyAlignment="1" pivotButton="0" quotePrefix="0" xfId="0">
      <alignment horizontal="center" vertical="center"/>
    </xf>
    <xf numFmtId="0" fontId="148" fillId="30" borderId="2" applyAlignment="1" pivotButton="0" quotePrefix="0" xfId="0">
      <alignment horizontal="center" vertical="center"/>
    </xf>
    <xf numFmtId="0" fontId="148" fillId="19" borderId="47" applyAlignment="1" pivotButton="0" quotePrefix="0" xfId="0">
      <alignment horizontal="center" vertical="center"/>
    </xf>
    <xf numFmtId="0" fontId="148" fillId="19" borderId="27" applyAlignment="1" pivotButton="0" quotePrefix="0" xfId="0">
      <alignment horizontal="center" vertical="center"/>
    </xf>
    <xf numFmtId="0" fontId="148" fillId="19" borderId="2" applyAlignment="1" pivotButton="0" quotePrefix="0" xfId="0">
      <alignment horizontal="center" vertical="center"/>
    </xf>
    <xf numFmtId="0" fontId="147" fillId="2" borderId="0" applyAlignment="1" pivotButton="0" quotePrefix="0" xfId="0">
      <alignment horizontal="center"/>
    </xf>
    <xf numFmtId="0" fontId="150" fillId="99" borderId="15" applyAlignment="1" pivotButton="0" quotePrefix="0" xfId="0">
      <alignment horizontal="center" vertical="center"/>
    </xf>
    <xf numFmtId="0" fontId="150" fillId="99" borderId="0" applyAlignment="1" pivotButton="0" quotePrefix="0" xfId="0">
      <alignment horizontal="center" vertical="center"/>
    </xf>
    <xf numFmtId="0" fontId="151" fillId="94" borderId="15" applyAlignment="1" pivotButton="0" quotePrefix="0" xfId="0">
      <alignment horizontal="center" vertical="center"/>
    </xf>
    <xf numFmtId="0" fontId="151" fillId="94" borderId="0" applyAlignment="1" pivotButton="0" quotePrefix="0" xfId="0">
      <alignment horizontal="center" vertical="center"/>
    </xf>
    <xf numFmtId="0" fontId="101" fillId="112" borderId="0" applyAlignment="1" pivotButton="0" quotePrefix="0" xfId="0">
      <alignment horizontal="center" vertical="center"/>
    </xf>
    <xf numFmtId="0" fontId="101" fillId="97" borderId="0" applyAlignment="1" pivotButton="0" quotePrefix="0" xfId="0">
      <alignment horizontal="center"/>
    </xf>
    <xf numFmtId="0" fontId="102" fillId="17" borderId="0" applyAlignment="1" pivotButton="0" quotePrefix="0" xfId="0">
      <alignment horizontal="center"/>
    </xf>
    <xf numFmtId="0" fontId="102" fillId="113" borderId="0" applyAlignment="1" pivotButton="0" quotePrefix="0" xfId="0">
      <alignment horizontal="center"/>
    </xf>
    <xf numFmtId="0" fontId="23" fillId="93" borderId="0" applyAlignment="1" pivotButton="0" quotePrefix="0" xfId="0">
      <alignment horizontal="center" vertical="center"/>
    </xf>
    <xf numFmtId="0" fontId="24" fillId="21" borderId="33" applyAlignment="1" pivotButton="0" quotePrefix="0" xfId="0">
      <alignment horizontal="center"/>
    </xf>
    <xf numFmtId="9" fontId="24" fillId="21" borderId="33" applyAlignment="1" pivotButton="0" quotePrefix="0" xfId="0">
      <alignment horizontal="center"/>
    </xf>
    <xf numFmtId="9" fontId="24" fillId="21" borderId="36" applyAlignment="1" pivotButton="0" quotePrefix="0" xfId="0">
      <alignment horizontal="center"/>
    </xf>
    <xf numFmtId="10" fontId="24" fillId="21" borderId="33" applyAlignment="1" pivotButton="0" quotePrefix="0" xfId="0">
      <alignment horizontal="center"/>
    </xf>
    <xf numFmtId="0" fontId="22" fillId="29" borderId="46" pivotButton="0" quotePrefix="0" xfId="0"/>
    <xf numFmtId="3" fontId="22" fillId="29" borderId="46" applyAlignment="1" pivotButton="0" quotePrefix="0" xfId="0">
      <alignment horizontal="center"/>
    </xf>
    <xf numFmtId="164" fontId="22" fillId="29" borderId="46" applyAlignment="1" pivotButton="0" quotePrefix="0" xfId="0">
      <alignment horizontal="center"/>
    </xf>
    <xf numFmtId="0" fontId="22" fillId="29" borderId="46" applyAlignment="1" pivotButton="0" quotePrefix="0" xfId="0">
      <alignment horizontal="center"/>
    </xf>
    <xf numFmtId="0" fontId="23" fillId="19" borderId="0" applyAlignment="1" pivotButton="0" quotePrefix="0" xfId="0">
      <alignment horizontal="left"/>
    </xf>
    <xf numFmtId="173" fontId="38" fillId="36" borderId="0" applyAlignment="1" pivotButton="0" quotePrefix="0" xfId="0">
      <alignment horizontal="center"/>
    </xf>
    <xf numFmtId="0" fontId="147" fillId="145" borderId="46" pivotButton="0" quotePrefix="0" xfId="0"/>
    <xf numFmtId="0" fontId="152" fillId="146" borderId="0" applyAlignment="1" pivotButton="0" quotePrefix="0" xfId="0">
      <alignment horizontal="center" vertical="center"/>
    </xf>
    <xf numFmtId="0" fontId="153" fillId="147" borderId="0" applyAlignment="1" pivotButton="0" quotePrefix="0" xfId="0">
      <alignment vertical="center" wrapText="1"/>
    </xf>
    <xf numFmtId="0" fontId="154" fillId="148" borderId="52" applyAlignment="1" pivotButton="0" quotePrefix="0" xfId="0">
      <alignment horizontal="left" vertical="center"/>
    </xf>
    <xf numFmtId="0" fontId="0" fillId="0" borderId="52" pivotButton="0" quotePrefix="0" xfId="0"/>
    <xf numFmtId="0" fontId="155" fillId="146" borderId="52" applyAlignment="1" pivotButton="0" quotePrefix="0" xfId="0">
      <alignment horizontal="center" vertical="center" wrapText="1"/>
    </xf>
    <xf numFmtId="0" fontId="156" fillId="0" borderId="52" applyAlignment="1" pivotButton="0" quotePrefix="0" xfId="0">
      <alignment vertical="top" wrapText="1"/>
    </xf>
    <xf numFmtId="0" fontId="0" fillId="0" borderId="52" applyAlignment="1" pivotButton="0" quotePrefix="0" xfId="0">
      <alignment vertical="top" wrapText="1"/>
    </xf>
    <xf numFmtId="0" fontId="154" fillId="149" borderId="52" applyAlignment="1" pivotButton="0" quotePrefix="0" xfId="0">
      <alignment horizontal="left" vertical="center"/>
    </xf>
    <xf numFmtId="0" fontId="154" fillId="150" borderId="52" applyAlignment="1" pivotButton="0" quotePrefix="0" xfId="0">
      <alignment horizontal="left" vertical="center"/>
    </xf>
    <xf numFmtId="172" fontId="22" fillId="11" borderId="0" applyAlignment="1" pivotButton="0" quotePrefix="0" xfId="0">
      <alignment horizontal="center"/>
    </xf>
    <xf numFmtId="172" fontId="22" fillId="17" borderId="0" applyAlignment="1" pivotButton="0" quotePrefix="0" xfId="0">
      <alignment horizontal="center"/>
    </xf>
    <xf numFmtId="172" fontId="19" fillId="21" borderId="0" applyAlignment="1" pivotButton="0" quotePrefix="0" xfId="0">
      <alignment horizontal="center"/>
    </xf>
    <xf numFmtId="172" fontId="24" fillId="6" borderId="0" applyAlignment="1" pivotButton="0" quotePrefix="0" xfId="0">
      <alignment horizontal="center"/>
    </xf>
    <xf numFmtId="172" fontId="22" fillId="22" borderId="0" applyAlignment="1" pivotButton="0" quotePrefix="0" xfId="0">
      <alignment horizontal="center"/>
    </xf>
    <xf numFmtId="172" fontId="19" fillId="23" borderId="0" applyAlignment="1" pivotButton="0" quotePrefix="0" xfId="0">
      <alignment horizontal="center"/>
    </xf>
    <xf numFmtId="172" fontId="0" fillId="20" borderId="0" applyAlignment="1" pivotButton="0" quotePrefix="0" xfId="0">
      <alignment horizontal="center"/>
    </xf>
    <xf numFmtId="172" fontId="19" fillId="2" borderId="29" applyAlignment="1" pivotButton="0" quotePrefix="0" xfId="0">
      <alignment horizontal="center"/>
    </xf>
    <xf numFmtId="172" fontId="19" fillId="6" borderId="32" applyAlignment="1" pivotButton="0" quotePrefix="0" xfId="0">
      <alignment horizontal="center"/>
    </xf>
    <xf numFmtId="166" fontId="22" fillId="11" borderId="32" pivotButton="0" quotePrefix="0" xfId="0"/>
    <xf numFmtId="166" fontId="22" fillId="17" borderId="32" pivotButton="0" quotePrefix="0" xfId="0"/>
    <xf numFmtId="166" fontId="22" fillId="11" borderId="35" pivotButton="0" quotePrefix="0" xfId="0"/>
    <xf numFmtId="166" fontId="24" fillId="21" borderId="38" pivotButton="0" quotePrefix="0" xfId="0"/>
    <xf numFmtId="166" fontId="19" fillId="6" borderId="29" pivotButton="0" quotePrefix="0" xfId="0"/>
    <xf numFmtId="166" fontId="22" fillId="17" borderId="35" pivotButton="0" quotePrefix="0" xfId="0"/>
    <xf numFmtId="166" fontId="19" fillId="23" borderId="38" pivotButton="0" quotePrefix="0" xfId="0"/>
    <xf numFmtId="166" fontId="22" fillId="11" borderId="44" pivotButton="0" quotePrefix="0" xfId="0"/>
    <xf numFmtId="166" fontId="19" fillId="7" borderId="38" pivotButton="0" quotePrefix="0" xfId="0"/>
    <xf numFmtId="166" fontId="22" fillId="21" borderId="29" pivotButton="0" quotePrefix="0" xfId="0"/>
    <xf numFmtId="166" fontId="22" fillId="21" borderId="35" pivotButton="0" quotePrefix="0" xfId="0"/>
    <xf numFmtId="172" fontId="22" fillId="11" borderId="32" applyAlignment="1" pivotButton="0" quotePrefix="0" xfId="0">
      <alignment horizontal="center"/>
    </xf>
    <xf numFmtId="172" fontId="22" fillId="17" borderId="32" applyAlignment="1" pivotButton="0" quotePrefix="0" xfId="0">
      <alignment horizontal="center"/>
    </xf>
    <xf numFmtId="172" fontId="22" fillId="11" borderId="35" applyAlignment="1" pivotButton="0" quotePrefix="0" xfId="0">
      <alignment horizontal="center"/>
    </xf>
    <xf numFmtId="172" fontId="24" fillId="21" borderId="38" applyAlignment="1" pivotButton="0" quotePrefix="0" xfId="0">
      <alignment horizontal="center"/>
    </xf>
    <xf numFmtId="172" fontId="19" fillId="6" borderId="29" applyAlignment="1" pivotButton="0" quotePrefix="0" xfId="0">
      <alignment horizontal="center"/>
    </xf>
    <xf numFmtId="172" fontId="22" fillId="22" borderId="32" applyAlignment="1" pivotButton="0" quotePrefix="0" xfId="0">
      <alignment horizontal="center"/>
    </xf>
    <xf numFmtId="172" fontId="24" fillId="21" borderId="35" applyAlignment="1" pivotButton="0" quotePrefix="0" xfId="0">
      <alignment horizontal="center"/>
    </xf>
    <xf numFmtId="172" fontId="19" fillId="23" borderId="41" applyAlignment="1" pivotButton="0" quotePrefix="0" xfId="0">
      <alignment horizontal="center"/>
    </xf>
    <xf numFmtId="172" fontId="22" fillId="17" borderId="35" applyAlignment="1" pivotButton="0" quotePrefix="0" xfId="0">
      <alignment horizontal="center"/>
    </xf>
    <xf numFmtId="172" fontId="22" fillId="11" borderId="29" applyAlignment="1" pivotButton="0" quotePrefix="0" xfId="0">
      <alignment horizontal="center"/>
    </xf>
    <xf numFmtId="172" fontId="19" fillId="7" borderId="38" applyAlignment="1" pivotButton="0" quotePrefix="0" xfId="0">
      <alignment horizontal="center"/>
    </xf>
    <xf numFmtId="166" fontId="19" fillId="7" borderId="33" pivotButton="0" quotePrefix="0" xfId="0"/>
    <xf numFmtId="172" fontId="22" fillId="26" borderId="32" applyAlignment="1" pivotButton="0" quotePrefix="0" xfId="0">
      <alignment horizontal="center"/>
    </xf>
    <xf numFmtId="172" fontId="19" fillId="23" borderId="38" applyAlignment="1" pivotButton="0" quotePrefix="0" xfId="0">
      <alignment horizontal="center"/>
    </xf>
    <xf numFmtId="166" fontId="5" fillId="7" borderId="30" applyAlignment="1" pivotButton="0" quotePrefix="0" xfId="0">
      <alignment horizontal="center"/>
    </xf>
    <xf numFmtId="172" fontId="22" fillId="26" borderId="35" applyAlignment="1" pivotButton="0" quotePrefix="0" xfId="0">
      <alignment horizontal="center"/>
    </xf>
    <xf numFmtId="172" fontId="19" fillId="23" borderId="35" applyAlignment="1" pivotButton="0" quotePrefix="0" xfId="0">
      <alignment horizontal="center"/>
    </xf>
    <xf numFmtId="172" fontId="26" fillId="3" borderId="41" applyAlignment="1" pivotButton="0" quotePrefix="0" xfId="0">
      <alignment horizontal="center"/>
    </xf>
    <xf numFmtId="166" fontId="0" fillId="16" borderId="30" applyAlignment="1" pivotButton="0" quotePrefix="0" xfId="0">
      <alignment horizontal="center"/>
    </xf>
    <xf numFmtId="166" fontId="5" fillId="7" borderId="33" applyAlignment="1" pivotButton="0" quotePrefix="0" xfId="0">
      <alignment horizontal="center"/>
    </xf>
    <xf numFmtId="166" fontId="22" fillId="17" borderId="33" applyAlignment="1" pivotButton="0" quotePrefix="0" xfId="0">
      <alignment horizontal="center"/>
    </xf>
    <xf numFmtId="166" fontId="22" fillId="26" borderId="33" applyAlignment="1" pivotButton="0" quotePrefix="0" xfId="0">
      <alignment horizontal="center"/>
    </xf>
    <xf numFmtId="172" fontId="68" fillId="26" borderId="32" applyAlignment="1" pivotButton="0" quotePrefix="0" xfId="0">
      <alignment horizontal="center"/>
    </xf>
    <xf numFmtId="166" fontId="22" fillId="17" borderId="36" applyAlignment="1" pivotButton="0" quotePrefix="0" xfId="0">
      <alignment horizontal="center"/>
    </xf>
    <xf numFmtId="172" fontId="136" fillId="26" borderId="32" applyAlignment="1" pivotButton="0" quotePrefix="0" xfId="0">
      <alignment horizontal="center"/>
    </xf>
    <xf numFmtId="172" fontId="134" fillId="26" borderId="32" applyAlignment="1" pivotButton="0" quotePrefix="0" xfId="0">
      <alignment horizontal="center"/>
    </xf>
    <xf numFmtId="172" fontId="136" fillId="17" borderId="32" applyAlignment="1" pivotButton="0" quotePrefix="0" xfId="0">
      <alignment horizontal="center"/>
    </xf>
    <xf numFmtId="169" fontId="135" fillId="16" borderId="0" pivotButton="0" quotePrefix="0" xfId="0"/>
    <xf numFmtId="166" fontId="0" fillId="16" borderId="0" pivotButton="0" quotePrefix="0" xfId="0"/>
    <xf numFmtId="172" fontId="2" fillId="4" borderId="41" applyAlignment="1" pivotButton="0" quotePrefix="0" xfId="0">
      <alignment horizontal="center"/>
    </xf>
    <xf numFmtId="172" fontId="22" fillId="26" borderId="44" applyAlignment="1" pivotButton="0" quotePrefix="0" xfId="0">
      <alignment horizontal="center"/>
    </xf>
    <xf numFmtId="172" fontId="29" fillId="3" borderId="38" applyAlignment="1" pivotButton="0" quotePrefix="0" xfId="0">
      <alignment horizontal="center"/>
    </xf>
    <xf numFmtId="172" fontId="22" fillId="21" borderId="29" applyAlignment="1" pivotButton="0" quotePrefix="0" xfId="0">
      <alignment horizontal="center"/>
    </xf>
    <xf numFmtId="172" fontId="22" fillId="21" borderId="35" applyAlignment="1" pivotButton="0" quotePrefix="0" xfId="0">
      <alignment horizontal="center"/>
    </xf>
    <xf numFmtId="172" fontId="69" fillId="21" borderId="35" applyAlignment="1" pivotButton="0" quotePrefix="0" xfId="0">
      <alignment horizontal="center"/>
    </xf>
    <xf numFmtId="171" fontId="0" fillId="16" borderId="0" applyAlignment="1" pivotButton="0" quotePrefix="0" xfId="0">
      <alignment horizontal="right"/>
    </xf>
    <xf numFmtId="172" fontId="15" fillId="23" borderId="38" applyAlignment="1" pivotButton="0" quotePrefix="0" xfId="0">
      <alignment horizontal="center"/>
    </xf>
    <xf numFmtId="172" fontId="0" fillId="16" borderId="29" applyAlignment="1" pivotButton="0" quotePrefix="0" xfId="0">
      <alignment horizontal="center"/>
    </xf>
    <xf numFmtId="172" fontId="22" fillId="22" borderId="35" applyAlignment="1" pivotButton="0" quotePrefix="0" xfId="0">
      <alignment horizontal="center"/>
    </xf>
    <xf numFmtId="172" fontId="22" fillId="22" borderId="44" applyAlignment="1" pivotButton="0" quotePrefix="0" xfId="0">
      <alignment horizontal="center"/>
    </xf>
    <xf numFmtId="172" fontId="30" fillId="3" borderId="38" applyAlignment="1" pivotButton="0" quotePrefix="0" xfId="0">
      <alignment horizontal="center"/>
    </xf>
    <xf numFmtId="172" fontId="31" fillId="3" borderId="38" applyAlignment="1" pivotButton="0" quotePrefix="0" xfId="0">
      <alignment horizontal="center"/>
    </xf>
    <xf numFmtId="173" fontId="38" fillId="35" borderId="0" applyAlignment="1" pivotButton="0" quotePrefix="0" xfId="0">
      <alignment horizontal="center"/>
    </xf>
    <xf numFmtId="173" fontId="38" fillId="36" borderId="0" applyAlignment="1" pivotButton="0" quotePrefix="0" xfId="0">
      <alignment horizontal="center"/>
    </xf>
    <xf numFmtId="173" fontId="38" fillId="38" borderId="0" applyAlignment="1" pivotButton="0" quotePrefix="0" xfId="0">
      <alignment horizontal="center"/>
    </xf>
    <xf numFmtId="173" fontId="38" fillId="4" borderId="0" applyAlignment="1" pivotButton="0" quotePrefix="0" xfId="0">
      <alignment horizontal="center" vertical="center"/>
    </xf>
    <xf numFmtId="173" fontId="21" fillId="39" borderId="0" applyAlignment="1" pivotButton="0" quotePrefix="0" xfId="0">
      <alignment horizontal="center" vertical="center"/>
    </xf>
    <xf numFmtId="173" fontId="21" fillId="15" borderId="0" applyAlignment="1" pivotButton="0" quotePrefix="0" xfId="0">
      <alignment horizontal="center" vertical="center"/>
    </xf>
    <xf numFmtId="173" fontId="21" fillId="30" borderId="0" applyAlignment="1" pivotButton="0" quotePrefix="0" xfId="0">
      <alignment horizontal="center" vertical="center"/>
    </xf>
    <xf numFmtId="173" fontId="21" fillId="19" borderId="0" applyAlignment="1" pivotButton="0" quotePrefix="0" xfId="0">
      <alignment horizontal="center" vertical="center"/>
    </xf>
    <xf numFmtId="171" fontId="0" fillId="3" borderId="0" pivotButton="0" quotePrefix="0" xfId="0"/>
    <xf numFmtId="172" fontId="85" fillId="18" borderId="0" pivotButton="0" quotePrefix="0" xfId="0"/>
    <xf numFmtId="169" fontId="85" fillId="18" borderId="0" pivotButton="0" quotePrefix="0" xfId="0"/>
    <xf numFmtId="172" fontId="15" fillId="15" borderId="0" pivotButton="0" quotePrefix="0" xfId="0"/>
    <xf numFmtId="169" fontId="15" fillId="15" borderId="0" pivotButton="0" quotePrefix="0" xfId="0"/>
    <xf numFmtId="172" fontId="19" fillId="4" borderId="0" pivotButton="0" quotePrefix="0" xfId="0"/>
    <xf numFmtId="169" fontId="19" fillId="4" borderId="0" pivotButton="0" quotePrefix="0" xfId="0"/>
    <xf numFmtId="172" fontId="15" fillId="30" borderId="0" pivotButton="0" quotePrefix="0" xfId="0"/>
    <xf numFmtId="169" fontId="15" fillId="30" borderId="0" pivotButton="0" quotePrefix="0" xfId="0"/>
    <xf numFmtId="172" fontId="15" fillId="38" borderId="0" pivotButton="0" quotePrefix="0" xfId="0"/>
    <xf numFmtId="169" fontId="15" fillId="38" borderId="0" pivotButton="0" quotePrefix="0" xfId="0"/>
    <xf numFmtId="172" fontId="15" fillId="31" borderId="0" pivotButton="0" quotePrefix="0" xfId="0"/>
    <xf numFmtId="169" fontId="15" fillId="31" borderId="0" pivotButton="0" quotePrefix="0" xfId="0"/>
    <xf numFmtId="172" fontId="19" fillId="3" borderId="0" pivotButton="0" quotePrefix="0" xfId="0"/>
    <xf numFmtId="169" fontId="19" fillId="3" borderId="0" pivotButton="0" quotePrefix="0" xfId="0"/>
    <xf numFmtId="169" fontId="15" fillId="4" borderId="0" pivotButton="0" quotePrefix="0" xfId="0"/>
    <xf numFmtId="0" fontId="148" fillId="18" borderId="46" applyAlignment="1" pivotButton="0" quotePrefix="0" xfId="0">
      <alignment horizontal="center"/>
    </xf>
    <xf numFmtId="0" fontId="0" fillId="0" borderId="50" pivotButton="0" quotePrefix="0" xfId="0"/>
    <xf numFmtId="0" fontId="0" fillId="0" borderId="2" pivotButton="0" quotePrefix="0" xfId="0"/>
    <xf numFmtId="0" fontId="149" fillId="23" borderId="46" applyAlignment="1" pivotButton="0" quotePrefix="0" xfId="0">
      <alignment horizontal="center"/>
    </xf>
    <xf numFmtId="0" fontId="148" fillId="30" borderId="46" applyAlignment="1" pivotButton="0" quotePrefix="0" xfId="0">
      <alignment horizontal="center" vertical="center"/>
    </xf>
    <xf numFmtId="0" fontId="148" fillId="19" borderId="46" applyAlignment="1" pivotButton="0" quotePrefix="0" xfId="0">
      <alignment horizontal="center" vertical="center"/>
    </xf>
    <xf numFmtId="167" fontId="15" fillId="44" borderId="0" pivotButton="0" quotePrefix="0" xfId="0"/>
    <xf numFmtId="167" fontId="15" fillId="43" borderId="0" pivotButton="0" quotePrefix="0" xfId="0"/>
    <xf numFmtId="170" fontId="22" fillId="122" borderId="0" pivotButton="0" quotePrefix="0" xfId="0"/>
    <xf numFmtId="170" fontId="22" fillId="17" borderId="0" pivotButton="0" quotePrefix="0" xfId="0"/>
    <xf numFmtId="166" fontId="22" fillId="84" borderId="0" pivotButton="0" quotePrefix="0" xfId="0"/>
    <xf numFmtId="167" fontId="22" fillId="84" borderId="0" pivotButton="0" quotePrefix="0" xfId="0"/>
    <xf numFmtId="166" fontId="22" fillId="85" borderId="0" pivotButton="0" quotePrefix="0" xfId="0"/>
    <xf numFmtId="167" fontId="22" fillId="85" borderId="0" pivotButton="0" quotePrefix="0" xfId="0"/>
    <xf numFmtId="166" fontId="22" fillId="86" borderId="0" pivotButton="0" quotePrefix="0" xfId="0"/>
    <xf numFmtId="167" fontId="22" fillId="86" borderId="0" pivotButton="0" quotePrefix="0" xfId="0"/>
    <xf numFmtId="168" fontId="22" fillId="84" borderId="0" pivotButton="0" quotePrefix="0" xfId="0"/>
    <xf numFmtId="168" fontId="22" fillId="85" borderId="0" pivotButton="0" quotePrefix="0" xfId="0"/>
    <xf numFmtId="168" fontId="22" fillId="86" borderId="0" pivotButton="0" quotePrefix="0" xfId="0"/>
    <xf numFmtId="167" fontId="19" fillId="75" borderId="0" pivotButton="0" quotePrefix="0" xfId="0"/>
    <xf numFmtId="168" fontId="22" fillId="61" borderId="0" pivotButton="0" quotePrefix="0" xfId="0"/>
    <xf numFmtId="168" fontId="22" fillId="17" borderId="0" pivotButton="0" quotePrefix="0" xfId="0"/>
    <xf numFmtId="0" fontId="19" fillId="80" borderId="51" applyAlignment="1" pivotButton="0" quotePrefix="0" xfId="0">
      <alignment horizontal="center" vertical="center"/>
    </xf>
    <xf numFmtId="0" fontId="0" fillId="0" borderId="16" pivotButton="0" quotePrefix="0" xfId="0"/>
    <xf numFmtId="0" fontId="98" fillId="75" borderId="51" applyAlignment="1" pivotButton="0" quotePrefix="0" xfId="0">
      <alignment horizontal="center" vertical="center"/>
    </xf>
    <xf numFmtId="0" fontId="87" fillId="101" borderId="5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169" fontId="103" fillId="107" borderId="0" pivotButton="0" quotePrefix="0" xfId="0"/>
    <xf numFmtId="169" fontId="103" fillId="109" borderId="0" pivotButton="0" quotePrefix="0" xfId="0"/>
    <xf numFmtId="169" fontId="104" fillId="17" borderId="0" pivotButton="0" quotePrefix="0" xfId="0"/>
    <xf numFmtId="169" fontId="103" fillId="17" borderId="0" pivotButton="0" quotePrefix="0" xfId="0"/>
    <xf numFmtId="169" fontId="104" fillId="107" borderId="0" pivotButton="0" quotePrefix="0" xfId="0"/>
    <xf numFmtId="169" fontId="104" fillId="109" borderId="0" pivotButton="0" quotePrefix="0" xfId="0"/>
    <xf numFmtId="169" fontId="105" fillId="96" borderId="0" pivotButton="0" quotePrefix="0" xfId="0"/>
    <xf numFmtId="169" fontId="105" fillId="95" borderId="0" pivotButton="0" quotePrefix="0" xfId="0"/>
    <xf numFmtId="169" fontId="101" fillId="97" borderId="0" pivotButton="0" quotePrefix="0" xfId="0"/>
    <xf numFmtId="169" fontId="102" fillId="113" borderId="0" pivotButton="0" quotePrefix="0" xfId="0"/>
    <xf numFmtId="169" fontId="102" fillId="17" borderId="0" pivotButton="0" quotePrefix="0" xfId="0"/>
    <xf numFmtId="169" fontId="0" fillId="0" borderId="22" pivotButton="0" quotePrefix="0" xfId="0"/>
  </cellXfs>
  <cellStyles count="1">
    <cellStyle name="Normal" xfId="0" builtinId="0"/>
  </cellStyles>
  <dxfs count="56">
    <dxf>
      <font>
        <color rgb="FF375623"/>
      </font>
    </dxf>
    <dxf>
      <font>
        <b val="1"/>
        <color rgb="FF375623"/>
      </font>
    </dxf>
    <dxf>
      <font>
        <b val="1"/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8449"/>
      </font>
      <fill>
        <patternFill patternType="solid">
          <fgColor indexed="64"/>
          <bgColor rgb="FFD5F5E3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1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375623"/>
      </font>
    </dxf>
    <dxf>
      <font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</dxf>
    <dxf>
      <font>
        <color rgb="FF375623"/>
      </font>
    </dxf>
    <dxf>
      <font>
        <color rgb="FF9C0006"/>
      </font>
    </dxf>
    <dxf>
      <font>
        <color rgb="FF375623"/>
      </font>
    </dxf>
    <dxf>
      <numFmt numFmtId="3" formatCode="#,##0"/>
    </dxf>
    <dxf>
      <numFmt numFmtId="3" formatCode="#,##0"/>
    </dxf>
    <dxf>
      <numFmt numFmtId="3" formatCode="#,##0"/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8"/>
        <vertAlign val="baseline"/>
        <scheme val="minor"/>
      </font>
      <fill>
        <patternFill patternType="solid">
          <fgColor indexed="64"/>
          <bgColor rgb="FF1F3864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pivotCacheDefinition" Target="/xl/pivotCache/pivotCacheDefinition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&amp; EBIT par Entité (k€) – Groupe 2025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781079974430806"/>
          <y val="0.1941868512110727"/>
          <w val="0.9602176327285689"/>
          <h val="0.722222524952547"/>
        </manualLayout>
      </layout>
      <barChart>
        <barDir val="col"/>
        <grouping val="clustered"/>
        <varyColors val="0"/>
        <ser>
          <idx val="0"/>
          <order val="0"/>
          <tx>
            <strRef>
              <f>DASHBOARD_FIN!$C$37</f>
              <strCache>
                <ptCount val="1"/>
                <pt idx="0">
                  <v>CA Groupe (k€)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DASHBOARD_FIN!$B$38:$B$42</f>
              <strCache>
                <ptCount val="5"/>
                <pt idx="0">
                  <v>FR_ParentCo</v>
                </pt>
                <pt idx="1">
                  <v>DE_Filiale</v>
                </pt>
                <pt idx="2">
                  <v>UK_Filiale</v>
                </pt>
                <pt idx="3">
                  <v>US_Filiale</v>
                </pt>
                <pt idx="4">
                  <v>SG_Filiale</v>
                </pt>
              </strCache>
            </strRef>
          </cat>
          <val>
            <numRef>
              <f>DASHBOARD_FIN!$C$38:$C$42</f>
              <numCache>
                <formatCode>#,##0</formatCode>
                <ptCount val="5"/>
                <pt idx="0">
                  <v>285000</v>
                </pt>
                <pt idx="1">
                  <v>168000</v>
                </pt>
                <pt idx="2">
                  <v>163584</v>
                </pt>
                <pt idx="3">
                  <v>180375</v>
                </pt>
                <pt idx="4">
                  <v>60016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605778031"/>
        <axId val="1605766031"/>
      </barChart>
      <catAx>
        <axId val="16057780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05766031"/>
        <crosses val="autoZero"/>
        <auto val="1"/>
        <lblAlgn val="ctr"/>
        <lblOffset val="100"/>
        <noMultiLvlLbl val="0"/>
      </catAx>
      <valAx>
        <axId val="16057660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0577803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Décomposition Résultat IFRS 18 – 5 Catégories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DASHBOARD_FIN!$G$38:$G$42</f>
              <strCache>
                <ptCount val="5"/>
                <pt idx="0">
                  <v>Exploitation (EBIT)</v>
                </pt>
                <pt idx="1">
                  <v>Investissement</v>
                </pt>
                <pt idx="2">
                  <v>Financement</v>
                </pt>
                <pt idx="3">
                  <v>Impôts</v>
                </pt>
                <pt idx="4">
                  <v>Résultat Net</v>
                </pt>
              </strCache>
            </strRef>
          </cat>
          <val>
            <numRef>
              <f>DASHBOARD_FIN!$H$38:$H$42</f>
              <numCache>
                <formatCode>#\ ##0;\(#\ ##0\)</formatCode>
                <ptCount val="5"/>
                <pt idx="0">
                  <v>153798</v>
                </pt>
                <pt idx="1">
                  <v>6521</v>
                </pt>
                <pt idx="2">
                  <v>-33718</v>
                </pt>
                <pt idx="3">
                  <v>-44491</v>
                </pt>
                <pt idx="4">
                  <v>82110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2025 par Entité (k€)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DASHBOARD!$B$28:$B$33</f>
              <strCache>
                <ptCount val="6"/>
                <pt idx="0">
                  <v xml:space="preserve">   Impôts différés actifs</v>
                </pt>
                <pt idx="1">
                  <v>▶  ACTIFS COURANTS</v>
                </pt>
                <pt idx="2">
                  <v xml:space="preserve">   Stocks &amp; créances</v>
                </pt>
                <pt idx="3">
                  <v xml:space="preserve">   Trésorerie &amp; équiv. (IAS 7)</v>
                </pt>
                <pt idx="4">
                  <v>🔷  TOTAL ACTIF</v>
                </pt>
                <pt idx="5">
                  <v>▶  CAPITAUX PROPRES CONSOLID.</v>
                </pt>
              </strCache>
            </strRef>
          </cat>
          <val>
            <numRef>
              <f>DASHBOARD!$C$28:$C$33</f>
              <numCache>
                <formatCode>#,##0</formatCode>
                <ptCount val="6"/>
                <pt idx="0">
                  <v>36341</v>
                </pt>
                <pt idx="1">
                  <v>624116</v>
                </pt>
                <pt idx="2">
                  <v>417748</v>
                </pt>
                <pt idx="3">
                  <v>170012</v>
                </pt>
                <pt idx="4">
                  <v>1385405</v>
                </pt>
                <pt idx="5">
                  <v>259679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812250767"/>
        <axId val="1812235407"/>
      </barChart>
      <catAx>
        <axId val="181225076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35407"/>
        <crosses val="autoZero"/>
        <auto val="1"/>
        <lblAlgn val="ctr"/>
        <lblOffset val="100"/>
        <noMultiLvlLbl val="0"/>
      </catAx>
      <valAx>
        <axId val="181223540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5076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IFRS 18 Waterfall — CR Consolidé 2025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DASHBOARD!$B$11:$B$21</f>
              <strCache>
                <ptCount val="11"/>
                <pt idx="0">
                  <v>CA net IFRS 15</v>
                </pt>
                <pt idx="1">
                  <v>Var.stks+Autres prod.</v>
                </pt>
                <pt idx="2">
                  <v>Achats &amp; charges ext.</v>
                </pt>
                <pt idx="3">
                  <v>Charges de personnel</v>
                </pt>
                <pt idx="4">
                  <v>Amort. D&amp;A (IFRS16)</v>
                </pt>
                <pt idx="5">
                  <v>EBIT IFRS 18 §65</v>
                </pt>
                <pt idx="6">
                  <v>Divid.+Cessions</v>
                </pt>
                <pt idx="7">
                  <v>Int.IFRS16+Emprts</v>
                </pt>
                <pt idx="8">
                  <v>Profit av.fin.&amp;impôt</v>
                </pt>
                <pt idx="9">
                  <v>Impôts (IAS 12)</v>
                </pt>
                <pt idx="10">
                  <v>Act.abandonnées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DASHBOARD!$B$22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12254127"/>
        <axId val="1812240207"/>
      </barChart>
      <catAx>
        <axId val="1812254127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40207"/>
        <crosses val="autoZero"/>
        <auto val="1"/>
        <lblAlgn val="ctr"/>
        <lblOffset val="100"/>
        <noMultiLvlLbl val="0"/>
      </catAx>
      <valAx>
        <axId val="18122402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541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CO₂ par Entité et Scope 2025 (tCO₂eq)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DASHBOARD!$M$25:$M$30</f>
              <strCache>
                <ptCount val="6"/>
                <pt idx="0">
                  <v>FR_ParentCo</v>
                </pt>
                <pt idx="1">
                  <v>DE_Filiale</v>
                </pt>
                <pt idx="2">
                  <v>UK_Filiale</v>
                </pt>
                <pt idx="3">
                  <v>US_Filiale</v>
                </pt>
                <pt idx="4">
                  <v>SG_Filiale</v>
                </pt>
                <pt idx="5">
                  <v>TOTAL Scope 1</v>
                </pt>
              </strCache>
            </strRef>
          </cat>
          <val>
            <numRef>
              <f>DASHBOARD!$N$25:$N$30</f>
              <numCache>
                <formatCode>#,##0</formatCode>
                <ptCount val="6"/>
                <pt idx="0">
                  <v>12400</v>
                </pt>
                <pt idx="1">
                  <v>29600</v>
                </pt>
                <pt idx="2">
                  <v>8200</v>
                </pt>
                <pt idx="3">
                  <v>18900</v>
                </pt>
                <pt idx="4">
                  <v>5400</v>
                </pt>
                <pt idx="5">
                  <v>74500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DASHBOARD!$M$25:$M$30</f>
              <strCache>
                <ptCount val="6"/>
                <pt idx="0">
                  <v>FR_ParentCo</v>
                </pt>
                <pt idx="1">
                  <v>DE_Filiale</v>
                </pt>
                <pt idx="2">
                  <v>UK_Filiale</v>
                </pt>
                <pt idx="3">
                  <v>US_Filiale</v>
                </pt>
                <pt idx="4">
                  <v>SG_Filiale</v>
                </pt>
                <pt idx="5">
                  <v>TOTAL Scope 1</v>
                </pt>
              </strCache>
            </strRef>
          </cat>
          <val>
            <numRef>
              <f>DASHBOARD!$O$25:$O$30</f>
              <numCache>
                <formatCode>#,##0</formatCode>
                <ptCount val="6"/>
                <pt idx="0">
                  <v>8900</v>
                </pt>
                <pt idx="1">
                  <v>15600</v>
                </pt>
                <pt idx="2">
                  <v>6100</v>
                </pt>
                <pt idx="3">
                  <v>14100</v>
                </pt>
                <pt idx="4">
                  <v>3800</v>
                </pt>
                <pt idx="5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DASHBOARD!$M$25:$M$30</f>
              <strCache>
                <ptCount val="6"/>
                <pt idx="0">
                  <v>FR_ParentCo</v>
                </pt>
                <pt idx="1">
                  <v>DE_Filiale</v>
                </pt>
                <pt idx="2">
                  <v>UK_Filiale</v>
                </pt>
                <pt idx="3">
                  <v>US_Filiale</v>
                </pt>
                <pt idx="4">
                  <v>SG_Filiale</v>
                </pt>
                <pt idx="5">
                  <v>TOTAL Scope 1</v>
                </pt>
              </strCache>
            </strRef>
          </cat>
          <val>
            <numRef>
              <f>DASHBOARD!$P$25:$P$30</f>
              <numCache>
                <formatCode>#,##0</formatCode>
                <ptCount val="6"/>
                <pt idx="0">
                  <v>85000</v>
                </pt>
                <pt idx="1">
                  <v>142000</v>
                </pt>
                <pt idx="2">
                  <v>62000</v>
                </pt>
                <pt idx="3">
                  <v>195000</v>
                </pt>
                <pt idx="4">
                  <v>28000</v>
                </pt>
                <pt idx="5">
                  <v>0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DASHBOARD!$M$25:$M$30</f>
              <strCache>
                <ptCount val="6"/>
                <pt idx="0">
                  <v>FR_ParentCo</v>
                </pt>
                <pt idx="1">
                  <v>DE_Filiale</v>
                </pt>
                <pt idx="2">
                  <v>UK_Filiale</v>
                </pt>
                <pt idx="3">
                  <v>US_Filiale</v>
                </pt>
                <pt idx="4">
                  <v>SG_Filiale</v>
                </pt>
                <pt idx="5">
                  <v>TOTAL Scope 1</v>
                </pt>
              </strCache>
            </strRef>
          </cat>
          <val>
            <numRef>
              <f>DASHBOARD!$Q$25:$Q$30</f>
              <numCache>
                <formatCode>#,##0</formatCode>
                <ptCount val="6"/>
                <pt idx="0">
                  <v>106300</v>
                </pt>
                <pt idx="1">
                  <v>187200</v>
                </pt>
                <pt idx="2">
                  <v>76300</v>
                </pt>
                <pt idx="3">
                  <v>228000</v>
                </pt>
                <pt idx="4">
                  <v>37200</v>
                </pt>
                <pt idx="5">
                  <v>74500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12226767"/>
        <axId val="1812243567"/>
      </barChart>
      <catAx>
        <axId val="18122267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43567"/>
        <crosses val="autoZero"/>
        <auto val="1"/>
        <lblAlgn val="ctr"/>
        <lblOffset val="100"/>
        <noMultiLvlLbl val="0"/>
      </catAx>
      <valAx>
        <axId val="18122435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2676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Carbone — Scope 1+2+3 (tCO₂eq)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val>
            <numRef>
              <f>DASHBOARD!$M$25:$M$34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val>
            <numRef>
              <f>DASHBOARD!$N$25:$N$34</f>
              <numCache>
                <formatCode>#,##0</formatCode>
                <ptCount val="10"/>
                <pt idx="0">
                  <v>12400</v>
                </pt>
                <pt idx="1">
                  <v>29600</v>
                </pt>
                <pt idx="2">
                  <v>8200</v>
                </pt>
                <pt idx="3">
                  <v>18900</v>
                </pt>
                <pt idx="4">
                  <v>5400</v>
                </pt>
                <pt idx="5">
                  <v>74500</v>
                </pt>
                <pt idx="6">
                  <v>0</v>
                </pt>
                <pt idx="7">
                  <v>0</v>
                </pt>
                <pt idx="8">
                  <v>74500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12251247"/>
        <axId val="1812242607"/>
      </lineChart>
      <catAx>
        <axId val="1812251247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42607"/>
        <crosses val="autoZero"/>
        <auto val="1"/>
        <lblAlgn val="ctr"/>
        <lblOffset val="100"/>
        <noMultiLvlLbl val="0"/>
      </catAx>
      <valAx>
        <axId val="18122426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512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Bilan — N vs N-1 (k€)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percentStack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DASHBOARD!$B$25:$B$40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DASHBOARD!$C$25:$C$40</f>
              <numCache>
                <formatCode>#,##0</formatCode>
                <ptCount val="16"/>
                <pt idx="0">
                  <v>761289</v>
                </pt>
                <pt idx="1">
                  <v>59135</v>
                </pt>
                <pt idx="2">
                  <v>551938</v>
                </pt>
                <pt idx="3">
                  <v>36341</v>
                </pt>
                <pt idx="4">
                  <v>624116</v>
                </pt>
                <pt idx="5">
                  <v>417748</v>
                </pt>
                <pt idx="6">
                  <v>170012</v>
                </pt>
                <pt idx="7">
                  <v>1385405</v>
                </pt>
                <pt idx="8">
                  <v>259679</v>
                </pt>
                <pt idx="9">
                  <v>198747</v>
                </pt>
                <pt idx="10">
                  <v>60932</v>
                </pt>
                <pt idx="11">
                  <v>459039</v>
                </pt>
                <pt idx="12">
                  <v>365785</v>
                </pt>
                <pt idx="13">
                  <v>251736</v>
                </pt>
                <pt idx="14">
                  <v>1385405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DASHBOARD!$D$25:$D$40</f>
              <numCache>
                <formatCode>#,##0</formatCode>
                <ptCount val="16"/>
                <pt idx="0">
                  <v>720000</v>
                </pt>
                <pt idx="1">
                  <v>85000</v>
                </pt>
                <pt idx="2">
                  <v>515000</v>
                </pt>
                <pt idx="3">
                  <v>32000</v>
                </pt>
                <pt idx="4">
                  <v>578000</v>
                </pt>
                <pt idx="5">
                  <v>388000</v>
                </pt>
                <pt idx="6">
                  <v>158000</v>
                </pt>
                <pt idx="7">
                  <v>1298000</v>
                </pt>
                <pt idx="8">
                  <v>232200</v>
                </pt>
                <pt idx="9">
                  <v>190000</v>
                </pt>
                <pt idx="10">
                  <v>42200</v>
                </pt>
                <pt idx="11">
                  <v>440000</v>
                </pt>
                <pt idx="12">
                  <v>350000</v>
                </pt>
                <pt idx="13">
                  <v>243000</v>
                </pt>
                <pt idx="14">
                  <v>1298000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DASHBOARD!$E$25:$E$40</f>
              <numCache>
                <formatCode>#\ ##0;\(#\ ##0\)</formatCode>
                <ptCount val="16"/>
                <pt idx="0">
                  <v>41289</v>
                </pt>
                <pt idx="1">
                  <v>-25865</v>
                </pt>
                <pt idx="2">
                  <v>36938</v>
                </pt>
                <pt idx="3">
                  <v>4341</v>
                </pt>
                <pt idx="4">
                  <v>46116</v>
                </pt>
                <pt idx="5">
                  <v>29748</v>
                </pt>
                <pt idx="6">
                  <v>12012</v>
                </pt>
                <pt idx="7">
                  <v>87405</v>
                </pt>
                <pt idx="8">
                  <v>27479</v>
                </pt>
                <pt idx="9">
                  <v>8747</v>
                </pt>
                <pt idx="10">
                  <v>18732</v>
                </pt>
                <pt idx="11">
                  <v>19039</v>
                </pt>
                <pt idx="12">
                  <v>15785</v>
                </pt>
                <pt idx="13">
                  <v>8736</v>
                </pt>
                <pt idx="14">
                  <v>87405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12228687"/>
        <axId val="1812229167"/>
      </barChart>
      <catAx>
        <axId val="1812228687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29167"/>
        <crosses val="autoZero"/>
        <auto val="1"/>
        <lblAlgn val="ctr"/>
        <lblOffset val="100"/>
        <noMultiLvlLbl val="0"/>
      </catAx>
      <valAx>
        <axId val="18122291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81222868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drawing1.xml><?xml version="1.0" encoding="utf-8"?>
<wsDr xmlns="http://schemas.openxmlformats.org/drawingml/2006/spreadsheetDrawing">
  <twoCellAnchor>
    <from>
      <col>0</col>
      <colOff>276225</colOff>
      <row>74</row>
      <rowOff>114300</rowOff>
    </from>
    <to>
      <col>11</col>
      <colOff>114300</colOff>
      <row>89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43</row>
      <rowOff>0</rowOff>
    </from>
    <to>
      <col>15</col>
      <colOff>0</colOff>
      <row>57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0</colOff>
      <row>114</row>
      <rowOff>0</rowOff>
    </from>
    <to>
      <col>8</col>
      <colOff>0</colOff>
      <row>130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114</row>
      <rowOff>0</rowOff>
    </from>
    <to>
      <col>16</col>
      <colOff>0</colOff>
      <row>130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17</col>
      <colOff>0</colOff>
      <row>114</row>
      <rowOff>0</rowOff>
    </from>
    <to>
      <col>24</col>
      <colOff>0</colOff>
      <row>130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0</colOff>
      <row>130</row>
      <rowOff>0</rowOff>
    </from>
    <to>
      <col>8</col>
      <colOff>0</colOff>
      <row>146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9</col>
      <colOff>0</colOff>
      <row>130</row>
      <rowOff>0</rowOff>
    </from>
    <to>
      <col>16</col>
      <colOff>0</colOff>
      <row>146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udo" refreshedDate="46080.88243680556" createdVersion="8" refreshedVersion="8" minRefreshableVersion="3" recordCount="31" r:id="rId1">
  <cacheSource type="worksheet">
    <worksheetSource ref="B42:X73" sheet="DASHBOARD"/>
  </cacheSource>
  <cacheFields count="23">
    <cacheField name="Année" uniqueList="1" numFmtId="0" sqlType="0" hierarchy="0" level="0" databaseField="1">
      <sharedItems count="0" containsInteger="1" containsNumber="1" containsSemiMixedTypes="0" containsString="0" minValue="2024" maxValue="2025"/>
    </cacheField>
    <cacheField name="Scénario" uniqueList="1" numFmtId="0" sqlType="0" hierarchy="0" level="0" databaseField="1">
      <sharedItems count="3">
        <s v="Base"/>
        <s v="Bull"/>
        <s v="Bear"/>
      </sharedItems>
    </cacheField>
    <cacheField name="Entité" uniqueList="1" numFmtId="0" sqlType="0" hierarchy="0" level="0" databaseField="1">
      <sharedItems count="6">
        <s v="FR_ParentCo"/>
        <s v="DE_Filiale"/>
        <s v="UK_Filiale"/>
        <s v="US_Filiale"/>
        <s v="SG_Filiale"/>
        <s v="ÉLIM_IC"/>
      </sharedItems>
    </cacheField>
    <cacheField name="Devise" uniqueList="1" numFmtId="0" sqlType="0" hierarchy="0" level="0" databaseField="1">
      <sharedItems count="0"/>
    </cacheField>
    <cacheField name="Taux IAS21" uniqueList="1" numFmtId="0" sqlType="0" hierarchy="0" level="0" databaseField="1">
      <sharedItems count="0" containsNumber="1" containsSemiMixedTypes="0" containsString="0" minValue="0.68" maxValue="1.152"/>
    </cacheField>
    <cacheField name="Poste IFRS 18" uniqueList="1" numFmtId="0" sqlType="0" hierarchy="0" level="0" databaseField="1">
      <sharedItems count="12">
        <s v="CA net IFRS 15"/>
        <s v="Achats &amp; charges ext."/>
        <s v="Charges de personnel"/>
        <s v="Amort. D&amp;A (IFRS 16)"/>
        <s v="Dividendes reçus"/>
        <s v="Intérêts emprunts"/>
        <s v="Impôt IS courant"/>
        <s v="Élim. CA interco."/>
        <s v="Élim. Dividendes IC"/>
        <s v="Élim. Achats IC"/>
        <s v="CA net (Scénario Bull)"/>
        <s v="CA net (Scénario Bear)"/>
      </sharedItems>
    </cacheField>
    <cacheField name="Catégorie §65" uniqueList="1" numFmtId="0" sqlType="0" hierarchy="0" level="0" databaseField="1">
      <sharedItems count="4">
        <s v="① Exploitation"/>
        <s v="② Investissement"/>
        <s v="③ Financement"/>
        <s v="④ Impôts"/>
      </sharedItems>
    </cacheField>
    <cacheField name="Compte GL" uniqueList="1" numFmtId="0" sqlType="0" hierarchy="0" level="0" databaseField="1">
      <sharedItems count="10" containsInteger="1" containsNumber="1" containsSemiMixedTypes="0" containsString="0" minValue="6010" maxValue="9200">
        <n v="7010"/>
        <n v="6010"/>
        <n v="6400"/>
        <n v="6811"/>
        <n v="7610"/>
        <n v="6610"/>
        <n v="6950"/>
        <n v="9100"/>
        <n v="9200"/>
        <n v="9110"/>
      </sharedItems>
    </cacheField>
    <cacheField name="Libellé compte" uniqueList="1" numFmtId="0" sqlType="0" hierarchy="0" level="0" databaseField="1">
      <sharedItems count="0"/>
    </cacheField>
    <cacheField name="Montant Orig." uniqueList="1" numFmtId="0" sqlType="0" hierarchy="0" level="0" databaseField="1">
      <sharedItems count="0" containsInteger="1" containsNumber="1" containsSemiMixedTypes="0" containsString="0" minValue="-95000" maxValue="304950"/>
    </cacheField>
    <cacheField name="Montant EUR" uniqueList="1" numFmtId="0" sqlType="0" hierarchy="0" level="0" databaseField="1">
      <sharedItems count="0" containsInteger="1" containsNumber="1" containsSemiMixedTypes="0" containsString="0" minValue="-95000" maxValue="304950"/>
    </cacheField>
    <cacheField name="Élim. IC" uniqueList="1" numFmtId="0" sqlType="0" hierarchy="0" level="0" databaseField="1">
      <sharedItems count="0" containsInteger="1" containsNumber="1" containsSemiMixedTypes="0" containsString="0" minValue="-39900" maxValue="28000"/>
    </cacheField>
    <cacheField name="Mont. Consolid." uniqueList="1" numFmtId="0" sqlType="0" hierarchy="0" level="0" databaseField="1">
      <sharedItems count="0" containsInteger="1" containsNumber="1" containsSemiMixedTypes="0" containsString="0" minValue="-95000" maxValue="304950"/>
    </cacheField>
    <cacheField name="Réf.Écriture" uniqueList="1" numFmtId="0" sqlType="0" hierarchy="0" level="0" databaseField="1">
      <sharedItems count="0"/>
    </cacheField>
    <cacheField name="Date" uniqueList="1" numFmtId="0" sqlType="0" hierarchy="0" level="0" databaseField="1">
      <sharedItems count="0"/>
    </cacheField>
    <cacheField name="Note IFRS" uniqueList="1" numFmtId="0" sqlType="0" hierarchy="0" level="0" databaseField="1">
      <sharedItems count="0"/>
    </cacheField>
    <cacheField name="Scope CO₂" uniqueList="1" numFmtId="0" sqlType="0" hierarchy="0" level="0" databaseField="1">
      <sharedItems count="0"/>
    </cacheField>
    <cacheField name="tCO₂eq" uniqueList="1" numFmtId="0" sqlType="0" hierarchy="0" level="0" databaseField="1">
      <sharedItems count="0" containsInteger="1" containsNumber="1" containsSemiMixedTypes="0" containsString="0" minValue="-87750" maxValue="0"/>
    </cacheField>
    <cacheField name="ESRS" uniqueList="1" numFmtId="0" sqlType="0" hierarchy="0" level="0" databaseField="1">
      <sharedItems count="0"/>
    </cacheField>
    <cacheField name="Bull" uniqueList="1" numFmtId="0" sqlType="0" hierarchy="0" level="0" databaseField="1">
      <sharedItems count="0" containsBlank="1" containsInteger="1" containsNumber="1" containsString="0" minValue="64217" maxValue="304950"/>
    </cacheField>
    <cacheField name="Bear" uniqueList="1" numFmtId="0" sqlType="0" hierarchy="0" level="0" databaseField="1">
      <sharedItems count="0" containsBlank="1" containsInteger="1" containsNumber="1" containsString="0" minValue="54014" maxValue="256500"/>
    </cacheField>
    <cacheField name="Auditeur" uniqueList="1" numFmtId="0" sqlType="0" hierarchy="0" level="0" databaseField="1">
      <sharedItems count="0"/>
    </cacheField>
    <cacheField name="Stat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31">
  <r>
    <n v="2025"/>
    <x v="0"/>
    <x v="0"/>
    <s v="EUR"/>
    <n v="1"/>
    <x v="0"/>
    <x v="0"/>
    <x v="0"/>
    <s v="Ventes produits finis"/>
    <n v="285000"/>
    <n v="285000"/>
    <n v="0"/>
    <n v="285000"/>
    <s v="FR-2025-001"/>
    <s v="31/12/2025"/>
    <s v="IFRS 15"/>
    <s v="—"/>
    <n v="0"/>
    <s v="E1-6"/>
    <n v="304950"/>
    <n v="256500"/>
    <s v="Deloitte"/>
    <s v="✅ Validé"/>
  </r>
  <r>
    <n v="2025"/>
    <x v="0"/>
    <x v="0"/>
    <s v="EUR"/>
    <n v="1"/>
    <x v="1"/>
    <x v="0"/>
    <x v="1"/>
    <s v="Achats matières premières"/>
    <n v="-95000"/>
    <n v="-95000"/>
    <n v="0"/>
    <n v="-95000"/>
    <s v="FR-2025-010"/>
    <s v="31/12/2025"/>
    <s v="IAS 2"/>
    <s v="Scope 3"/>
    <n v="-39900"/>
    <s v="E1-6"/>
    <m/>
    <m/>
    <s v="Deloitte"/>
    <s v="✅ Validé"/>
  </r>
  <r>
    <n v="2025"/>
    <x v="0"/>
    <x v="0"/>
    <s v="EUR"/>
    <n v="1"/>
    <x v="2"/>
    <x v="0"/>
    <x v="2"/>
    <s v="Salaires &amp; charges soc."/>
    <n v="-68000"/>
    <n v="-68000"/>
    <n v="0"/>
    <n v="-68000"/>
    <s v="FR-2025-020"/>
    <s v="31/12/2025"/>
    <s v="IAS 19"/>
    <s v="—"/>
    <n v="0"/>
    <s v="S1-6"/>
    <m/>
    <m/>
    <s v="Deloitte"/>
    <s v="✅ Validé"/>
  </r>
  <r>
    <n v="2025"/>
    <x v="0"/>
    <x v="0"/>
    <s v="EUR"/>
    <n v="1"/>
    <x v="3"/>
    <x v="0"/>
    <x v="3"/>
    <s v="Dotations amortissements"/>
    <n v="-22000"/>
    <n v="-22000"/>
    <n v="0"/>
    <n v="-22000"/>
    <s v="FR-2025-030"/>
    <s v="31/12/2025"/>
    <s v="IAS 16"/>
    <s v="—"/>
    <n v="0"/>
    <s v="—"/>
    <m/>
    <m/>
    <s v="Deloitte"/>
    <s v="✅ Validé"/>
  </r>
  <r>
    <n v="2025"/>
    <x v="0"/>
    <x v="0"/>
    <s v="EUR"/>
    <n v="1"/>
    <x v="4"/>
    <x v="1"/>
    <x v="4"/>
    <s v="Dividendes filiales IC"/>
    <n v="4200"/>
    <n v="4200"/>
    <n v="-4200"/>
    <n v="0"/>
    <s v="FR-2025-040"/>
    <s v="31/12/2025"/>
    <s v="IAS 28"/>
    <s v="—"/>
    <n v="0"/>
    <s v="—"/>
    <m/>
    <m/>
    <s v="Deloitte"/>
    <s v="✅ IC élim."/>
  </r>
  <r>
    <n v="2025"/>
    <x v="0"/>
    <x v="0"/>
    <s v="EUR"/>
    <n v="1"/>
    <x v="5"/>
    <x v="2"/>
    <x v="5"/>
    <s v="Intérêts financiers"/>
    <n v="-8200"/>
    <n v="-8200"/>
    <n v="0"/>
    <n v="-8200"/>
    <s v="FR-2025-050"/>
    <s v="31/12/2025"/>
    <s v="IFRS 9"/>
    <s v="—"/>
    <n v="0"/>
    <s v="—"/>
    <m/>
    <m/>
    <s v="Deloitte"/>
    <s v="✅ Validé"/>
  </r>
  <r>
    <n v="2025"/>
    <x v="0"/>
    <x v="0"/>
    <s v="EUR"/>
    <n v="1"/>
    <x v="6"/>
    <x v="3"/>
    <x v="6"/>
    <s v="IS courant IAS 12"/>
    <n v="-12400"/>
    <n v="-12400"/>
    <n v="0"/>
    <n v="-12400"/>
    <s v="FR-2025-060"/>
    <s v="31/12/2025"/>
    <s v="IAS 12"/>
    <s v="—"/>
    <n v="0"/>
    <s v="—"/>
    <m/>
    <m/>
    <s v="Deloitte"/>
    <s v="✅ Validé"/>
  </r>
  <r>
    <n v="2025"/>
    <x v="0"/>
    <x v="1"/>
    <s v="EUR"/>
    <n v="1"/>
    <x v="0"/>
    <x v="0"/>
    <x v="0"/>
    <s v="Umsatz Produkte"/>
    <n v="168000"/>
    <n v="168000"/>
    <n v="0"/>
    <n v="168000"/>
    <s v="DE-2025-001"/>
    <s v="31/12/2025"/>
    <s v="IFRS 15"/>
    <s v="—"/>
    <n v="0"/>
    <s v="E1-6"/>
    <n v="179760"/>
    <n v="151200"/>
    <s v="PwC"/>
    <s v="✅ Validé"/>
  </r>
  <r>
    <n v="2025"/>
    <x v="0"/>
    <x v="1"/>
    <s v="EUR"/>
    <n v="1"/>
    <x v="1"/>
    <x v="0"/>
    <x v="1"/>
    <s v="Materialeinkauf"/>
    <n v="-82000"/>
    <n v="-82000"/>
    <n v="0"/>
    <n v="-82000"/>
    <s v="DE-2025-010"/>
    <s v="31/12/2025"/>
    <s v="IAS 2"/>
    <s v="Scope 3"/>
    <n v="-47620"/>
    <s v="E1-6"/>
    <m/>
    <m/>
    <s v="PwC"/>
    <s v="✅ Validé"/>
  </r>
  <r>
    <n v="2025"/>
    <x v="0"/>
    <x v="1"/>
    <s v="EUR"/>
    <n v="1"/>
    <x v="2"/>
    <x v="0"/>
    <x v="2"/>
    <s v="Personalkosten"/>
    <n v="-45000"/>
    <n v="-45000"/>
    <n v="0"/>
    <n v="-45000"/>
    <s v="DE-2025-020"/>
    <s v="31/12/2025"/>
    <s v="IAS 19"/>
    <s v="—"/>
    <n v="0"/>
    <s v="S1-6"/>
    <m/>
    <m/>
    <s v="PwC"/>
    <s v="✅ Validé"/>
  </r>
  <r>
    <n v="2025"/>
    <x v="0"/>
    <x v="1"/>
    <s v="EUR"/>
    <n v="1"/>
    <x v="5"/>
    <x v="2"/>
    <x v="5"/>
    <s v="Zinsaufwand"/>
    <n v="-4500"/>
    <n v="-4500"/>
    <n v="0"/>
    <n v="-4500"/>
    <s v="DE-2025-050"/>
    <s v="31/12/2025"/>
    <s v="IFRS 9"/>
    <s v="—"/>
    <n v="0"/>
    <s v="—"/>
    <m/>
    <m/>
    <s v="PwC"/>
    <s v="✅ Validé"/>
  </r>
  <r>
    <n v="2025"/>
    <x v="0"/>
    <x v="2"/>
    <s v="GBP"/>
    <n v="1.152"/>
    <x v="0"/>
    <x v="0"/>
    <x v="0"/>
    <s v="Revenue GBP (x1.152)"/>
    <n v="142000"/>
    <n v="163584"/>
    <n v="0"/>
    <n v="163584"/>
    <s v="UK-2025-001"/>
    <s v="31/12/2025"/>
    <s v="IFRS 15/IAS 21"/>
    <s v="—"/>
    <n v="0"/>
    <s v="E1-6"/>
    <n v="174934"/>
    <n v="147226"/>
    <s v="KPMG"/>
    <s v="✅ Validé"/>
  </r>
  <r>
    <n v="2025"/>
    <x v="0"/>
    <x v="2"/>
    <s v="GBP"/>
    <n v="1.152"/>
    <x v="1"/>
    <x v="0"/>
    <x v="1"/>
    <s v="Cost of Goods Sold"/>
    <n v="-68000"/>
    <n v="-78336"/>
    <n v="0"/>
    <n v="-78336"/>
    <s v="UK-2025-010"/>
    <s v="31/12/2025"/>
    <s v="IAS 21"/>
    <s v="Scope 3"/>
    <n v="-25233"/>
    <s v="E1-6"/>
    <m/>
    <m/>
    <s v="KPMG"/>
    <s v="✅ Validé"/>
  </r>
  <r>
    <n v="2025"/>
    <x v="0"/>
    <x v="2"/>
    <s v="GBP"/>
    <n v="1.152"/>
    <x v="2"/>
    <x v="0"/>
    <x v="2"/>
    <s v="Staff costs GBP"/>
    <n v="-38000"/>
    <n v="-43776"/>
    <n v="0"/>
    <n v="-43776"/>
    <s v="UK-2025-020"/>
    <s v="31/12/2025"/>
    <s v="IAS 19/21"/>
    <s v="—"/>
    <n v="0"/>
    <s v="S1-6"/>
    <m/>
    <m/>
    <s v="KPMG"/>
    <s v="✅ Validé"/>
  </r>
  <r>
    <n v="2025"/>
    <x v="0"/>
    <x v="3"/>
    <s v="USD"/>
    <n v="0.925"/>
    <x v="0"/>
    <x v="0"/>
    <x v="0"/>
    <s v="Revenue USD (x0.925)"/>
    <n v="195000"/>
    <n v="180375"/>
    <n v="0"/>
    <n v="180375"/>
    <s v="US-2025-001"/>
    <s v="31/12/2025"/>
    <s v="IFRS 15/IAS 21"/>
    <s v="—"/>
    <n v="0"/>
    <s v="E1-6"/>
    <n v="192701"/>
    <n v="162338"/>
    <s v="EY"/>
    <s v="✅ Validé"/>
  </r>
  <r>
    <n v="2025"/>
    <x v="0"/>
    <x v="3"/>
    <s v="USD"/>
    <n v="0.925"/>
    <x v="1"/>
    <x v="0"/>
    <x v="1"/>
    <s v="COGS USD→EUR"/>
    <n v="-92000"/>
    <n v="-85100"/>
    <n v="0"/>
    <n v="-85100"/>
    <s v="US-2025-010"/>
    <s v="31/12/2025"/>
    <s v="IAS 21"/>
    <s v="Scope 3"/>
    <n v="-87750"/>
    <s v="E1-6"/>
    <m/>
    <m/>
    <s v="EY"/>
    <s v="✅ Validé"/>
  </r>
  <r>
    <n v="2025"/>
    <x v="0"/>
    <x v="3"/>
    <s v="USD"/>
    <n v="0.925"/>
    <x v="2"/>
    <x v="0"/>
    <x v="2"/>
    <s v="Payroll USD→EUR"/>
    <n v="-52000"/>
    <n v="-48100"/>
    <n v="0"/>
    <n v="-48100"/>
    <s v="US-2025-020"/>
    <s v="31/12/2025"/>
    <s v="IAS 19/21"/>
    <s v="—"/>
    <n v="0"/>
    <s v="S1-6"/>
    <m/>
    <m/>
    <s v="EY"/>
    <s v="✅ Validé"/>
  </r>
  <r>
    <n v="2025"/>
    <x v="0"/>
    <x v="3"/>
    <s v="USD"/>
    <n v="0.925"/>
    <x v="5"/>
    <x v="2"/>
    <x v="5"/>
    <s v="Interest expense"/>
    <n v="-7800"/>
    <n v="-7215"/>
    <n v="0"/>
    <n v="-7215"/>
    <s v="US-2025-050"/>
    <s v="31/12/2025"/>
    <s v="IFRS 9/21"/>
    <s v="—"/>
    <n v="0"/>
    <s v="—"/>
    <m/>
    <m/>
    <s v="EY"/>
    <s v="✅ Validé"/>
  </r>
  <r>
    <n v="2025"/>
    <x v="0"/>
    <x v="4"/>
    <s v="SGD"/>
    <n v="0.6820000000000001"/>
    <x v="0"/>
    <x v="0"/>
    <x v="0"/>
    <s v="Revenue SGD (x0.682)"/>
    <n v="88000"/>
    <n v="60016"/>
    <n v="0"/>
    <n v="60016"/>
    <s v="SG-2025-001"/>
    <s v="31/12/2025"/>
    <s v="IFRS 15/IAS 21"/>
    <s v="—"/>
    <n v="0"/>
    <s v="E1-6"/>
    <n v="64217"/>
    <n v="54014"/>
    <s v="Mazars"/>
    <s v="✅ Validé"/>
  </r>
  <r>
    <n v="2025"/>
    <x v="0"/>
    <x v="4"/>
    <s v="SGD"/>
    <n v="0.6820000000000001"/>
    <x v="1"/>
    <x v="0"/>
    <x v="1"/>
    <s v="Cost of sales SGD"/>
    <n v="-38000"/>
    <n v="-25916"/>
    <n v="0"/>
    <n v="-25916"/>
    <s v="SG-2025-010"/>
    <s v="31/12/2025"/>
    <s v="IAS 21"/>
    <s v="Scope 3"/>
    <n v="-19096"/>
    <s v="E1-6"/>
    <m/>
    <m/>
    <s v="Mazars"/>
    <s v="✅ Validé"/>
  </r>
  <r>
    <n v="2025"/>
    <x v="0"/>
    <x v="4"/>
    <s v="SGD"/>
    <n v="0.6820000000000001"/>
    <x v="2"/>
    <x v="0"/>
    <x v="2"/>
    <s v="Staff costs SGD"/>
    <n v="-22000"/>
    <n v="-15004"/>
    <n v="0"/>
    <n v="-15004"/>
    <s v="SG-2025-020"/>
    <s v="31/12/2025"/>
    <s v="IAS 19/21"/>
    <s v="—"/>
    <n v="0"/>
    <s v="S1-6"/>
    <m/>
    <m/>
    <s v="Mazars"/>
    <s v="✅ Validé"/>
  </r>
  <r>
    <n v="2025"/>
    <x v="0"/>
    <x v="5"/>
    <s v="EUR"/>
    <n v="1"/>
    <x v="7"/>
    <x v="0"/>
    <x v="7"/>
    <s v="Élim.ventes interco."/>
    <n v="0"/>
    <n v="0"/>
    <n v="-39900"/>
    <n v="-39900"/>
    <s v="ELIM-2025-001"/>
    <s v="31/12/2025"/>
    <s v="IFRS 10"/>
    <s v="—"/>
    <n v="0"/>
    <s v="—"/>
    <m/>
    <m/>
    <s v="CAC Groupe"/>
    <s v="✅ Éliminé"/>
  </r>
  <r>
    <n v="2025"/>
    <x v="0"/>
    <x v="5"/>
    <s v="EUR"/>
    <n v="1"/>
    <x v="8"/>
    <x v="1"/>
    <x v="8"/>
    <s v="Élim.dividendes IC"/>
    <n v="0"/>
    <n v="0"/>
    <n v="-4200"/>
    <n v="-4200"/>
    <s v="ELIM-2025-002"/>
    <s v="31/12/2025"/>
    <s v="IFRS 10"/>
    <s v="—"/>
    <n v="0"/>
    <s v="—"/>
    <m/>
    <m/>
    <s v="CAC Groupe"/>
    <s v="✅ Éliminé"/>
  </r>
  <r>
    <n v="2025"/>
    <x v="0"/>
    <x v="5"/>
    <s v="EUR"/>
    <n v="1"/>
    <x v="9"/>
    <x v="0"/>
    <x v="9"/>
    <s v="Élim.achats IC"/>
    <n v="0"/>
    <n v="0"/>
    <n v="28000"/>
    <n v="28000"/>
    <s v="ELIM-2025-003"/>
    <s v="31/12/2025"/>
    <s v="IFRS 10"/>
    <s v="—"/>
    <n v="0"/>
    <s v="—"/>
    <m/>
    <m/>
    <s v="CAC Groupe"/>
    <s v="✅ Éliminé"/>
  </r>
  <r>
    <n v="2025"/>
    <x v="1"/>
    <x v="0"/>
    <s v="EUR"/>
    <n v="1"/>
    <x v="10"/>
    <x v="0"/>
    <x v="0"/>
    <s v="Ventes +7% scénario Bull"/>
    <n v="304950"/>
    <n v="304950"/>
    <n v="0"/>
    <n v="304950"/>
    <s v="FR-BULL-001"/>
    <s v="31/12/2025"/>
    <s v="IFRS 15"/>
    <s v="—"/>
    <n v="0"/>
    <s v="E1-6"/>
    <n v="304950"/>
    <n v="256500"/>
    <s v="Deloitte"/>
    <s v="📋 Projection"/>
  </r>
  <r>
    <n v="2025"/>
    <x v="2"/>
    <x v="0"/>
    <s v="EUR"/>
    <n v="1"/>
    <x v="11"/>
    <x v="0"/>
    <x v="0"/>
    <s v="Ventes -10% scénario Bear"/>
    <n v="256500"/>
    <n v="256500"/>
    <n v="0"/>
    <n v="256500"/>
    <s v="FR-BEAR-001"/>
    <s v="31/12/2025"/>
    <s v="IFRS 15"/>
    <s v="—"/>
    <n v="0"/>
    <s v="E1-6"/>
    <n v="304950"/>
    <n v="256500"/>
    <s v="Deloitte"/>
    <s v="📋 Projection"/>
  </r>
  <r>
    <n v="2024"/>
    <x v="0"/>
    <x v="0"/>
    <s v="EUR"/>
    <n v="1"/>
    <x v="0"/>
    <x v="0"/>
    <x v="0"/>
    <s v="Ventes produits finis N-1"/>
    <n v="270000"/>
    <n v="270000"/>
    <n v="0"/>
    <n v="270000"/>
    <s v="FR-2024-001"/>
    <s v="31/12/2024"/>
    <s v="IFRS 15"/>
    <s v="—"/>
    <n v="0"/>
    <s v="E1-6"/>
    <m/>
    <m/>
    <s v="Deloitte"/>
    <s v="✅ Archivé"/>
  </r>
  <r>
    <n v="2024"/>
    <x v="0"/>
    <x v="1"/>
    <s v="EUR"/>
    <n v="1"/>
    <x v="0"/>
    <x v="0"/>
    <x v="0"/>
    <s v="Umsatz Produkte N-1"/>
    <n v="158000"/>
    <n v="158000"/>
    <n v="0"/>
    <n v="158000"/>
    <s v="DE-2024-001"/>
    <s v="31/12/2024"/>
    <s v="IFRS 15"/>
    <s v="—"/>
    <n v="0"/>
    <s v="E1-6"/>
    <m/>
    <m/>
    <s v="PwC"/>
    <s v="✅ Archivé"/>
  </r>
  <r>
    <n v="2024"/>
    <x v="0"/>
    <x v="2"/>
    <s v="GBP"/>
    <n v="1.148"/>
    <x v="0"/>
    <x v="0"/>
    <x v="0"/>
    <s v="Revenue GBP (x1.148)"/>
    <n v="131500"/>
    <n v="151000"/>
    <n v="0"/>
    <n v="151000"/>
    <s v="UK-2024-001"/>
    <s v="31/12/2024"/>
    <s v="IFRS 15/IAS 21"/>
    <s v="—"/>
    <n v="0"/>
    <s v="E1-6"/>
    <m/>
    <m/>
    <s v="KPMG"/>
    <s v="✅ Archivé"/>
  </r>
  <r>
    <n v="2024"/>
    <x v="0"/>
    <x v="3"/>
    <s v="USD"/>
    <n v="0.93"/>
    <x v="0"/>
    <x v="0"/>
    <x v="0"/>
    <s v="Revenue USD (x0.930)"/>
    <n v="181000"/>
    <n v="168330"/>
    <n v="0"/>
    <n v="168330"/>
    <s v="US-2024-001"/>
    <s v="31/12/2024"/>
    <s v="IFRS 15/IAS 21"/>
    <s v="—"/>
    <n v="0"/>
    <s v="E1-6"/>
    <m/>
    <m/>
    <s v="EY"/>
    <s v="✅ Archivé"/>
  </r>
  <r>
    <n v="2024"/>
    <x v="0"/>
    <x v="4"/>
    <s v="SGD"/>
    <n v="0.68"/>
    <x v="0"/>
    <x v="0"/>
    <x v="0"/>
    <s v="Revenue SGD N-1"/>
    <n v="85000"/>
    <n v="57800"/>
    <n v="0"/>
    <n v="57800"/>
    <s v="SG-2024-001"/>
    <s v="31/12/2024"/>
    <s v="IFRS 15/IAS 21"/>
    <s v="—"/>
    <n v="0"/>
    <s v="E1-6"/>
    <m/>
    <m/>
    <s v="Mazars"/>
    <s v="✅ Archivé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CD_DRILL_DOWN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148:J221" firstHeaderRow="1" firstDataRow="3" firstDataCol="1"/>
  <pivotFields count="23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11"/>
        <item t="data" sd="1" x="10"/>
        <item t="data" sd="1" x="0"/>
        <item t="data" sd="1" x="2"/>
        <item t="data" sd="1" x="4"/>
        <item t="data" sd="1" x="9"/>
        <item t="data" sd="1" x="7"/>
        <item t="data" sd="1" x="8"/>
        <item t="data" sd="1" x="6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1" x="2"/>
        <item t="data" sd="1" x="5"/>
        <item t="data" sd="1" x="3"/>
        <item t="data" sd="1" x="6"/>
        <item t="data" sd="1" x="0"/>
        <item t="data" sd="1" x="4"/>
        <item t="data" sd="1" x="7"/>
        <item t="data" sd="1" x="9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4">
    <field x="2"/>
    <field x="6"/>
    <field x="5"/>
    <field x="7"/>
  </rowFields>
  <rowItems count="71">
    <i t="data" r="0" i="0">
      <x v="0"/>
    </i>
    <i t="data" r="1" i="0">
      <x v="0"/>
    </i>
    <i t="data" r="2" i="0">
      <x v="0"/>
    </i>
    <i t="data" r="3" i="0">
      <x v="0"/>
    </i>
    <i t="data" r="2" i="0">
      <x v="4"/>
    </i>
    <i t="data" r="3" i="0">
      <x v="5"/>
    </i>
    <i t="data" r="2" i="0">
      <x v="5"/>
    </i>
    <i t="data" r="3" i="0">
      <x v="1"/>
    </i>
    <i t="data" r="1" i="0">
      <x v="2"/>
    </i>
    <i t="data" r="2" i="0">
      <x v="11"/>
    </i>
    <i t="data" r="3" i="0">
      <x v="2"/>
    </i>
    <i t="data" r="0" i="0">
      <x v="1"/>
    </i>
    <i t="data" r="1" i="0">
      <x v="0"/>
    </i>
    <i t="data" r="2" i="0">
      <x v="7"/>
    </i>
    <i t="data" r="3" i="0">
      <x v="8"/>
    </i>
    <i t="data" r="2" i="0">
      <x v="8"/>
    </i>
    <i t="data" r="3" i="0">
      <x v="7"/>
    </i>
    <i t="data" r="1" i="0">
      <x v="1"/>
    </i>
    <i t="data" r="2" i="0">
      <x v="9"/>
    </i>
    <i t="data" r="3" i="0">
      <x v="9"/>
    </i>
    <i t="data" r="0" i="0">
      <x v="2"/>
    </i>
    <i t="data" r="1" i="0">
      <x v="0"/>
    </i>
    <i t="data" r="2" i="0">
      <x v="0"/>
    </i>
    <i t="data" r="3" i="0">
      <x v="0"/>
    </i>
    <i t="data" r="2" i="0">
      <x v="1"/>
    </i>
    <i t="data" r="3" i="0">
      <x v="3"/>
    </i>
    <i t="data" r="2" i="0">
      <x v="2"/>
    </i>
    <i t="data" r="3" i="0">
      <x v="5"/>
    </i>
    <i t="data" r="2" i="0">
      <x v="3"/>
    </i>
    <i t="data" r="3" i="0">
      <x v="5"/>
    </i>
    <i t="data" r="2" i="0">
      <x v="4"/>
    </i>
    <i t="data" r="3" i="0">
      <x v="5"/>
    </i>
    <i t="data" r="2" i="0">
      <x v="5"/>
    </i>
    <i t="data" r="3" i="0">
      <x v="1"/>
    </i>
    <i t="data" r="1" i="0">
      <x v="1"/>
    </i>
    <i t="data" r="2" i="0">
      <x v="6"/>
    </i>
    <i t="data" r="3" i="0">
      <x v="6"/>
    </i>
    <i t="data" r="1" i="0">
      <x v="2"/>
    </i>
    <i t="data" r="2" i="0">
      <x v="11"/>
    </i>
    <i t="data" r="3" i="0">
      <x v="2"/>
    </i>
    <i t="data" r="1" i="0">
      <x v="3"/>
    </i>
    <i t="data" r="2" i="0">
      <x v="10"/>
    </i>
    <i t="data" r="3" i="0">
      <x v="4"/>
    </i>
    <i t="data" r="0" i="0">
      <x v="3"/>
    </i>
    <i t="data" r="1" i="0">
      <x v="0"/>
    </i>
    <i t="data" r="2" i="0">
      <x v="0"/>
    </i>
    <i t="data" r="3" i="0">
      <x v="0"/>
    </i>
    <i t="data" r="2" i="0">
      <x v="4"/>
    </i>
    <i t="data" r="3" i="0">
      <x v="5"/>
    </i>
    <i t="data" r="2" i="0">
      <x v="5"/>
    </i>
    <i t="data" r="3" i="0">
      <x v="1"/>
    </i>
    <i t="data" r="0" i="0">
      <x v="4"/>
    </i>
    <i t="data" r="1" i="0">
      <x v="0"/>
    </i>
    <i t="data" r="2" i="0">
      <x v="0"/>
    </i>
    <i t="data" r="3" i="0">
      <x v="0"/>
    </i>
    <i t="data" r="2" i="0">
      <x v="4"/>
    </i>
    <i t="data" r="3" i="0">
      <x v="5"/>
    </i>
    <i t="data" r="2" i="0">
      <x v="5"/>
    </i>
    <i t="data" r="3" i="0">
      <x v="1"/>
    </i>
    <i t="data" r="0" i="0">
      <x v="5"/>
    </i>
    <i t="data" r="1" i="0">
      <x v="0"/>
    </i>
    <i t="data" r="2" i="0">
      <x v="0"/>
    </i>
    <i t="data" r="3" i="0">
      <x v="0"/>
    </i>
    <i t="data" r="2" i="0">
      <x v="4"/>
    </i>
    <i t="data" r="3" i="0">
      <x v="5"/>
    </i>
    <i t="data" r="2" i="0">
      <x v="5"/>
    </i>
    <i t="data" r="3" i="0">
      <x v="1"/>
    </i>
    <i t="data" r="1" i="0">
      <x v="2"/>
    </i>
    <i t="data" r="2" i="0">
      <x v="11"/>
    </i>
    <i t="data" r="3" i="0">
      <x v="2"/>
    </i>
    <i t="grand" r="0" i="0">
      <x v="0"/>
    </i>
  </rowItems>
  <colFields count="2">
    <field x="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Somme de Montant EUR" fld="10" subtotal="sum" showDataAs="normal" baseField="0" baseItem="0"/>
    <dataField name="Somme de tCO₂eq" fld="17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PQ_MAPPING_TABLE" displayName="PQ_MAPPING_TABLE" ref="A3:K66" headerRowCount="1">
  <autoFilter ref="A3:K66"/>
  <tableColumns count="11">
    <tableColumn id="1" name="CodeSource"/>
    <tableColumn id="2" name="Libellé Source"/>
    <tableColumn id="3" name="Type"/>
    <tableColumn id="4" name="CatIFRS18"/>
    <tableColumn id="5" name="PosteGroupeIFRS18"/>
    <tableColumn id="6" name="SousPosteIFRS18"/>
    <tableColumn id="7" name="SigneConvention"/>
    <tableColumn id="8" name="InclusDansBFR"/>
    <tableColumn id="9" name="IC_Flag"/>
    <tableColumn id="10" name="NormeRef"/>
    <tableColumn id="11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D_ECRITURES" displayName="TCD_ECRITURES" ref="B42:X74" headerRowCount="1" totalsRowShown="0" headerRowDxfId="55">
  <autoFilter ref="B42:X74"/>
  <tableColumns count="23">
    <tableColumn id="1" name="Année"/>
    <tableColumn id="2" name="Scénario"/>
    <tableColumn id="3" name="Entité"/>
    <tableColumn id="4" name="Devise"/>
    <tableColumn id="5" name="Taux IAS21"/>
    <tableColumn id="6" name="Poste IFRS 18"/>
    <tableColumn id="7" name="Catégorie §65"/>
    <tableColumn id="8" name="Compte GL"/>
    <tableColumn id="9" name="Libellé compte"/>
    <tableColumn id="10" name="Montant Orig." dataDxfId="54"/>
    <tableColumn id="11" name="Montant EUR" dataDxfId="53"/>
    <tableColumn id="12" name="Élim. IC"/>
    <tableColumn id="13" name="Mont. Consolid." dataDxfId="52"/>
    <tableColumn id="14" name="Réf.Écriture"/>
    <tableColumn id="15" name="Date"/>
    <tableColumn id="16" name="Note IFRS"/>
    <tableColumn id="17" name="Scope CO₂"/>
    <tableColumn id="18" name="tCO₂eq"/>
    <tableColumn id="19" name="ESRS"/>
    <tableColumn id="20" name="Bull"/>
    <tableColumn id="21" name="Bear"/>
    <tableColumn id="22" name="Auditeur"/>
    <tableColumn id="23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Relationship Type="http://schemas.openxmlformats.org/officeDocument/2006/relationships/pivotTable" Target="/xl/pivotTables/pivotTable1.xml" Id="rId3"/></Relationships>
</file>

<file path=xl/worksheets/sheet1.xml><?xml version="1.0" encoding="utf-8"?>
<worksheet xmlns="http://schemas.openxmlformats.org/spreadsheetml/2006/main">
  <sheetPr>
    <tabColor rgb="FF2C3E50"/>
    <outlinePr summaryBelow="1" summaryRight="1"/>
    <pageSetUpPr/>
  </sheetPr>
  <dimension ref="A1:P73"/>
  <sheetViews>
    <sheetView showGridLines="0" topLeftCell="A41" workbookViewId="0">
      <selection activeCell="E58" sqref="E58"/>
    </sheetView>
  </sheetViews>
  <sheetFormatPr baseColWidth="10" defaultRowHeight="15"/>
  <cols>
    <col width="73" customWidth="1" style="500" min="1" max="1"/>
    <col width="24.28515625" bestFit="1" customWidth="1" style="500" min="2" max="2"/>
    <col width="19" customWidth="1" style="500" min="3" max="3"/>
    <col width="53.28515625" customWidth="1" style="500" min="4" max="4"/>
    <col width="15.28515625" customWidth="1" style="500" min="5" max="5"/>
    <col width="57" bestFit="1" customWidth="1" style="500" min="6" max="6"/>
    <col width="23" bestFit="1" customWidth="1" style="500" min="7" max="7"/>
    <col width="24.7109375" bestFit="1" customWidth="1" style="500" min="8" max="8"/>
    <col width="3.85546875" customWidth="1" style="500" min="9" max="9"/>
  </cols>
  <sheetData>
    <row r="1">
      <c r="A1" s="902" t="inlineStr">
        <is>
          <t>📑  SOMMAIRE COMPLET – TOUS LES ONGLETS (37 + 1 onglet)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 s="500">
      <c r="B2" s="486" t="inlineStr">
        <is>
          <t>GROUPE MULTINATIONAL – CONSOLIDATION IFRS 18 | ESG / CSRD  ·  Exercice 2025–2026</t>
        </is>
      </c>
      <c r="P2" s="1" t="n"/>
    </row>
    <row r="3" ht="30" customHeight="1" s="500">
      <c r="P3" s="1" t="n"/>
    </row>
    <row r="4" ht="30" customHeight="1" s="500">
      <c r="P4" s="1" t="n"/>
    </row>
    <row r="5">
      <c r="B5" s="487" t="inlineStr">
        <is>
          <t>Outil automatisé de consolidation · 5 entités · Société Mère FR + 4 Filiales Internationales</t>
        </is>
      </c>
      <c r="P5" s="1" t="n"/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B7" s="488" t="inlineStr">
        <is>
          <t>LÉGENDE DES ONGLETS</t>
        </is>
      </c>
      <c r="P7" s="1" t="n"/>
    </row>
    <row r="8">
      <c r="B8" s="2" t="inlineStr">
        <is>
          <t>🟢  VERT CLAIR</t>
        </is>
      </c>
      <c r="C8" s="1" t="n"/>
      <c r="D8" s="1" t="n"/>
      <c r="E8" s="3" t="inlineStr">
        <is>
          <t>🔵  BLEU</t>
        </is>
      </c>
      <c r="F8" s="1" t="n"/>
      <c r="G8" s="1" t="n"/>
      <c r="H8" s="4" t="inlineStr">
        <is>
          <t>🟠  ORANGE</t>
        </is>
      </c>
      <c r="I8" s="1" t="n"/>
      <c r="J8" s="1" t="n"/>
      <c r="K8" s="5" t="inlineStr">
        <is>
          <t>⬛  ANTHRACITE</t>
        </is>
      </c>
      <c r="L8" s="1" t="n"/>
      <c r="M8" s="1" t="n"/>
      <c r="N8" s="1" t="n"/>
      <c r="O8" s="1" t="n"/>
      <c r="P8" s="1" t="n"/>
    </row>
    <row r="9">
      <c r="B9" s="6" t="inlineStr">
        <is>
          <t>Données sources (saisie / import)</t>
        </is>
      </c>
      <c r="C9" s="1" t="n"/>
      <c r="D9" s="1" t="n"/>
      <c r="E9" s="6" t="inlineStr">
        <is>
          <t>Calculs, consolidation &amp; IFRS 18</t>
        </is>
      </c>
      <c r="F9" s="1" t="n"/>
      <c r="G9" s="1" t="n"/>
      <c r="H9" s="6" t="inlineStr">
        <is>
          <t>Dashboards &amp; reporting</t>
        </is>
      </c>
      <c r="I9" s="1" t="n"/>
      <c r="J9" s="1" t="n"/>
      <c r="K9" s="6" t="inlineStr">
        <is>
          <t>Navigation &amp; documentation</t>
        </is>
      </c>
      <c r="L9" s="1" t="n"/>
      <c r="M9" s="1" t="n"/>
      <c r="N9" s="1" t="n"/>
      <c r="O9" s="1" t="n"/>
      <c r="P9" s="1" t="n"/>
    </row>
    <row r="10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17.25" customHeight="1" s="500">
      <c r="B11" s="489" t="inlineStr">
        <is>
          <t>PLAN DU CLASSEUR – INDEX DES ONGLETS</t>
        </is>
      </c>
      <c r="P11" s="1" t="n"/>
    </row>
    <row r="12" ht="21.95" customHeight="1" s="500">
      <c r="B12" s="7" t="inlineStr">
        <is>
          <t>#</t>
        </is>
      </c>
      <c r="C12" s="7" t="inlineStr">
        <is>
          <t>Onglet</t>
        </is>
      </c>
      <c r="D12" s="7" t="inlineStr">
        <is>
          <t>Bloc</t>
        </is>
      </c>
      <c r="E12" s="7" t="inlineStr">
        <is>
          <t>Couleur</t>
        </is>
      </c>
      <c r="F12" s="7" t="inlineStr">
        <is>
          <t>Description</t>
        </is>
      </c>
      <c r="G12" s="7" t="inlineStr">
        <is>
          <t>Rôle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B13" s="8" t="n">
        <v>1</v>
      </c>
      <c r="C13" s="8" t="inlineStr">
        <is>
          <t>HOME</t>
        </is>
      </c>
      <c r="D13" s="8" t="inlineStr">
        <is>
          <t>Navigation</t>
        </is>
      </c>
      <c r="E13" s="8" t="inlineStr">
        <is>
          <t>Anthracite</t>
        </is>
      </c>
      <c r="F13" s="8" t="inlineStr">
        <is>
          <t>Page d'accueil et index de navigation</t>
        </is>
      </c>
      <c r="G13" s="8" t="inlineStr">
        <is>
          <t>Dashboard de lancement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B14" s="8" t="n">
        <v>2</v>
      </c>
      <c r="C14" s="8" t="inlineStr">
        <is>
          <t>GUIDE</t>
        </is>
      </c>
      <c r="D14" s="8" t="inlineStr">
        <is>
          <t>Navigation</t>
        </is>
      </c>
      <c r="E14" s="8" t="inlineStr">
        <is>
          <t>Anthracite</t>
        </is>
      </c>
      <c r="F14" s="8" t="inlineStr">
        <is>
          <t>Manuel utilisateur, légende, conventions IFRS 18</t>
        </is>
      </c>
      <c r="G14" s="8" t="inlineStr">
        <is>
          <t>Documentation pédagogique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B15" s="9" t="n">
        <v>3</v>
      </c>
      <c r="C15" s="9" t="inlineStr">
        <is>
          <t>FR_ParentCo</t>
        </is>
      </c>
      <c r="D15" s="9" t="inlineStr">
        <is>
          <t>Sources 🟢</t>
        </is>
      </c>
      <c r="E15" s="9" t="inlineStr">
        <is>
          <t>Vert</t>
        </is>
      </c>
      <c r="F15" s="9" t="inlineStr">
        <is>
          <t>Liasses comptables – Société Mère France (EUR)</t>
        </is>
      </c>
      <c r="G15" s="9" t="inlineStr">
        <is>
          <t>Saisie / import balances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26.1" customHeight="1" s="500">
      <c r="B16" s="9" t="n">
        <v>4</v>
      </c>
      <c r="C16" s="9" t="inlineStr">
        <is>
          <t>DE_Filiale</t>
        </is>
      </c>
      <c r="D16" s="9" t="inlineStr">
        <is>
          <t>Sources 🟢</t>
        </is>
      </c>
      <c r="E16" s="9" t="inlineStr">
        <is>
          <t>Vert</t>
        </is>
      </c>
      <c r="F16" s="9" t="inlineStr">
        <is>
          <t>Liasses comptables – Filiale Allemagne (EUR)</t>
        </is>
      </c>
      <c r="G16" s="9" t="inlineStr">
        <is>
          <t>Saisie / import balances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309" t="inlineStr">
        <is>
          <t>N°</t>
        </is>
      </c>
      <c r="B17" s="321" t="inlineStr">
        <is>
          <t>Onglet</t>
        </is>
      </c>
      <c r="C17" s="321" t="inlineStr">
        <is>
          <t>Catégorie</t>
        </is>
      </c>
      <c r="D17" s="321" t="inlineStr">
        <is>
          <t>Description</t>
        </is>
      </c>
      <c r="E17" s="321" t="inlineStr">
        <is>
          <t>Statut</t>
        </is>
      </c>
      <c r="F17" s="9" t="inlineStr">
        <is>
          <t>Liasses comptables – Filiale Royaume-Uni (GBP)</t>
        </is>
      </c>
      <c r="G17" s="9" t="inlineStr">
        <is>
          <t>Saisie / import balances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365" t="n">
        <v>1</v>
      </c>
      <c r="B18" s="366" t="inlineStr">
        <is>
          <t>HOME</t>
        </is>
      </c>
      <c r="C18" s="366" t="inlineStr">
        <is>
          <t>Navigation</t>
        </is>
      </c>
      <c r="D18" s="366" t="inlineStr">
        <is>
          <t>Accueil, légende, sommaire – point d'entrée du simulateur</t>
        </is>
      </c>
      <c r="E18" s="366" t="inlineStr">
        <is>
          <t>✅ Complet</t>
        </is>
      </c>
      <c r="F18" s="9" t="inlineStr">
        <is>
          <t>Liasses comptables – Filiale États-Unis (USD)</t>
        </is>
      </c>
      <c r="G18" s="9" t="inlineStr">
        <is>
          <t>Saisie / import balances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63" t="n">
        <v>2</v>
      </c>
      <c r="B19" s="367" t="inlineStr">
        <is>
          <t>GUIDE</t>
        </is>
      </c>
      <c r="C19" s="367" t="inlineStr">
        <is>
          <t>Documentation</t>
        </is>
      </c>
      <c r="D19" s="367" t="inlineStr">
        <is>
          <t>Guide utilisateur: couleurs, IFRS 18, ESG/CSRD, workflow</t>
        </is>
      </c>
      <c r="E19" s="367" t="inlineStr">
        <is>
          <t>✅ Complet</t>
        </is>
      </c>
      <c r="F19" s="9" t="inlineStr">
        <is>
          <t>Liasses comptables – Filiale Singapour (SGD)</t>
        </is>
      </c>
      <c r="G19" s="9" t="inlineStr">
        <is>
          <t>Saisie / import balances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349" t="n">
        <v>3</v>
      </c>
      <c r="B20" s="368" t="inlineStr">
        <is>
          <t>Méthodologie &amp; Pédagogie</t>
        </is>
      </c>
      <c r="C20" s="368" t="inlineStr">
        <is>
          <t>Documentation</t>
        </is>
      </c>
      <c r="D20" s="368" t="inlineStr">
        <is>
          <t>§1-§10: IFRS 18, IAS 21, IFRS 3, Éliminations, PQ, Glossaire 60 termes, Audit Trail</t>
        </is>
      </c>
      <c r="E20" s="369" t="inlineStr">
        <is>
          <t>✅ NOUVEAU</t>
        </is>
      </c>
      <c r="F20" s="10" t="inlineStr">
        <is>
          <t>Écritures d'élimination intercompagnies &amp; capital</t>
        </is>
      </c>
      <c r="G20" s="10" t="inlineStr">
        <is>
          <t>Neutralisation flux internes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63" t="n">
        <v>4</v>
      </c>
      <c r="B21" s="367" t="inlineStr">
        <is>
          <t>FR_ParentCo</t>
        </is>
      </c>
      <c r="C21" s="367" t="inlineStr">
        <is>
          <t>Données sources</t>
        </is>
      </c>
      <c r="D21" s="367" t="inlineStr">
        <is>
          <t>Bilan + CR Société Mère France (devise EUR)</t>
        </is>
      </c>
      <c r="E21" s="367" t="inlineStr">
        <is>
          <t>✅ Complet</t>
        </is>
      </c>
      <c r="F21" s="10" t="inlineStr">
        <is>
          <t>Bilan consolidé agrégé + éliminations (IFRS)</t>
        </is>
      </c>
      <c r="G21" s="10" t="inlineStr">
        <is>
          <t>État financier consolidé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365" t="n">
        <v>5</v>
      </c>
      <c r="B22" s="366" t="inlineStr">
        <is>
          <t>DE_Filiale</t>
        </is>
      </c>
      <c r="C22" s="366" t="inlineStr">
        <is>
          <t>Données sources</t>
        </is>
      </c>
      <c r="D22" s="366" t="inlineStr">
        <is>
          <t>Bilan + CR Filiale Allemagne (devise EUR)</t>
        </is>
      </c>
      <c r="E22" s="366" t="inlineStr">
        <is>
          <t>✅ Complet</t>
        </is>
      </c>
      <c r="F22" s="10" t="inlineStr">
        <is>
          <t>Compte de résultat consolidé IFRS 18 (nouvelles catégories)</t>
        </is>
      </c>
      <c r="G22" s="10" t="inlineStr">
        <is>
          <t>P&amp;L consolidé IFRS 18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63" t="n">
        <v>6</v>
      </c>
      <c r="B23" s="367" t="inlineStr">
        <is>
          <t>UK_Filiale</t>
        </is>
      </c>
      <c r="C23" s="367" t="inlineStr">
        <is>
          <t>Données sources</t>
        </is>
      </c>
      <c r="D23" s="367" t="inlineStr">
        <is>
          <t>Bilan + CR Filiale Royaume-Uni (devise GBP)</t>
        </is>
      </c>
      <c r="E23" s="367" t="inlineStr">
        <is>
          <t>✅ Complet</t>
        </is>
      </c>
      <c r="F23" s="10" t="inlineStr">
        <is>
          <t>Tableau des flux de trésorerie consolidé (méthode indirecte)</t>
        </is>
      </c>
      <c r="G23" s="10" t="inlineStr">
        <is>
          <t>Cash flow statement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365" t="n">
        <v>7</v>
      </c>
      <c r="B24" s="366" t="inlineStr">
        <is>
          <t>US_Filiale</t>
        </is>
      </c>
      <c r="C24" s="366" t="inlineStr">
        <is>
          <t>Données sources</t>
        </is>
      </c>
      <c r="D24" s="366" t="inlineStr">
        <is>
          <t>Bilan + CR Filiale États-Unis (devise USD)</t>
        </is>
      </c>
      <c r="E24" s="366" t="inlineStr">
        <is>
          <t>✅ Complet</t>
        </is>
      </c>
      <c r="F24" s="10" t="inlineStr">
        <is>
          <t>Mapping des postes IFRS 18 : Opérationnel / Investissement / Financement</t>
        </is>
      </c>
      <c r="G24" s="10" t="inlineStr">
        <is>
          <t>Reclassement IFRS 18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63" t="n">
        <v>8</v>
      </c>
      <c r="B25" s="367" t="inlineStr">
        <is>
          <t>SG_Filiale</t>
        </is>
      </c>
      <c r="C25" s="367" t="inlineStr">
        <is>
          <t>Données sources</t>
        </is>
      </c>
      <c r="D25" s="367" t="inlineStr">
        <is>
          <t>Bilan + CR Filiale Singapour (devise SGD)</t>
        </is>
      </c>
      <c r="E25" s="367" t="inlineStr">
        <is>
          <t>✅ Complet</t>
        </is>
      </c>
      <c r="F25" s="10" t="inlineStr">
        <is>
          <t>Notes annexes : Regroupements, GW, conversion, impôts différés</t>
        </is>
      </c>
      <c r="G25" s="10" t="inlineStr">
        <is>
          <t>Annexes IFRS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365" t="n">
        <v>9</v>
      </c>
      <c r="B26" s="366" t="inlineStr">
        <is>
          <t>ELIM</t>
        </is>
      </c>
      <c r="C26" s="366" t="inlineStr">
        <is>
          <t>Consolidation</t>
        </is>
      </c>
      <c r="D26" s="366" t="inlineStr">
        <is>
          <t>Éliminations IC (7 écritures) + IFRS 3 Goodwill/NCI</t>
        </is>
      </c>
      <c r="E26" s="366" t="inlineStr">
        <is>
          <t>✅ Complet</t>
        </is>
      </c>
      <c r="F26" s="9" t="inlineStr">
        <is>
          <t>Données ESG brutes : E (CO₂, énergie), S (emploi, parité), G (gouvernance)</t>
        </is>
      </c>
      <c r="G26" s="9" t="inlineStr">
        <is>
          <t>Collecte KPIs ESG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63" t="n">
        <v>10</v>
      </c>
      <c r="B27" s="367" t="inlineStr">
        <is>
          <t>CONSOL_BILAN</t>
        </is>
      </c>
      <c r="C27" s="367" t="inlineStr">
        <is>
          <t>Consolidation</t>
        </is>
      </c>
      <c r="D27" s="367" t="inlineStr">
        <is>
          <t>Bilan consolidé groupe – toutes entités converties en EUR</t>
        </is>
      </c>
      <c r="E27" s="367" t="inlineStr">
        <is>
          <t>✅ Complet</t>
        </is>
      </c>
      <c r="F27" s="9" t="inlineStr">
        <is>
          <t>Rapport CSRD structuré : E1-E5, S1-S4, G1-G2 (ESRS)</t>
        </is>
      </c>
      <c r="G27" s="9" t="inlineStr">
        <is>
          <t>Conformité CSRD/ESRS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365" t="n">
        <v>11</v>
      </c>
      <c r="B28" s="366" t="inlineStr">
        <is>
          <t>CONSOL_CR</t>
        </is>
      </c>
      <c r="C28" s="366" t="inlineStr">
        <is>
          <t>Consolidation</t>
        </is>
      </c>
      <c r="D28" s="366" t="inlineStr">
        <is>
          <t>Compte de résultat consolidé – 5 catégories IFRS 18</t>
        </is>
      </c>
      <c r="E28" s="366" t="inlineStr">
        <is>
          <t>✅ Complet</t>
        </is>
      </c>
      <c r="F28" s="11" t="inlineStr">
        <is>
          <t>Dashboard financier interactif : KPIs, graphiques, comparaisons</t>
        </is>
      </c>
      <c r="G28" s="11" t="inlineStr">
        <is>
          <t>Analyse &amp; décision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63" t="n">
        <v>12</v>
      </c>
      <c r="B29" s="367" t="inlineStr">
        <is>
          <t>CONSOL_TRESORERIE</t>
        </is>
      </c>
      <c r="C29" s="367" t="inlineStr">
        <is>
          <t>Consolidation</t>
        </is>
      </c>
      <c r="D29" s="367" t="inlineStr">
        <is>
          <t>Tableau de flux de trésorerie consolidé (IAS 7)</t>
        </is>
      </c>
      <c r="E29" s="367" t="inlineStr">
        <is>
          <t>✅ Complet</t>
        </is>
      </c>
      <c r="F29" s="11" t="inlineStr">
        <is>
          <t>Dashboard ESG interactif : scores, tendances, benchmarks</t>
        </is>
      </c>
      <c r="G29" s="11" t="inlineStr">
        <is>
          <t>Pilotage ESG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365" t="n">
        <v>13</v>
      </c>
      <c r="B30" s="364" t="inlineStr">
        <is>
          <t>IFRS18_MAPPING</t>
        </is>
      </c>
      <c r="C30" s="364" t="inlineStr">
        <is>
          <t>IFRS 18</t>
        </is>
      </c>
      <c r="D30" s="364" t="inlineStr">
        <is>
          <t>Mapping 5 catégories IFRS 18 pour tous les postes P&amp;L</t>
        </is>
      </c>
      <c r="E30" s="364" t="inlineStr">
        <is>
          <t>✅ Complet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7.25" customHeight="1" s="500">
      <c r="A31" s="63" t="n">
        <v>14</v>
      </c>
      <c r="B31" s="490" t="inlineStr">
        <is>
          <t>NOTES_IFRS</t>
        </is>
      </c>
      <c r="P31" s="1" t="n"/>
    </row>
    <row r="32" ht="21.95" customHeight="1" s="500">
      <c r="A32" s="365" t="n">
        <v>15</v>
      </c>
      <c r="B32" s="370" t="inlineStr">
        <is>
          <t>ESG_DATA</t>
        </is>
      </c>
      <c r="C32" s="370" t="inlineStr">
        <is>
          <t>ESG/CSRD</t>
        </is>
      </c>
      <c r="D32" s="370" t="inlineStr">
        <is>
          <t>Données ESG brutes – KPIs E/S/G par entité et période</t>
        </is>
      </c>
      <c r="E32" s="370" t="inlineStr">
        <is>
          <t>✅ Complet</t>
        </is>
      </c>
      <c r="F32" s="7" t="inlineStr">
        <is>
          <t>Méthode</t>
        </is>
      </c>
      <c r="G32" s="7" t="inlineStr">
        <is>
          <t>Taux de clôture</t>
        </is>
      </c>
      <c r="H32" s="7" t="inlineStr">
        <is>
          <t>Taux moyen</t>
        </is>
      </c>
      <c r="I32" s="7" t="inlineStr">
        <is>
          <t>Secteur</t>
        </is>
      </c>
      <c r="J32" s="1" t="n"/>
      <c r="K32" s="1" t="n"/>
      <c r="L32" s="1" t="n"/>
      <c r="M32" s="1" t="n"/>
      <c r="N32" s="1" t="n"/>
      <c r="O32" s="1" t="n"/>
      <c r="P32" s="1" t="n"/>
    </row>
    <row r="33">
      <c r="A33" s="63" t="n">
        <v>16</v>
      </c>
      <c r="B33" s="367" t="inlineStr">
        <is>
          <t>CSRD_RAPPORT</t>
        </is>
      </c>
      <c r="C33" s="367" t="inlineStr">
        <is>
          <t>ESG/CSRD</t>
        </is>
      </c>
      <c r="D33" s="367" t="inlineStr">
        <is>
          <t>Rapport de durabilité CSRD – ESRS E1/S1/G1</t>
        </is>
      </c>
      <c r="E33" s="371" t="inlineStr">
        <is>
          <t>✅ Complet</t>
        </is>
      </c>
      <c r="F33" s="10" t="inlineStr">
        <is>
          <t>Mère / Intégration Globale</t>
        </is>
      </c>
      <c r="G33" s="10" t="n">
        <v>1</v>
      </c>
      <c r="H33" s="10" t="n">
        <v>1</v>
      </c>
      <c r="I33" s="10" t="inlineStr">
        <is>
          <t>Holding / Services</t>
        </is>
      </c>
      <c r="J33" s="1" t="n"/>
      <c r="K33" s="1" t="n"/>
      <c r="L33" s="1" t="n"/>
      <c r="M33" s="1" t="n"/>
      <c r="N33" s="1" t="n"/>
      <c r="O33" s="1" t="n"/>
      <c r="P33" s="1" t="n"/>
    </row>
    <row r="34">
      <c r="A34" s="365" t="n">
        <v>17</v>
      </c>
      <c r="B34" s="366" t="inlineStr">
        <is>
          <t>DASHBOARD_FIN</t>
        </is>
      </c>
      <c r="C34" s="366" t="inlineStr">
        <is>
          <t>Dashboards</t>
        </is>
      </c>
      <c r="D34" s="366" t="inlineStr">
        <is>
          <t>Dashboard financier – KPIs, EBITDA, marges, levier</t>
        </is>
      </c>
      <c r="E34" s="372" t="inlineStr">
        <is>
          <t>✅ Complet</t>
        </is>
      </c>
      <c r="F34" s="12" t="inlineStr">
        <is>
          <t>Intégration Globale</t>
        </is>
      </c>
      <c r="G34" s="12" t="n">
        <v>1</v>
      </c>
      <c r="H34" s="12" t="n">
        <v>1</v>
      </c>
      <c r="I34" s="12" t="inlineStr">
        <is>
          <t>Industrie manufacturière</t>
        </is>
      </c>
      <c r="J34" s="1" t="n"/>
      <c r="K34" s="1" t="n"/>
      <c r="L34" s="1" t="n"/>
      <c r="M34" s="1" t="n"/>
      <c r="N34" s="1" t="n"/>
      <c r="O34" s="1" t="n"/>
      <c r="P34" s="1" t="n"/>
    </row>
    <row r="35">
      <c r="A35" s="63" t="n">
        <v>18</v>
      </c>
      <c r="B35" s="367" t="inlineStr">
        <is>
          <t>DASHBOARD_ESG</t>
        </is>
      </c>
      <c r="C35" s="367" t="inlineStr">
        <is>
          <t>Dashboards</t>
        </is>
      </c>
      <c r="D35" s="367" t="inlineStr">
        <is>
          <t>Dashboard ESG – CO2, parité, accidents, gouvernance</t>
        </is>
      </c>
      <c r="E35" s="371" t="inlineStr">
        <is>
          <t>✅ Complet</t>
        </is>
      </c>
      <c r="F35" s="10" t="inlineStr">
        <is>
          <t>Intégration Globale</t>
        </is>
      </c>
      <c r="G35" s="10" t="n">
        <v>1.165</v>
      </c>
      <c r="H35" s="10" t="n">
        <v>1.152</v>
      </c>
      <c r="I35" s="10" t="inlineStr">
        <is>
          <t>Technologies &amp; Digital</t>
        </is>
      </c>
      <c r="J35" s="1" t="n"/>
      <c r="K35" s="1" t="n"/>
      <c r="L35" s="1" t="n"/>
      <c r="M35" s="1" t="n"/>
      <c r="N35" s="1" t="n"/>
      <c r="O35" s="1" t="n"/>
      <c r="P35" s="1" t="n"/>
    </row>
    <row r="36">
      <c r="A36" s="365" t="n">
        <v>19</v>
      </c>
      <c r="B36" s="366" t="inlineStr">
        <is>
          <t>DASHBOARD</t>
        </is>
      </c>
      <c r="C36" s="366" t="inlineStr">
        <is>
          <t>Dashboards</t>
        </is>
      </c>
      <c r="D36" s="366" t="inlineStr">
        <is>
          <t>Dashboard maître – synthèse Groupe toutes métriques</t>
        </is>
      </c>
      <c r="E36" s="372" t="inlineStr">
        <is>
          <t>✅ Complet</t>
        </is>
      </c>
      <c r="F36" s="12" t="inlineStr">
        <is>
          <t>Intégration Globale</t>
        </is>
      </c>
      <c r="G36" s="12" t="n">
        <v>0.918</v>
      </c>
      <c r="H36" s="12" t="n">
        <v>0.925</v>
      </c>
      <c r="I36" s="12" t="inlineStr">
        <is>
          <t>Distribution &amp; Retail</t>
        </is>
      </c>
      <c r="J36" s="1" t="n"/>
      <c r="K36" s="1" t="n"/>
      <c r="L36" s="1" t="n"/>
      <c r="M36" s="1" t="n"/>
      <c r="N36" s="1" t="n"/>
      <c r="O36" s="1" t="n"/>
      <c r="P36" s="1" t="n"/>
    </row>
    <row r="37">
      <c r="A37" s="63" t="n">
        <v>20</v>
      </c>
      <c r="B37" s="367" t="inlineStr">
        <is>
          <t>SRC_FR</t>
        </is>
      </c>
      <c r="C37" s="367" t="inlineStr">
        <is>
          <t>Sources PQ</t>
        </is>
      </c>
      <c r="D37" s="367" t="inlineStr">
        <is>
          <t>Source balances comptables FR – import Power Query</t>
        </is>
      </c>
      <c r="E37" s="371" t="inlineStr">
        <is>
          <t>✅ Complet</t>
        </is>
      </c>
      <c r="F37" s="10" t="inlineStr">
        <is>
          <t>Intégration Globale</t>
        </is>
      </c>
      <c r="G37" s="10" t="n">
        <v>0.678</v>
      </c>
      <c r="H37" s="10" t="n">
        <v>0.6820000000000001</v>
      </c>
      <c r="I37" s="10" t="inlineStr">
        <is>
          <t>Finance &amp; Investissement</t>
        </is>
      </c>
      <c r="J37" s="1" t="n"/>
      <c r="K37" s="1" t="n"/>
      <c r="L37" s="1" t="n"/>
      <c r="M37" s="1" t="n"/>
      <c r="N37" s="1" t="n"/>
      <c r="O37" s="1" t="n"/>
      <c r="P37" s="1" t="n"/>
    </row>
    <row r="38">
      <c r="A38" s="365" t="n">
        <v>21</v>
      </c>
      <c r="B38" s="364" t="inlineStr">
        <is>
          <t>SRC_DE</t>
        </is>
      </c>
      <c r="C38" s="364" t="inlineStr">
        <is>
          <t>Sources PQ</t>
        </is>
      </c>
      <c r="D38" s="364" t="inlineStr">
        <is>
          <t>Source balances comptables DE – import Power Query</t>
        </is>
      </c>
      <c r="E38" s="364" t="inlineStr">
        <is>
          <t>✅ Complet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63" t="n">
        <v>22</v>
      </c>
      <c r="B39" s="540" t="inlineStr">
        <is>
          <t>SRC_UK</t>
        </is>
      </c>
      <c r="C39" s="540" t="inlineStr">
        <is>
          <t>Sources PQ</t>
        </is>
      </c>
      <c r="D39" s="540" t="inlineStr">
        <is>
          <t>Source balances comptables UK – import Power Query</t>
        </is>
      </c>
      <c r="E39" s="540" t="inlineStr">
        <is>
          <t>✅ Complet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365" t="n">
        <v>23</v>
      </c>
      <c r="B40" s="491" t="inlineStr">
        <is>
          <t>SRC_US</t>
        </is>
      </c>
      <c r="P40" s="1" t="n"/>
    </row>
    <row r="41">
      <c r="A41" s="63" t="n">
        <v>24</v>
      </c>
      <c r="B41" s="540" t="inlineStr">
        <is>
          <t>SRC_SG</t>
        </is>
      </c>
      <c r="C41" s="540" t="inlineStr">
        <is>
          <t>Sources PQ</t>
        </is>
      </c>
      <c r="D41" s="540" t="inlineStr">
        <is>
          <t>Source balances comptables SG – import Power Query</t>
        </is>
      </c>
      <c r="E41" s="540" t="inlineStr">
        <is>
          <t>✅ Complet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365" t="n">
        <v>25</v>
      </c>
      <c r="B42" s="364" t="inlineStr">
        <is>
          <t>PQ_MAPPING</t>
        </is>
      </c>
      <c r="C42" s="364" t="inlineStr">
        <is>
          <t>Power Query</t>
        </is>
      </c>
      <c r="D42" s="364" t="inlineStr">
        <is>
          <t>Mapping plans de comptes locaux → référentiel Groupe</t>
        </is>
      </c>
      <c r="E42" s="364" t="inlineStr">
        <is>
          <t>✅ Complet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5.75" customHeight="1" s="500">
      <c r="A43" s="63" t="n">
        <v>26</v>
      </c>
      <c r="B43" s="493" t="inlineStr">
        <is>
          <t>PQ_CODE</t>
        </is>
      </c>
      <c r="P43" s="1" t="n"/>
    </row>
    <row r="44">
      <c r="A44" s="365" t="n">
        <v>27</v>
      </c>
      <c r="B44" s="483" t="inlineStr">
        <is>
          <t>BALANCES_PQ</t>
        </is>
      </c>
      <c r="P44" s="1" t="n"/>
    </row>
    <row r="45">
      <c r="A45" s="63" t="n">
        <v>28</v>
      </c>
      <c r="B45" s="540" t="inlineStr">
        <is>
          <t>PQ_TAUX_CHANGE</t>
        </is>
      </c>
      <c r="C45" s="540" t="inlineStr">
        <is>
          <t>Power Query</t>
        </is>
      </c>
      <c r="D45" s="540" t="inlineStr">
        <is>
          <t>Table des taux de change IAS 21 – clôture/moyen/histo</t>
        </is>
      </c>
      <c r="E45" s="540" t="inlineStr">
        <is>
          <t>✅ Complet</t>
        </is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365" t="n">
        <v>29</v>
      </c>
      <c r="B46" s="495" t="inlineStr">
        <is>
          <t>PQ_DETENTION</t>
        </is>
      </c>
      <c r="P46" s="1" t="n"/>
    </row>
    <row r="47">
      <c r="A47" s="63" t="n">
        <v>30</v>
      </c>
      <c r="B47" s="540" t="inlineStr">
        <is>
          <t>PQ_ELIMINATIONS</t>
        </is>
      </c>
      <c r="C47" s="540" t="inlineStr">
        <is>
          <t>Power Query</t>
        </is>
      </c>
      <c r="D47" s="540" t="inlineStr">
        <is>
          <t>Calcul automatique éliminations IC via PQ</t>
        </is>
      </c>
      <c r="E47" s="540" t="inlineStr">
        <is>
          <t>✅ Complet</t>
        </is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365" t="n">
        <v>31</v>
      </c>
      <c r="B48" s="495" t="inlineStr">
        <is>
          <t>PQ_DAX_MESURES</t>
        </is>
      </c>
      <c r="P48" s="1" t="n"/>
    </row>
    <row r="49">
      <c r="A49" s="63" t="n">
        <v>32</v>
      </c>
      <c r="B49" s="481" t="inlineStr">
        <is>
          <t>PQ_M_AVANCE</t>
        </is>
      </c>
      <c r="P49" s="1" t="n"/>
    </row>
    <row r="50">
      <c r="A50" s="365" t="n">
        <v>33</v>
      </c>
      <c r="B50" s="483" t="inlineStr">
        <is>
          <t>FORMULES_LIAISON</t>
        </is>
      </c>
      <c r="P50" s="1" t="n"/>
    </row>
    <row r="51">
      <c r="A51" s="63" t="n">
        <v>34</v>
      </c>
      <c r="B51" s="481" t="inlineStr">
        <is>
          <t>ESG_CARBONE</t>
        </is>
      </c>
    </row>
    <row r="52">
      <c r="A52" s="365" t="n">
        <v>35</v>
      </c>
      <c r="B52" s="483" t="inlineStr">
        <is>
          <t>ESG_DIVERSITE</t>
        </is>
      </c>
    </row>
    <row r="53">
      <c r="A53" s="63" t="n">
        <v>36</v>
      </c>
      <c r="B53" s="481" t="inlineStr">
        <is>
          <t>ESG_MAPPING</t>
        </is>
      </c>
    </row>
    <row r="54">
      <c r="A54" s="365" t="n">
        <v>37</v>
      </c>
      <c r="B54" s="483" t="inlineStr">
        <is>
          <t>ESG_DAX</t>
        </is>
      </c>
    </row>
    <row r="55">
      <c r="A55" s="63" t="n">
        <v>38</v>
      </c>
      <c r="B55" s="540" t="inlineStr">
        <is>
          <t>ESG_DASHBOARD_LINK</t>
        </is>
      </c>
      <c r="C55" s="540" t="inlineStr">
        <is>
          <t>ESG/CSRD</t>
        </is>
      </c>
      <c r="D55" s="540" t="inlineStr">
        <is>
          <t>Liaisons données ESG → Dashboard ESG</t>
        </is>
      </c>
      <c r="E55" s="540" t="inlineStr">
        <is>
          <t>✅ Complet</t>
        </is>
      </c>
    </row>
    <row r="56" ht="30" customHeight="1" s="500">
      <c r="A56" s="415" t="inlineStr">
        <is>
          <t>🆕 NOUVEAU : Onglet GUIDE_DÉMARRAGE ajouté – Guide complet pour débutant (10 étapes) + KPIs + FAQ + Quick Ref</t>
        </is>
      </c>
      <c r="B56" s="484" t="inlineStr">
        <is>
          <t>🔗 MODÈLE DE DONNÉES POWER PIVOT – RELATIONS ENTRE TABLES</t>
        </is>
      </c>
    </row>
    <row r="57">
      <c r="B57" s="116" t="inlineStr">
        <is>
          <t>Table Fait</t>
        </is>
      </c>
      <c r="C57" s="116" t="inlineStr">
        <is>
          <t>Champ Clé</t>
        </is>
      </c>
      <c r="D57" s="116" t="n"/>
      <c r="E57" s="116" t="inlineStr">
        <is>
          <t>Table Dimension</t>
        </is>
      </c>
      <c r="F57" s="116" t="inlineStr">
        <is>
          <t>Champ Clé</t>
        </is>
      </c>
      <c r="G57" s="116" t="inlineStr">
        <is>
          <t>Cardinalité</t>
        </is>
      </c>
      <c r="H57" s="116" t="inlineStr">
        <is>
          <t>Usage</t>
        </is>
      </c>
    </row>
    <row r="58">
      <c r="B58" s="126" t="inlineStr">
        <is>
          <t>Balances_PQ</t>
        </is>
      </c>
      <c r="C58" s="126" t="inlineStr">
        <is>
          <t>[EntitéNormalisée]</t>
        </is>
      </c>
      <c r="D58" s="126" t="inlineStr">
        <is>
          <t>→</t>
        </is>
      </c>
      <c r="E58" s="126" t="inlineStr">
        <is>
          <t>PQ_DETENTION</t>
        </is>
      </c>
      <c r="F58" s="126" t="inlineStr">
        <is>
          <t>[EntitéFiliale]</t>
        </is>
      </c>
      <c r="G58" s="126" t="inlineStr">
        <is>
          <t>Many-to-One</t>
        </is>
      </c>
      <c r="H58" s="126" t="inlineStr">
        <is>
          <t>Filtrer par entité, calculer NCI</t>
        </is>
      </c>
    </row>
    <row r="59">
      <c r="B59" s="127" t="inlineStr">
        <is>
          <t>Balances_PQ</t>
        </is>
      </c>
      <c r="C59" s="127" t="inlineStr">
        <is>
          <t>[Devise]</t>
        </is>
      </c>
      <c r="D59" s="127" t="inlineStr">
        <is>
          <t>→</t>
        </is>
      </c>
      <c r="E59" s="127" t="inlineStr">
        <is>
          <t>PQ_TAUX_CHANGE</t>
        </is>
      </c>
      <c r="F59" s="127" t="inlineStr">
        <is>
          <t>[Devise]</t>
        </is>
      </c>
      <c r="G59" s="127" t="inlineStr">
        <is>
          <t>Many-to-One</t>
        </is>
      </c>
      <c r="H59" s="127" t="inlineStr">
        <is>
          <t>Appliquer taux IAS 21</t>
        </is>
      </c>
    </row>
    <row r="60">
      <c r="B60" s="128" t="inlineStr">
        <is>
          <t>Balances_PQ</t>
        </is>
      </c>
      <c r="C60" s="128" t="inlineStr">
        <is>
          <t>[CodeCompte]</t>
        </is>
      </c>
      <c r="D60" s="128" t="inlineStr">
        <is>
          <t>→</t>
        </is>
      </c>
      <c r="E60" s="128" t="inlineStr">
        <is>
          <t>PQ_MAPPING</t>
        </is>
      </c>
      <c r="F60" s="128" t="inlineStr">
        <is>
          <t>[CodeSource]</t>
        </is>
      </c>
      <c r="G60" s="128" t="inlineStr">
        <is>
          <t>Many-to-One</t>
        </is>
      </c>
      <c r="H60" s="128" t="inlineStr">
        <is>
          <t>Reclasser IFRS 18</t>
        </is>
      </c>
    </row>
    <row r="61">
      <c r="B61" s="127" t="inlineStr">
        <is>
          <t>Balances_PQ</t>
        </is>
      </c>
      <c r="C61" s="127" t="inlineStr">
        <is>
          <t>[Mois]</t>
        </is>
      </c>
      <c r="D61" s="127" t="inlineStr">
        <is>
          <t>→</t>
        </is>
      </c>
      <c r="E61" s="127" t="inlineStr">
        <is>
          <t>Calendrier</t>
        </is>
      </c>
      <c r="F61" s="127" t="inlineStr">
        <is>
          <t>[Mois]</t>
        </is>
      </c>
      <c r="G61" s="127" t="inlineStr">
        <is>
          <t>Many-to-One</t>
        </is>
      </c>
      <c r="H61" s="127" t="inlineStr">
        <is>
          <t>Analyses temporelles YOY/YTD</t>
        </is>
      </c>
    </row>
    <row r="62">
      <c r="B62" s="126" t="inlineStr">
        <is>
          <t>PQ_ELIMINATIONS</t>
        </is>
      </c>
      <c r="C62" s="126" t="inlineStr">
        <is>
          <t>[Vendeur]</t>
        </is>
      </c>
      <c r="D62" s="126" t="inlineStr">
        <is>
          <t>→</t>
        </is>
      </c>
      <c r="E62" s="126" t="inlineStr">
        <is>
          <t>PQ_DETENTION</t>
        </is>
      </c>
      <c r="F62" s="126" t="inlineStr">
        <is>
          <t>[EntitéFiliale]</t>
        </is>
      </c>
      <c r="G62" s="126" t="inlineStr">
        <is>
          <t>Many-to-One</t>
        </is>
      </c>
      <c r="H62" s="126" t="inlineStr">
        <is>
          <t>Valider éliminations par périmètre</t>
        </is>
      </c>
    </row>
    <row r="65">
      <c r="B65" s="485" t="inlineStr">
        <is>
          <t>✅ CLASSEUR COMPLET – 25 ONGLETS · 3 ÉTAPES · Données fictives IFRS 18 / CSRD / IAS 21 / IFRS 10 · Prêt pour Power Query &amp; Power Pivot</t>
        </is>
      </c>
    </row>
    <row r="68">
      <c r="B68" s="480" t="inlineStr">
        <is>
          <t>MODULE ESG LÉGER (Phase 4) – 5 nouveaux onglets</t>
        </is>
      </c>
    </row>
    <row r="69">
      <c r="B69" s="98" t="inlineStr">
        <is>
          <t>ESG_CARBONE</t>
        </is>
      </c>
      <c r="C69" s="98" t="inlineStr">
        <is>
          <t>Bilan Carbone Scope 1/2/3</t>
        </is>
      </c>
      <c r="D69" s="98" t="inlineStr">
        <is>
          <t>ESRS E1</t>
        </is>
      </c>
      <c r="E69" s="98" t="inlineStr">
        <is>
          <t>Scope 1/2/3 pondérés · Facteurs émission 5 pays · Prix carbone · Impact EBIT</t>
        </is>
      </c>
      <c r="F69" s="98" t="inlineStr">
        <is>
          <t>Vert</t>
        </is>
      </c>
      <c r="G69" s="98" t="n"/>
    </row>
    <row r="70">
      <c r="B70" s="98" t="inlineStr">
        <is>
          <t>ESG_DIVERSITE</t>
        </is>
      </c>
      <c r="C70" s="98" t="inlineStr">
        <is>
          <t>Diversité et Gouvernance</t>
        </is>
      </c>
      <c r="D70" s="98" t="inlineStr">
        <is>
          <t>ESRS S1/G1</t>
        </is>
      </c>
      <c r="E70" s="98" t="inlineStr">
        <is>
          <t>Effectifs · Parité · Rémunération · Santé Sécurité · CA · ETR</t>
        </is>
      </c>
      <c r="F70" s="98" t="inlineStr">
        <is>
          <t>Vert</t>
        </is>
      </c>
      <c r="G70" s="98" t="n"/>
    </row>
    <row r="71">
      <c r="B71" s="98" t="inlineStr">
        <is>
          <t>ESG_MAPPING</t>
        </is>
      </c>
      <c r="C71" s="98" t="inlineStr">
        <is>
          <t>Mapping ESRS x IFRS 18</t>
        </is>
      </c>
      <c r="D71" s="98" t="inlineStr">
        <is>
          <t>Mapping</t>
        </is>
      </c>
      <c r="E71" s="98" t="inlineStr">
        <is>
          <t>29 liaisons KPIs ESG vers états financiers consolidés</t>
        </is>
      </c>
      <c r="F71" s="98" t="inlineStr">
        <is>
          <t>Vert</t>
        </is>
      </c>
      <c r="G71" s="98" t="n"/>
    </row>
    <row r="72">
      <c r="B72" s="98" t="inlineStr">
        <is>
          <t>ESG_DAX</t>
        </is>
      </c>
      <c r="C72" s="98" t="inlineStr">
        <is>
          <t>Mesures DAX ESG 30</t>
        </is>
      </c>
      <c r="D72" s="98" t="inlineStr">
        <is>
          <t>DAX Power Pivot</t>
        </is>
      </c>
      <c r="E72" s="98" t="inlineStr">
        <is>
          <t>30 mesures DAX copier vers Power Pivot (E/S/G/Cross)</t>
        </is>
      </c>
      <c r="F72" s="98" t="inlineStr">
        <is>
          <t>Bleu</t>
        </is>
      </c>
      <c r="G72" s="98" t="n"/>
    </row>
    <row r="73">
      <c r="B73" s="98" t="inlineStr">
        <is>
          <t>ESG_DASHBOARD_LINK</t>
        </is>
      </c>
      <c r="C73" s="98" t="inlineStr">
        <is>
          <t>Pont ESG x Financier</t>
        </is>
      </c>
      <c r="D73" s="98" t="inlineStr">
        <is>
          <t>Pont</t>
        </is>
      </c>
      <c r="E73" s="98" t="inlineStr">
        <is>
          <t>Scores E/S/G/Global · KPIs carbone · Guide 10 etapes</t>
        </is>
      </c>
      <c r="F73" s="98" t="inlineStr">
        <is>
          <t>Vert</t>
        </is>
      </c>
      <c r="G73" s="98" t="n"/>
    </row>
  </sheetData>
  <mergeCells count="20">
    <mergeCell ref="B54:O54"/>
    <mergeCell ref="B7:O7"/>
    <mergeCell ref="B31:O31"/>
    <mergeCell ref="B46:O46"/>
    <mergeCell ref="B56:O56"/>
    <mergeCell ref="B43:O43"/>
    <mergeCell ref="B52:O52"/>
    <mergeCell ref="B48:O48"/>
    <mergeCell ref="B11:O11"/>
    <mergeCell ref="B2:O4"/>
    <mergeCell ref="B68:G68"/>
    <mergeCell ref="B44:O44"/>
    <mergeCell ref="B53:O53"/>
    <mergeCell ref="A1:A16"/>
    <mergeCell ref="B40:O40"/>
    <mergeCell ref="B49:O49"/>
    <mergeCell ref="B65:O65"/>
    <mergeCell ref="B5:O5"/>
    <mergeCell ref="B51:O51"/>
    <mergeCell ref="B50:O5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6600"/>
    <outlinePr summaryBelow="1" summaryRight="1"/>
    <pageSetUpPr/>
  </sheetPr>
  <dimension ref="A1:E71"/>
  <sheetViews>
    <sheetView zoomScale="166" zoomScaleNormal="166" workbookViewId="0">
      <pane ySplit="2" topLeftCell="A10" activePane="bottomLeft" state="frozen"/>
      <selection pane="bottomLeft" activeCell="B16" sqref="B16"/>
    </sheetView>
  </sheetViews>
  <sheetFormatPr baseColWidth="10" defaultRowHeight="15"/>
  <cols>
    <col width="24.7109375" customWidth="1" style="500" min="1" max="1"/>
    <col width="39.140625" customWidth="1" style="500" min="2" max="2"/>
    <col width="61.85546875" customWidth="1" style="500" min="3" max="3"/>
    <col width="28.5703125" customWidth="1" style="500" min="4" max="4"/>
    <col width="21.85546875" customWidth="1" style="500" min="5" max="5"/>
  </cols>
  <sheetData>
    <row r="1" ht="42" customHeight="1" s="500">
      <c r="A1" s="511" t="inlineStr">
        <is>
          <t>🚀  GUIDE DE DÉMARRAGE  —  Comment analyser les données d'une entreprise avec ce simulateur</t>
        </is>
      </c>
    </row>
    <row r="2" ht="20.1" customHeight="1" s="500">
      <c r="A2" s="512" t="inlineStr">
        <is>
          <t>Niveau : Débutant  ·  Durée : 10 min  ·  Simulateur IFRS 18  ·  Groupe 5 entités (FR/DE/UK/US/SG)  ·  Exercice 2025–2026</t>
        </is>
      </c>
    </row>
    <row r="3" ht="8.1" customHeight="1" s="500"/>
    <row r="4" ht="27.95" customHeight="1" s="500">
      <c r="A4" s="508" t="inlineStr">
        <is>
          <t xml:space="preserve">  🗺️   QU'EST-CE QUE CE FICHIER ?</t>
        </is>
      </c>
    </row>
    <row r="5" ht="20.1" customHeight="1" s="500">
      <c r="A5" s="478" t="n"/>
      <c r="B5" s="380" t="inlineStr">
        <is>
          <t>📁  STRUCTURE DU GROUPE</t>
        </is>
      </c>
      <c r="C5" s="342" t="inlineStr">
        <is>
          <t>🎯  OBJECTIF DE L'OUTIL</t>
        </is>
      </c>
      <c r="D5" s="513" t="inlineStr">
        <is>
          <t>👥  POUR QUI EST CET OUTIL ?</t>
        </is>
      </c>
    </row>
    <row r="6" ht="20.1" customHeight="1" s="500">
      <c r="A6" s="478" t="n"/>
      <c r="B6" s="364" t="inlineStr">
        <is>
          <t>• FR_ParentCo — France, EUR  (maison mère)</t>
        </is>
      </c>
      <c r="C6" s="416" t="inlineStr">
        <is>
          <t>• Consolider 5 entités en 1 seul groupe</t>
        </is>
      </c>
      <c r="D6" s="507" t="inlineStr">
        <is>
          <t>• Étudiants en finance, audit, CG</t>
        </is>
      </c>
    </row>
    <row r="7" ht="20.1" customHeight="1" s="500">
      <c r="A7" s="478" t="n"/>
      <c r="B7" s="364" t="inlineStr">
        <is>
          <t>• DE_Filiale — Allemagne, EUR</t>
        </is>
      </c>
      <c r="C7" s="416" t="inlineStr">
        <is>
          <t>• Convertir les devises selon IAS 21</t>
        </is>
      </c>
      <c r="D7" s="507" t="inlineStr">
        <is>
          <t>• Candidats en entretien finance</t>
        </is>
      </c>
    </row>
    <row r="8" ht="20.1" customHeight="1" s="500">
      <c r="A8" s="478" t="n"/>
      <c r="B8" s="364" t="inlineStr">
        <is>
          <t>• UK_Filiale — Royaume-Uni, GBP</t>
        </is>
      </c>
      <c r="C8" s="416" t="inlineStr">
        <is>
          <t>• Éliminer les transactions internes</t>
        </is>
      </c>
      <c r="D8" s="507" t="inlineStr">
        <is>
          <t>• Professionnels débutants en consolidation</t>
        </is>
      </c>
    </row>
    <row r="9" ht="20.1" customHeight="1" s="500">
      <c r="A9" s="478" t="n"/>
      <c r="B9" s="364" t="inlineStr">
        <is>
          <t>• US_Filiale — États-Unis, USD</t>
        </is>
      </c>
      <c r="C9" s="416" t="inlineStr">
        <is>
          <t>• Produire Bilan / CR / Trésorerie IFRS</t>
        </is>
      </c>
      <c r="D9" s="507" t="inlineStr">
        <is>
          <t>• Tout curieux de la norme IFRS 18</t>
        </is>
      </c>
    </row>
    <row r="10" ht="20.1" customHeight="1" s="500">
      <c r="A10" s="478" t="n"/>
      <c r="B10" s="364" t="inlineStr">
        <is>
          <t>• SG_Filiale — Singapour, SGD</t>
        </is>
      </c>
      <c r="C10" s="416" t="inlineStr">
        <is>
          <t>• Analyser KPIs financiers &amp; ESG/CSRD</t>
        </is>
      </c>
      <c r="D10" s="507" t="n"/>
    </row>
    <row r="11" ht="20.1" customHeight="1" s="500">
      <c r="A11" s="478" t="n"/>
    </row>
    <row r="12" ht="9.949999999999999" customHeight="1" s="500"/>
    <row r="13" ht="27.95" customHeight="1" s="500">
      <c r="A13" s="508" t="inlineStr">
        <is>
          <t xml:space="preserve">  📂   CARTE DES ONGLETS  —  Qui fait quoi ?</t>
        </is>
      </c>
    </row>
    <row r="14" ht="20.1" customHeight="1" s="500">
      <c r="A14" s="320" t="inlineStr">
        <is>
          <t>Couleur</t>
        </is>
      </c>
      <c r="B14" s="417" t="inlineStr">
        <is>
          <t>Rôle</t>
        </is>
      </c>
      <c r="C14" s="417" t="inlineStr">
        <is>
          <t>Onglets concernés</t>
        </is>
      </c>
      <c r="D14" s="417" t="inlineStr">
        <is>
          <t>Règle d'or</t>
        </is>
      </c>
      <c r="E14" s="417" t="n"/>
    </row>
    <row r="15" ht="24" customHeight="1" s="500">
      <c r="A15" s="320" t="inlineStr">
        <is>
          <t>🟢 VERT</t>
        </is>
      </c>
      <c r="B15" s="416" t="inlineStr">
        <is>
          <t>SAISIE  (tu écris ici)</t>
        </is>
      </c>
      <c r="C15" s="416" t="inlineStr">
        <is>
          <t>SRC_FR · SRC_DE · SRC_UK · SRC_US · SRC_SG · PQ_TAUX_CHANGE</t>
        </is>
      </c>
      <c r="D15" s="418" t="inlineStr">
        <is>
          <t>✅ Seules ces cellules sont modifiables. C'est ton point d'entrée.</t>
        </is>
      </c>
      <c r="E15" s="416" t="n"/>
    </row>
    <row r="16" ht="24" customHeight="1" s="500">
      <c r="A16" s="320" t="inlineStr">
        <is>
          <t>🔵 BLEU</t>
        </is>
      </c>
      <c r="B16" s="419" t="inlineStr">
        <is>
          <t>CALCULS AUTO  (ne pas toucher)</t>
        </is>
      </c>
      <c r="C16" s="419" t="inlineStr">
        <is>
          <t>CONSOL_BILAN · CONSOL_CR · CONSOL_TRESORERIE · ELIM · BALANCES_PQ</t>
        </is>
      </c>
      <c r="D16" s="420" t="inlineStr">
        <is>
          <t>🚫 Ces onglets se recalculent seuls. Ne jamais saisir manuellement.</t>
        </is>
      </c>
      <c r="E16" s="419" t="n"/>
    </row>
    <row r="17" ht="24" customHeight="1" s="500">
      <c r="A17" s="320" t="inlineStr">
        <is>
          <t>🟠 ORANGE</t>
        </is>
      </c>
      <c r="B17" s="421" t="inlineStr">
        <is>
          <t>RÉSULTATS / DASHBOARDS</t>
        </is>
      </c>
      <c r="C17" s="421" t="inlineStr">
        <is>
          <t>DASHBOARD_FIN · DASHBOARD_ESG · DASHBOARD · CSRD_RAPPORT</t>
        </is>
      </c>
      <c r="D17" s="422" t="inlineStr">
        <is>
          <t>👁️ Lecture seule. Tes KPIs, graphiques et rapports finaux.</t>
        </is>
      </c>
      <c r="E17" s="421" t="n"/>
    </row>
    <row r="18" ht="24" customHeight="1" s="500">
      <c r="A18" s="320" t="inlineStr">
        <is>
          <t>⚫ NOIR</t>
        </is>
      </c>
      <c r="B18" s="423" t="inlineStr">
        <is>
          <t>NAVIGATION &amp; AIDE</t>
        </is>
      </c>
      <c r="C18" s="423" t="inlineStr">
        <is>
          <t>HOME · GUIDE · GUIDE_DÉMARRAGE · Méthodologie &amp; Pédagogie</t>
        </is>
      </c>
      <c r="D18" s="424" t="inlineStr">
        <is>
          <t>📖 Pour comprendre, naviguer et consulter la documentation.</t>
        </is>
      </c>
      <c r="E18" s="423" t="n"/>
    </row>
    <row r="19" ht="24" customHeight="1" s="500">
      <c r="A19" s="320" t="inlineStr">
        <is>
          <t>🔴 ROUGE</t>
        </is>
      </c>
      <c r="B19" s="425" t="inlineStr">
        <is>
          <t>CONFIG AVANCÉE  (experts)</t>
        </is>
      </c>
      <c r="C19" s="425" t="inlineStr">
        <is>
          <t>PQ_MAPPING · PQ_CODE · PQ_ELIMINATIONS · PQ_DAX_MESURES</t>
        </is>
      </c>
      <c r="D19" s="426" t="inlineStr">
        <is>
          <t>⚠️ Ne modifier que si tu maîtrises Power Query et M.</t>
        </is>
      </c>
      <c r="E19" s="425" t="n"/>
    </row>
    <row r="20" ht="9.949999999999999" customHeight="1" s="500">
      <c r="A20" s="478" t="n"/>
    </row>
    <row r="21" ht="27.95" customHeight="1" s="500">
      <c r="A21" s="509" t="inlineStr">
        <is>
          <t xml:space="preserve">  📋   PLAN EN 10 ÉTAPES  —  De zéro à l'analyse complète</t>
        </is>
      </c>
    </row>
    <row r="22" ht="20.1" customHeight="1" s="500">
      <c r="A22" s="427" t="inlineStr">
        <is>
          <t>N°</t>
        </is>
      </c>
      <c r="B22" s="427" t="inlineStr">
        <is>
          <t>Titre de l'étape</t>
        </is>
      </c>
      <c r="C22" s="427" t="inlineStr">
        <is>
          <t>Ce que tu fais concrètement (mode opératoire)</t>
        </is>
      </c>
      <c r="D22" s="427" t="inlineStr">
        <is>
          <t>Onglet(s) à ouvrir</t>
        </is>
      </c>
      <c r="E22" s="427" t="inlineStr">
        <is>
          <t>Durée</t>
        </is>
      </c>
    </row>
    <row r="23" ht="111.95" customHeight="1" s="500">
      <c r="A23" s="479" t="n">
        <v>1</v>
      </c>
      <c r="B23" s="428" t="inlineStr">
        <is>
          <t>🔑  PRÉREQUIS</t>
        </is>
      </c>
      <c r="C23" s="429" t="inlineStr">
        <is>
          <t>À l'ouverture :
›  Barre jaune « Macros désactivées » → cliquer « Activer le contenu »
›  Mode protégé → cliquer « Modifier quand même »
›  Enregistrer en .xlsm : Fichier → Enregistrer sous → Classeur Excel avec macros</t>
        </is>
      </c>
      <c r="D23" s="430" t="inlineStr">
        <is>
          <t>Tous les onglets</t>
        </is>
      </c>
      <c r="E23" s="431" t="inlineStr">
        <is>
          <t>2 min</t>
        </is>
      </c>
    </row>
    <row r="24" ht="111.95" customHeight="1" s="500">
      <c r="A24" s="479" t="n">
        <v>2</v>
      </c>
      <c r="B24" s="432" t="inlineStr">
        <is>
          <t>🗺️  EXPLORATION</t>
        </is>
      </c>
      <c r="C24" s="433" t="inlineStr">
        <is>
          <t>Parcourir SANS rien modifier :
①  HOME → comprendre la légende des couleurs d'onglets
②  GUIDE → lire les conventions de saisie
③  GUIDE_DÉMARRAGE (ici) → mémoriser le plan en 10 étapes
Règle d'or : les cellules bleues contiennent des formules → ne jamais saisir dessus.</t>
        </is>
      </c>
      <c r="D24" s="434" t="inlineStr">
        <is>
          <t>HOME · GUIDE
GUIDE_DÉMARRAGE</t>
        </is>
      </c>
      <c r="E24" s="435" t="inlineStr">
        <is>
          <t>5 min</t>
        </is>
      </c>
    </row>
    <row r="25" ht="111.95" customHeight="1" s="500">
      <c r="A25" s="479" t="n">
        <v>3</v>
      </c>
      <c r="B25" s="436" t="inlineStr">
        <is>
          <t>💱  TAUX DE CHANGE</t>
        </is>
      </c>
      <c r="C25" s="414" t="inlineStr">
        <is>
          <t>Onglet PQ_TAUX_CHANGE › Section 1 (lignes 5 à 20)
Saisir dans la colonne F les taux BCE à la date de clôture :
›  F6  = GBP/EUR clôture  (ex : 1.165)     ›  F9  = GBP/EUR moyen annuel  (ex : 1.155)
›  F11 = USD/EUR clôture  (ex : 0.918)     ›  F14 = USD/EUR moyen annuel  (ex : 0.925)
›  F16 = SGD/EUR clôture  (ex : 0.678)     ›  F19 = SGD/EUR moyen annuel  (ex : 0.682)
Source officielle : ecb.europa.eu › Statistics › Exchange Rates</t>
        </is>
      </c>
      <c r="D25" s="437" t="inlineStr">
        <is>
          <t>PQ_TAUX_CHANGE
› Colonne F</t>
        </is>
      </c>
      <c r="E25" s="438" t="inlineStr">
        <is>
          <t>5 min</t>
        </is>
      </c>
    </row>
    <row r="26" ht="111.95" customHeight="1" s="500">
      <c r="A26" s="479" t="n">
        <v>4</v>
      </c>
      <c r="B26" s="439" t="inlineStr">
        <is>
          <t>📥  DONNÉES FR
(Société mère)</t>
        </is>
      </c>
      <c r="C26" s="440" t="inlineStr">
        <is>
          <t>Onglet SRC_FR → coller les balances comptables annuelles de la maison mère :
›  Col A = Code compte (ex : 701000)     ›  Col B = Libellé du compte
›  Colonnes suivantes = Montants par mois ou trimestre
Comment importer : export depuis SAP / SAGE / Cegid → Ctrl+C → Ctrl+V
Le plan de comptes doit correspondre à celui de PQ_MAPPING (colonne CodeCompteLocal).
✅  Vérification : onglet FR_ParentCo › cellule D30 (TOTAL ACTIF) doit être positif.</t>
        </is>
      </c>
      <c r="D26" s="441" t="inlineStr">
        <is>
          <t>SRC_FR
→ FR_ParentCo</t>
        </is>
      </c>
      <c r="E26" s="442" t="inlineStr">
        <is>
          <t>15–30 min</t>
        </is>
      </c>
    </row>
    <row r="27" ht="111.95" customHeight="1" s="500">
      <c r="A27" s="479" t="n">
        <v>5</v>
      </c>
      <c r="B27" s="443" t="inlineStr">
        <is>
          <t>📥  DONNÉES FILIALES
(4 entités étrangères)</t>
        </is>
      </c>
      <c r="C27" s="413" t="inlineStr">
        <is>
          <t>Même opération × 4.  ⚠️  Saisir TOUJOURS en monnaie LOCALE (conversion automatique).
›  SRC_DE → DE_Filiale  (EUR, aucune conversion nécessaire)
›  SRC_UK → UK_Filiale  (GBP → EUR converti via taux §3)
›  SRC_US → US_Filiale  (USD → EUR converti automatiquement)
›  SRC_SG → SG_Filiale  (SGD → EUR converti automatiquement)
Vérification : chaque onglet filiale › cellule D26 (TOTAL ACTIF) &gt; 0</t>
        </is>
      </c>
      <c r="D27" s="444" t="inlineStr">
        <is>
          <t>SRC_DE · SRC_UK
SRC_US · SRC_SG</t>
        </is>
      </c>
      <c r="E27" s="445" t="inlineStr">
        <is>
          <t>15–30 min
par entité</t>
        </is>
      </c>
    </row>
    <row r="28" ht="111.95" customHeight="1" s="500">
      <c r="A28" s="479" t="n">
        <v>6</v>
      </c>
      <c r="B28" s="446" t="inlineStr">
        <is>
          <t>✂️  ÉLIMINATIONS IC
(Transactions internes)</t>
        </is>
      </c>
      <c r="C28" s="412" t="inlineStr">
        <is>
          <t>Onglet ELIM › Section 1 (lignes 5 à 12)
Saisir TOUTES les opérations réalisées ENTRE entités du groupe :
›  Ventes interco    ›  Management fees    ›  Prêts inter-compagnies    ›  Dividendes internes
Pour chaque ligne : montant en monnaie locale + sélectionner la devise.
Le montant en EUR est calculé automatiquement.
📖  Règle IFRS fondamentale : tout flux interne = double comptage = doit être éliminé.</t>
        </is>
      </c>
      <c r="D28" s="447" t="inlineStr">
        <is>
          <t>ELIM
› §1 et §2</t>
        </is>
      </c>
      <c r="E28" s="448" t="inlineStr">
        <is>
          <t>10–20 min</t>
        </is>
      </c>
    </row>
    <row r="29" ht="111.95" customHeight="1" s="500">
      <c r="A29" s="479" t="n">
        <v>7</v>
      </c>
      <c r="B29" s="449" t="inlineStr">
        <is>
          <t>⚡  RAFRAÎCHIR
(Bouton unique)</t>
        </is>
      </c>
      <c r="C29" s="411" t="inlineStr">
        <is>
          <t>Aller sur HOME › cliquer « 🔄 TOUT RAFRAÎCHIR » › attendre.
Le programme exécute 4 actions automatiquement :
①  Recharge tous les Power Query (normalisation et conversion des données)
②  Recalcule toutes les formules IFRS (IAS 21, IFRS 3, éliminations IC)
③  Met à jour les 3 dashboards (financier, ESG, maître)
④  Inscrit une ligne dans AUDIT_LOG (traçabilité avec horodatage)
Message de confirmation en fin : « ✅ Rafraîchissement terminé – X connexions »</t>
        </is>
      </c>
      <c r="D29" s="450" t="inlineStr">
        <is>
          <t>HOME
› Bouton orange</t>
        </is>
      </c>
      <c r="E29" s="451" t="inlineStr">
        <is>
          <t>1–2 min</t>
        </is>
      </c>
    </row>
    <row r="30" ht="111.95" customHeight="1" s="500">
      <c r="A30" s="479" t="n">
        <v>8</v>
      </c>
      <c r="B30" s="452" t="inlineStr">
        <is>
          <t>✅  VÉRIFICATIONS
(Contrôle qualité)</t>
        </is>
      </c>
      <c r="C30" s="453" t="inlineStr">
        <is>
          <t>Vérifier ces 4 indicateurs avant d'analyser :
①  CONSOL_BILAN › ligne 43 → doit afficher « ✅ BILAN ÉQUILIBRÉ »
    Si ❌ : revoir les éliminations IC (onglet ELIM §1 et §2)
②  CONSOL_CR → aucun #VALEUR! ou #REF! dans le tableau des données
    Si erreur : vérifier que les onglets SRC_* contiennent bien des données
③  CONSOL_TRESORERIE › ligne 29 → doit afficher « ✅ OK »
    Si ❌ : vérifier la trésorerie d'ouverture (cellule C27)
④  Alt+F8 → sélectionner ValiderFiliales() → Exécuter → lire le rapport RAG</t>
        </is>
      </c>
      <c r="D30" s="454" t="inlineStr">
        <is>
          <t>CONSOL_BILAN
CONSOL_CR
CONSOL_TRESORERIE</t>
        </is>
      </c>
      <c r="E30" s="455" t="inlineStr">
        <is>
          <t>5 min</t>
        </is>
      </c>
    </row>
    <row r="31" ht="111.95" customHeight="1" s="500">
      <c r="A31" s="479" t="n">
        <v>9</v>
      </c>
      <c r="B31" s="456" t="inlineStr">
        <is>
          <t>📊  ANALYSER
(L'objectif final)</t>
        </is>
      </c>
      <c r="C31" s="410" t="inlineStr">
        <is>
          <t>Consulter dans cet ordre pour une analyse complète :
①  DASHBOARD_FIN      → Vue globale : CA, EBIT, EBITDA, RN, Dette Nette, Levier
②  CONSOL_CR          → P&amp;L détaillé par entité + variations Δ% vs N-1 + TEI
③  CONSOL_BILAN       → Structure : Goodwill, Capitaux propres, Dettes, Actifs
④  CONSOL_TRESORERIE  → Cash opérationnel vs CAPEX vs Financement (FCF)
⑤  DASHBOARD_ESG      → CO₂ Scope 1-2-3, parité H/F, accidents, gouvernance
→  Les KPIs sont expliqués en détail dans la Section D ci-dessous</t>
        </is>
      </c>
      <c r="D31" s="457" t="inlineStr">
        <is>
          <t>DASHBOARD_FIN
CONSOL_CR
CONSOL_BILAN
CONSOL_TRESORERIE
DASHBOARD_ESG</t>
        </is>
      </c>
      <c r="E31" s="458" t="inlineStr">
        <is>
          <t>30–60 min</t>
        </is>
      </c>
    </row>
    <row r="32" ht="111.95" customHeight="1" s="500">
      <c r="A32" s="479" t="n">
        <v>10</v>
      </c>
      <c r="B32" s="459" t="inlineStr">
        <is>
          <t>📤  EXPORTER
(Partager les résultats)</t>
        </is>
      </c>
      <c r="C32" s="460" t="inlineStr">
        <is>
          <t>Option A – PDF en 1 clic (recommandé) :
   Alt+F8 → ExporterPDF() → OK  →  Génère « IFRS18_Rapport_2025-XX-XX.pdf »
   Contenu : HOME + Bilan + CR + Trésorerie + IFRS18_MAPPING + Dashboards + CSRD
Option B – PDF manuel sélectif :
   Ctrl+clic sur les onglets à exporter → Fichier → Exporter → Créer PDF/XPS
Option C – Partage du fichier Excel :
   Fichier → Enregistrer sous → Format .xlsm
   Nom suggéré : IFRS18_Consolidation_[NomEntreprise]_[Exercice].xlsm</t>
        </is>
      </c>
      <c r="D32" s="461" t="inlineStr">
        <is>
          <t>HOME
› Bouton PDF
ou Alt+F8</t>
        </is>
      </c>
      <c r="E32" s="462" t="inlineStr">
        <is>
          <t>2–5 min</t>
        </is>
      </c>
    </row>
    <row r="33" ht="12" customHeight="1" s="500"/>
    <row r="34" ht="27.95" customHeight="1" s="500">
      <c r="A34" s="510" t="inlineStr">
        <is>
          <t xml:space="preserve">  📈   SECTION D  —  COMMENT LIRE LES 10 KPIs FINANCIERS CLÉS</t>
        </is>
      </c>
    </row>
    <row r="35" ht="20.1" customHeight="1" s="500">
      <c r="A35" s="417" t="inlineStr">
        <is>
          <t>KPI</t>
        </is>
      </c>
      <c r="B35" s="417" t="inlineStr">
        <is>
          <t>Définition &amp; Formule</t>
        </is>
      </c>
      <c r="C35" s="417" t="inlineStr">
        <is>
          <t>Où le trouver dans le fichier</t>
        </is>
      </c>
      <c r="D35" s="417" t="inlineStr">
        <is>
          <t>Benchmark sectoriel</t>
        </is>
      </c>
      <c r="E35" s="417" t="inlineStr">
        <is>
          <t>Comment l'interpréter</t>
        </is>
      </c>
    </row>
    <row r="36" ht="84" customHeight="1" s="500">
      <c r="A36" s="323" t="inlineStr">
        <is>
          <t>CA Groupe
(k€)</t>
        </is>
      </c>
      <c r="B36" s="463" t="inlineStr">
        <is>
          <t>Chiffre d'affaires consolidé
= Σ CA 5 entités − Éliminations IC
(IFRS 18 Catégorie ①)</t>
        </is>
      </c>
      <c r="C36" s="464" t="inlineStr">
        <is>
          <t>CONSOL_CR › K7
DASHBOARD_FIN › B6
Valeur : 817 075 k€</t>
        </is>
      </c>
      <c r="D36" s="465" t="inlineStr">
        <is>
          <t>Croissance vs N-1 :
&gt; +5% = dynamisme
0 à +5% = stabilité
&lt; 0% = vigilance</t>
        </is>
      </c>
      <c r="E36" s="463" t="inlineStr">
        <is>
          <t>Δ% vs N-1 = −0.4% → CA quasi stable.
Vérifier si baisse de volumes (prix stable)
ou baisse de prix (volumes stables).</t>
        </is>
      </c>
    </row>
    <row r="37" ht="84" customHeight="1" s="500">
      <c r="A37" s="323" t="inlineStr">
        <is>
          <t>Marge EBIT
(%)</t>
        </is>
      </c>
      <c r="B37" s="502" t="inlineStr">
        <is>
          <t>EBIT / CA
EBIT = Résultat Opérationnel
= uniquement Catégorie ① IFRS 18
(SANS investissement ni financement)</t>
        </is>
      </c>
      <c r="C37" s="467" t="inlineStr">
        <is>
          <t>CONSOL_CR › K14 / K7
DASHBOARD_FIN › G6
Valeur : 18.8%</t>
        </is>
      </c>
      <c r="D37" s="468" t="inlineStr">
        <is>
          <t>Industrie lourde : 8–12%
Services / Conseil : 15–25%
Tech / SaaS : 20–30%
Distribution : 3–6%</t>
        </is>
      </c>
      <c r="E37" s="502" t="inlineStr">
        <is>
          <t>18.8% = solide pour industrie.
SG_Filiale est la plus rentable (25%).
Chercher pourquoi : mix produits, coûts ?</t>
        </is>
      </c>
    </row>
    <row r="38" ht="84" customHeight="1" s="500">
      <c r="A38" s="323" t="inlineStr">
        <is>
          <t>EBITDA
(k€)</t>
        </is>
      </c>
      <c r="B38" s="463" t="inlineStr">
        <is>
          <t>EBIT + Dotations aux amortissements
= Proxy du cash opérationnel généré
(avant IS, intérêts, amortissements)</t>
        </is>
      </c>
      <c r="C38" s="464" t="inlineStr">
        <is>
          <t>CONSOL_CR › C38
DASHBOARD_FIN › B11
Valeur : 216 451 k€</t>
        </is>
      </c>
      <c r="D38" s="465" t="inlineStr">
        <is>
          <t>Comparer à CAPEX :
CAPEX / EBITDA &lt; 30% = OK
CAPEX / EBITDA &gt; 60% = capital intensif</t>
        </is>
      </c>
      <c r="E38" s="463" t="inlineStr">
        <is>
          <t>CAPEX = 48 200 k€
CAPEX/EBITDA = 22% → investissement maîtrisé.
EBITDA positif = génération de cash réelle.</t>
        </is>
      </c>
    </row>
    <row r="39" ht="84" customHeight="1" s="500">
      <c r="A39" s="323" t="inlineStr">
        <is>
          <t>Marge EBITDA
(%)</t>
        </is>
      </c>
      <c r="B39" s="502" t="inlineStr">
        <is>
          <t>EBITDA / CA
= Rentabilité avant effets comptables
(amortissements, IS, intérêts)</t>
        </is>
      </c>
      <c r="C39" s="467" t="inlineStr">
        <is>
          <t>CONSOL_CR › C38 / K7
DASHBOARD_FIN › G11
Valeur : 26.5%</t>
        </is>
      </c>
      <c r="D39" s="468" t="inlineStr">
        <is>
          <t>Industrie : 15–20%
Tech : 25–35%
Santé : 20–30%</t>
        </is>
      </c>
      <c r="E39" s="502" t="inlineStr">
        <is>
          <t>26.5% confirme des marges robustes.
Supérieur à Marge EBIT (18.8%) de 7.7 pts
= impact normal des amortissements.</t>
        </is>
      </c>
    </row>
    <row r="40" ht="84" customHeight="1" s="500">
      <c r="A40" s="323" t="inlineStr">
        <is>
          <t>TEI
(Taux Effectif IS)</t>
        </is>
      </c>
      <c r="B40" s="463" t="inlineStr">
        <is>
          <t>IS total / Résultat avant IS
= Taux d'imposition réellement supporté
(≠ taux légal nominal)</t>
        </is>
      </c>
      <c r="C40" s="464" t="inlineStr">
        <is>
          <t>CONSOL_CR › C43
Valeur : 27.8%</t>
        </is>
      </c>
      <c r="D40" s="465" t="inlineStr">
        <is>
          <t>Taux légaux : FR 25%, UK 25%
US 21%, DE 30%, SG 17%
TEI groupe ≈ moyenne pondérée</t>
        </is>
      </c>
      <c r="E40" s="463" t="inlineStr">
        <is>
          <t>27.8% cohérent avec le mix pays.
TEI &lt; 15% : structures d'optimisation ? 
TEI &gt; 40% : provisions IS exceptionnelles ?</t>
        </is>
      </c>
    </row>
    <row r="41" ht="84" customHeight="1" s="500">
      <c r="A41" s="323" t="inlineStr">
        <is>
          <t>Levier
DN/EBITDA</t>
        </is>
      </c>
      <c r="B41" s="502" t="inlineStr">
        <is>
          <t>Dette Nette / EBITDA
Dette Nette = Dettes fin. − Trésorerie
= Nb d'années d'EBITDA pour rembourser</t>
        </is>
      </c>
      <c r="C41" s="467" t="inlineStr">
        <is>
          <t>CONSOL_CR › C44
DASHBOARD_FIN › F13
Valeur : 0.95x</t>
        </is>
      </c>
      <c r="D41" s="468" t="inlineStr">
        <is>
          <t>&lt; 1x = quasi pas endetté
1–2x = faible dette
2–4x = endettement modéré
&gt; 5x = risque élevé</t>
        </is>
      </c>
      <c r="E41" s="502" t="inlineStr">
        <is>
          <t>0.95x = groupe très peu endetté.
Capacité à lever de la dette si besoin.
M&amp;A ou CAPEX expansif sont possibles.</t>
        </is>
      </c>
    </row>
    <row r="42" ht="84" customHeight="1" s="500">
      <c r="A42" s="323" t="inlineStr">
        <is>
          <t>Dette Nette
(k€)</t>
        </is>
      </c>
      <c r="B42" s="463" t="inlineStr">
        <is>
          <t>Dettes financières (LT+CT) − Trésorerie
Positif = groupe endetté
Négatif = trésorerie excédentaire</t>
        </is>
      </c>
      <c r="C42" s="464" t="inlineStr">
        <is>
          <t>DASHBOARD_FIN › K11
Valeur : 205 512 k€</t>
        </is>
      </c>
      <c r="D42" s="465" t="inlineStr">
        <is>
          <t>Comparer aux CP :
Gearing (DN/CP) &lt; 50% = conservateur
Gearing &gt; 100% = agressif</t>
        </is>
      </c>
      <c r="E42" s="463" t="inlineStr">
        <is>
          <t>205 512 k€ vs EBITDA 216 451 k€
→ couverture quasi 1:1 = situation saine.
Surveiller les échéances de remboursement.</t>
        </is>
      </c>
    </row>
    <row r="43" ht="84" customHeight="1" s="500">
      <c r="A43" s="323" t="inlineStr">
        <is>
          <t>Résultat Net
(k€)</t>
        </is>
      </c>
      <c r="B43" s="502" t="inlineStr">
        <is>
          <t>Profit après IS, NCI et activ. abandonnées
= Ce qui revient aux actionnaires du groupe
(hors intérêts minoritaires NCI)</t>
        </is>
      </c>
      <c r="C43" s="467" t="inlineStr">
        <is>
          <t>CONSOL_CR › K30
Valeur : 82 110 k€</t>
        </is>
      </c>
      <c r="D43" s="468" t="inlineStr">
        <is>
          <t>Marge nette saine : &gt; 8–10%
Marge nette ici : 10.0%</t>
        </is>
      </c>
      <c r="E43" s="502" t="inlineStr">
        <is>
          <t>Δ vs N-1 = −35% → forte baisse.
À investiguer : IS exceptionnel ?
Ou dégradation opérationnelle réelle ?</t>
        </is>
      </c>
    </row>
    <row r="44" ht="84" customHeight="1" s="500">
      <c r="A44" s="323" t="inlineStr">
        <is>
          <t>Flux exploitation
(IAS 7, k€)</t>
        </is>
      </c>
      <c r="B44" s="463" t="inlineStr">
        <is>
          <t>Cash généré par l'activité courante
(méthode indirecte : RN + amort. ± BFR)
Après IS payés, avant CAPEX</t>
        </is>
      </c>
      <c r="C44" s="464" t="inlineStr">
        <is>
          <t>CONSOL_TRESORERIE › C12
Valeur : 133 648 k€</t>
        </is>
      </c>
      <c r="D44" s="465" t="inlineStr">
        <is>
          <t>FCF = Flux exploit. − CAPEX
FCF &gt; 0 = autofinancement
FCF &lt; 0 = dépendance financement extérieur</t>
        </is>
      </c>
      <c r="E44" s="463" t="inlineStr">
        <is>
          <t>FCF = 133 648 − 48 200 − 9 200 = 76 248 k€
Le groupe génère du cash libre positif.
Peut financer sa croissance en interne.</t>
        </is>
      </c>
    </row>
    <row r="45" ht="84" customHeight="1" s="500">
      <c r="A45" s="323" t="inlineStr">
        <is>
          <t>Écart de conversion
(OCI, IAS 21)</t>
        </is>
      </c>
      <c r="B45" s="502" t="inlineStr">
        <is>
          <t>Gain / Perte de change sur conversion
des filiales étrangères en EUR
→ OCI : n'impacte PAS le P&amp;L !</t>
        </is>
      </c>
      <c r="C45" s="467" t="inlineStr">
        <is>
          <t>CONSOL_BILAN › J25
N'affecte pas CONSOL_CR
(traitement OCI IFRS)</t>
        </is>
      </c>
      <c r="D45" s="468" t="inlineStr">
        <is>
          <t>Surveiller si devises volatiles
(GBP, USD, SGD)
Significatif si &gt; 5% des CP</t>
        </is>
      </c>
      <c r="E45" s="502" t="inlineStr">
        <is>
          <t>En OCI = impact uniquement
sur les Capitaux Propres du bilan.
Couvrir si exposition &gt; 10 M€.</t>
        </is>
      </c>
    </row>
    <row r="46" ht="12" customHeight="1" s="500"/>
    <row r="47" ht="27.95" customHeight="1" s="500">
      <c r="A47" s="505" t="inlineStr">
        <is>
          <t xml:space="preserve">  ❓   SECTION E  —  FAQ  —  8 QUESTIONS FRÉQUENTES DES DÉBUTANTS</t>
        </is>
      </c>
    </row>
    <row r="48" ht="20.1" customHeight="1" s="500">
      <c r="A48" s="469" t="inlineStr">
        <is>
          <t>❓ Question</t>
        </is>
      </c>
      <c r="B48" s="506" t="inlineStr">
        <is>
          <t>✅ Réponse complète</t>
        </is>
      </c>
      <c r="D48" s="506" t="inlineStr">
        <is>
          <t>Onglet de résolution</t>
        </is>
      </c>
      <c r="E48" s="506" t="inlineStr">
        <is>
          <t>Priorité</t>
        </is>
      </c>
    </row>
    <row r="49" ht="95.09999999999999" customHeight="1" s="500">
      <c r="A49" s="471" t="inlineStr">
        <is>
          <t>TOTAL ACTIF dans DE_Filiale est à zéro ou vide</t>
        </is>
      </c>
      <c r="B49" s="501" t="inlineStr">
        <is>
          <t>Les données N n'ont pas été saisies dans SRC_DE.
→  Aller dans SRC_DE et renseigner les balances comptables (colonnes A et suivantes).
→  Puis relancer ToutRafraichir (onglet HOME).
Les formules de DE_Filiale pointent vers SRC_DE via Power Query : sans données sources, tout est à zéro.</t>
        </is>
      </c>
      <c r="D49" s="473" t="inlineStr">
        <is>
          <t>SRC_DE
HOME</t>
        </is>
      </c>
      <c r="E49" s="501" t="inlineStr">
        <is>
          <t>🔴 Bloquant</t>
        </is>
      </c>
    </row>
    <row r="50" ht="95.09999999999999" customHeight="1" s="500">
      <c r="A50" s="471" t="inlineStr">
        <is>
          <t>J'ai modifié un taux de change mais le bilan ne se met pas à jour</t>
        </is>
      </c>
      <c r="B50" s="502" t="inlineStr">
        <is>
          <t>Les Power Query ne se rechargent pas automatiquement à chaque saisie — c'est voulu pour éviter les ralentissements.
→  Cliquer sur le bouton ToutRafraichir (onglet HOME) ou Ctrl+Alt+F5 (Données → Actualiser tout).
Les connexions PQ doivent être rafraîchies pour propager les nouveaux taux dans toutes les formules de conversion.</t>
        </is>
      </c>
      <c r="D50" s="467" t="inlineStr">
        <is>
          <t>HOME
PQ_TAUX_CHANGE</t>
        </is>
      </c>
      <c r="E50" s="502" t="inlineStr">
        <is>
          <t>🟡 Normal</t>
        </is>
      </c>
    </row>
    <row r="51" ht="95.09999999999999" customHeight="1" s="500">
      <c r="A51" s="471" t="inlineStr">
        <is>
          <t>CONSOL_BILAN affiche « 🚨 DÉSÉQUILIBRE »</t>
        </is>
      </c>
      <c r="B51" s="501" t="inlineStr">
        <is>
          <t>Vérifier dans l'ordre :
①  ELIM §1 : Total créances IC ≈ Total dettes IC ? (doit être quasi-égal)
②  ELIM §2 : Titres de participation vs Goodwill — calcul cohérent ?
③  Données saisies en double dans un SRC_* ?
④  Alt+F8 → ValiderFiliales() → lire le rapport diagnostic RAG
L'écart résiduel &lt; 1 000 k€ peut provenir des écarts de conversion IAS 21 sur IC (acceptable).</t>
        </is>
      </c>
      <c r="D51" s="473" t="inlineStr">
        <is>
          <t>ELIM
CONSOL_BILAN</t>
        </is>
      </c>
      <c r="E51" s="501" t="inlineStr">
        <is>
          <t>🔴 Bloquant</t>
        </is>
      </c>
    </row>
    <row r="52" ht="95.09999999999999" customHeight="1" s="500">
      <c r="A52" s="471" t="inlineStr">
        <is>
          <t>Quelle différence entre EBIT et « Profit avant Fin. &amp; Impôts » ?</t>
        </is>
      </c>
      <c r="B52" s="502" t="inlineStr">
        <is>
          <t>C'est une nouveauté IFRS 18 (obligatoire depuis 2027) :
›  EBIT = Résultat Opérationnel = Catégorie ① uniquement (activités d'exploitation)
›  Profit avant Fin. &amp; Impôts = EBIT + Résultat Investissement = Catégories ① + ②
    = Nouveau sous-total obligatoire IFRS 18 §48 (ligne 24 de CONSOL_CR)
Concrètement : dividendes reçus de participantes non-contrôlées s'ajoutent à l'EBIT.</t>
        </is>
      </c>
      <c r="D52" s="467" t="inlineStr">
        <is>
          <t>CONSOL_CR
ligne 24</t>
        </is>
      </c>
      <c r="E52" s="502" t="inlineStr">
        <is>
          <t>🟢 Info</t>
        </is>
      </c>
    </row>
    <row r="53" ht="95.09999999999999" customHeight="1" s="500">
      <c r="A53" s="471" t="inlineStr">
        <is>
          <t>Comment analyser UNE SEULE entité sans tout consolider ?</t>
        </is>
      </c>
      <c r="B53" s="501" t="inlineStr">
        <is>
          <t>Aller directement sur l'onglet de l'entité :
›  FR_ParentCo, DE_Filiale, UK_Filiale, US_Filiale ou SG_Filiale
Chaque onglet contient :
•  Bilan local (en monnaie locale + converti EUR)
•  Compte de résultat local
•  Tableau de conversion IAS 21 (actif, passif, P&amp;L)
•  Indicateurs de base (CA, EBIT, RN local)</t>
        </is>
      </c>
      <c r="D53" s="473" t="inlineStr">
        <is>
          <t>FR_ParentCo
DE_Filiale
UK_Filiale
US_Filiale
SG_Filiale</t>
        </is>
      </c>
      <c r="E53" s="501" t="inlineStr">
        <is>
          <t>🟢 Info</t>
        </is>
      </c>
    </row>
    <row r="54" ht="95.09999999999999" customHeight="1" s="500">
      <c r="A54" s="471" t="inlineStr">
        <is>
          <t>Un solde résiduel de ~1 000 k€ reste dans le bilan consolidé sur les IC UK</t>
        </is>
      </c>
      <c r="B54" s="502" t="inlineStr">
        <is>
          <t>C'est un écart de change IC intentionnel :
La créance IC est libellée en GBP (convertie au taux clôture)
mais la dette IC correspondante est déjà en EUR.
L'écart résiduel = effet devise UK → traitement recommandé :
›  Option A : reclasser en Écart de conversion (OCI, CONSOL_BILAN J25)
›  Option B : éliminer via une écriture manuelle dans ELIM §1
Ce sujet est documenté dans Méthodologie &amp; Pédagogie › §4 Éliminations.</t>
        </is>
      </c>
      <c r="D54" s="467" t="inlineStr">
        <is>
          <t>ELIM
CONSOL_BILAN J25
Méthodologie §4</t>
        </is>
      </c>
      <c r="E54" s="502" t="inlineStr">
        <is>
          <t>🟡 À surveiller</t>
        </is>
      </c>
    </row>
    <row r="55" ht="95.09999999999999" customHeight="1" s="500">
      <c r="A55" s="471" t="inlineStr">
        <is>
          <t>Comment utiliser ce fichier pour valoriser une entreprise réelle ?</t>
        </is>
      </c>
      <c r="B55" s="501" t="inlineStr">
        <is>
          <t>Étapes supplémentaires pour une analyse en conditions réelles :
①  Collecter les 5 derniers exercices annuels (N, N-1, N-2, N-3, N-4)
②  Saisir les données dans SRC_* pour chaque exercice (dupliquer le fichier par exercice)
③  Calculer les CAGR sur CA, EBITDA, RN
④  Construire un DCF sur CONSOL_TRESORERIE : projeter 5 ans + valeur terminale
⑤  Comparer les multiples (EV/EBITDA, P/E) aux pairs cotés
⑥  Exporter PDF et présenter en board / comité d'investissement</t>
        </is>
      </c>
      <c r="D55" s="473" t="inlineStr">
        <is>
          <t>Tous les
onglets CONSOL_*</t>
        </is>
      </c>
      <c r="E55" s="501" t="inlineStr">
        <is>
          <t>🟣 Avancé</t>
        </is>
      </c>
    </row>
    <row r="56" ht="95.09999999999999" customHeight="1" s="500">
      <c r="A56" s="471" t="inlineStr">
        <is>
          <t>Comment mentionner ce fichier dans mon CV ou en entretien ?</t>
        </is>
      </c>
      <c r="B56" s="502" t="inlineStr">
        <is>
          <t>Formulation recommandée pour CV ou LinkedIn :
« Conception et modélisation d'un simulateur Excel de consolidation IFRS 18 :
5 entités multinationales (FR/DE/UK/US/SG), conversion IAS 21, éliminations interco,
états financiers consolidés (bilan, CR, trésorerie), Power Query, KPIs ESG/CSRD,
VBA et macros d'automatisation. »
Compétences valorisées : Finance / Consolidation / Audit / Contrôle de gestion / Trésorerie groupe
Suppléer avec le fichier .xlsm en pièce jointe lors d'entretiens techniques.</t>
        </is>
      </c>
      <c r="D56" s="467" t="inlineStr">
        <is>
          <t>—</t>
        </is>
      </c>
      <c r="E56" s="502" t="inlineStr">
        <is>
          <t>💼 Carrière</t>
        </is>
      </c>
    </row>
    <row r="57" ht="12" customHeight="1" s="500"/>
    <row r="58" ht="27.95" customHeight="1" s="500">
      <c r="A58" s="503" t="inlineStr">
        <is>
          <t xml:space="preserve">  ⌨️   SECTION F  —  CARTE DE RÉFÉRENCE RAPIDE  —  Raccourcis et onglets essentiels</t>
        </is>
      </c>
    </row>
    <row r="59" ht="20.1" customHeight="1" s="500">
      <c r="A59" s="474" t="inlineStr">
        <is>
          <t>Raccourci / Action</t>
        </is>
      </c>
      <c r="B59" s="504" t="inlineStr">
        <is>
          <t>Résultat</t>
        </is>
      </c>
      <c r="C59" s="504" t="inlineStr">
        <is>
          <t>Quand l'utiliser ?</t>
        </is>
      </c>
      <c r="D59" s="504" t="inlineStr">
        <is>
          <t>Astuce complémentaire</t>
        </is>
      </c>
    </row>
    <row r="60" ht="30" customHeight="1" s="500">
      <c r="A60" s="475" t="inlineStr">
        <is>
          <t>Ctrl + F</t>
        </is>
      </c>
      <c r="B60" s="476" t="inlineStr">
        <is>
          <t>Rechercher du texte dans tout l'onglet actif</t>
        </is>
      </c>
      <c r="C60" s="477" t="inlineStr">
        <is>
          <t>Retrouver un poste comptable ou une cellule précise</t>
        </is>
      </c>
      <c r="D60" s="497" t="inlineStr">
        <is>
          <t>Cocher « Dans le classeur entier » pour chercher dans tous les onglets.</t>
        </is>
      </c>
    </row>
    <row r="61" ht="30" customHeight="1" s="500">
      <c r="A61" s="475" t="inlineStr">
        <is>
          <t>Ctrl + Alt + F5</t>
        </is>
      </c>
      <c r="B61" s="313" t="inlineStr">
        <is>
          <t>Actualiser TOUTES les connexions Power Query manuellement</t>
        </is>
      </c>
      <c r="C61" s="468" t="inlineStr">
        <is>
          <t>Si le bouton ToutRafraichir ne répond pas</t>
        </is>
      </c>
      <c r="D61" s="498" t="inlineStr">
        <is>
          <t>Équivalent à Données → Actualiser tout dans le ruban.</t>
        </is>
      </c>
    </row>
    <row r="62" ht="30" customHeight="1" s="500">
      <c r="A62" s="475" t="inlineStr">
        <is>
          <t>Alt + F8</t>
        </is>
      </c>
      <c r="B62" s="476" t="inlineStr">
        <is>
          <t>Ouvrir la liste des macros VBA disponibles</t>
        </is>
      </c>
      <c r="C62" s="477" t="inlineStr">
        <is>
          <t>Pour lancer ToutRafraichir, ValiderFiliales ou ExporterPDF</t>
        </is>
      </c>
      <c r="D62" s="497" t="inlineStr">
        <is>
          <t>Sélectionner la macro voulue → cliquer Exécuter.</t>
        </is>
      </c>
    </row>
    <row r="63" ht="30" customHeight="1" s="500">
      <c r="A63" s="475" t="inlineStr">
        <is>
          <t>Alt + F11</t>
        </is>
      </c>
      <c r="B63" s="313" t="inlineStr">
        <is>
          <t>Ouvrir l'éditeur de code VBA</t>
        </is>
      </c>
      <c r="C63" s="468" t="inlineStr">
        <is>
          <t>Pour consulter ou modifier le code macro</t>
        </is>
      </c>
      <c r="D63" s="498" t="inlineStr">
        <is>
          <t>Ne modifier le code que si vous maîtrisez VBA. Sinon : lecture seule.</t>
        </is>
      </c>
    </row>
    <row r="64" ht="30" customHeight="1" s="500">
      <c r="A64" s="475" t="inlineStr">
        <is>
          <t>Ctrl + Début / Fin</t>
        </is>
      </c>
      <c r="B64" s="476" t="inlineStr">
        <is>
          <t>Aller au début / à la fin de la zone de données</t>
        </is>
      </c>
      <c r="C64" s="477" t="inlineStr">
        <is>
          <t>Navigation rapide dans les grands tableaux (SRC_*, CONSOL_*)</t>
        </is>
      </c>
      <c r="D64" s="497" t="inlineStr">
        <is>
          <t>Ctrl+Maj+Fin sélectionne toute la plage de données.</t>
        </is>
      </c>
    </row>
    <row r="65" ht="30" customHeight="1" s="500">
      <c r="A65" s="475" t="inlineStr">
        <is>
          <t>Ctrl + clic onglet</t>
        </is>
      </c>
      <c r="B65" s="313" t="inlineStr">
        <is>
          <t>Sélectionner plusieurs onglets simultanément</t>
        </is>
      </c>
      <c r="C65" s="468" t="inlineStr">
        <is>
          <t>Pour imprimer ou exporter en PDF plusieurs onglets d'un coup</t>
        </is>
      </c>
      <c r="D65" s="498" t="inlineStr">
        <is>
          <t>Fichier → Imprimer → Tous les onglets sélectionnés.</t>
        </is>
      </c>
    </row>
    <row r="66" ht="30" customHeight="1" s="500">
      <c r="A66" s="475" t="inlineStr">
        <is>
          <t>F9</t>
        </is>
      </c>
      <c r="B66" s="476" t="inlineStr">
        <is>
          <t>Recalculer toutes les formules manuellement</t>
        </is>
      </c>
      <c r="C66" s="477" t="inlineStr">
        <is>
          <t>Si le mode de calcul est en « Manuel » (rare)</t>
        </is>
      </c>
      <c r="D66" s="497" t="inlineStr">
        <is>
          <t>Vérifier : Formules → Options de calcul → doit être sur « Automatique ».</t>
        </is>
      </c>
    </row>
    <row r="67" ht="30" customHeight="1" s="500">
      <c r="A67" s="475" t="inlineStr">
        <is>
          <t>Ctrl + Z</t>
        </is>
      </c>
      <c r="B67" s="313" t="inlineStr">
        <is>
          <t>Annuler la dernière action</t>
        </is>
      </c>
      <c r="C67" s="468" t="inlineStr">
        <is>
          <t>Après toute modification accidentelle</t>
        </is>
      </c>
      <c r="D67" s="498" t="inlineStr">
        <is>
          <t>⚠️ Annule aussi les modifications de formules. Sauvegarder avant tout test.</t>
        </is>
      </c>
    </row>
    <row r="68" ht="30" customHeight="1" s="500">
      <c r="A68" s="475" t="inlineStr">
        <is>
          <t>Ctrl + S</t>
        </is>
      </c>
      <c r="B68" s="476" t="inlineStr">
        <is>
          <t>Enregistrer le fichier</t>
        </is>
      </c>
      <c r="C68" s="477" t="inlineStr">
        <is>
          <t>Après chaque saisie importante</t>
        </is>
      </c>
      <c r="D68" s="497" t="inlineStr">
        <is>
          <t>Enregistrer régulièrement pour ne pas perdre les données saisies dans SRC_*.</t>
        </is>
      </c>
    </row>
    <row r="69" ht="30" customHeight="1" s="500">
      <c r="A69" s="475" t="inlineStr">
        <is>
          <t>HOME → bouton 🔄</t>
        </is>
      </c>
      <c r="B69" s="313" t="inlineStr">
        <is>
          <t>Lancer ToutRafraichir (PQ + recalcul + dashboards + log)</t>
        </is>
      </c>
      <c r="C69" s="468" t="inlineStr">
        <is>
          <t>À chaque fois que vous ajoutez ou modifiez des données</t>
        </is>
      </c>
      <c r="D69" s="498" t="inlineStr">
        <is>
          <t>Le bouton est en haut de l'onglet HOME, couleur orange.</t>
        </is>
      </c>
    </row>
    <row r="70" ht="12" customHeight="1" s="500"/>
    <row r="71" ht="36" customHeight="1" s="500">
      <c r="A71" s="499" t="inlineStr">
        <is>
          <t>🎓   Vous êtes maintenant prêt(e) à analyser des données financières consolidées IFRS 18 comme un analyste senior.   Bonne analyse !</t>
        </is>
      </c>
    </row>
    <row r="72" ht="18" customHeight="1" s="500"/>
    <row r="73" ht="18" customHeight="1" s="500"/>
    <row r="74" ht="18" customHeight="1" s="500"/>
    <row r="75" ht="18" customHeight="1" s="500"/>
    <row r="76" ht="18" customHeight="1" s="500"/>
    <row r="77" ht="18" customHeight="1" s="500"/>
    <row r="78" ht="18" customHeight="1" s="500"/>
    <row r="79" ht="18" customHeight="1" s="500"/>
    <row r="80" ht="18" customHeight="1" s="500"/>
    <row r="81" ht="18" customHeight="1" s="500"/>
    <row r="82" ht="18" customHeight="1" s="500"/>
    <row r="83" ht="18" customHeight="1" s="500"/>
    <row r="84" ht="18" customHeight="1" s="500"/>
    <row r="85" ht="18" customHeight="1" s="500"/>
    <row r="86" ht="18" customHeight="1" s="500"/>
    <row r="87" ht="18" customHeight="1" s="500"/>
    <row r="88" ht="18" customHeight="1" s="500"/>
    <row r="89" ht="18" customHeight="1" s="500"/>
    <row r="90" ht="18" customHeight="1" s="500"/>
    <row r="91" ht="18" customHeight="1" s="500"/>
    <row r="92" ht="18" customHeight="1" s="500"/>
    <row r="93" ht="18" customHeight="1" s="500"/>
    <row r="94" ht="18" customHeight="1" s="500"/>
    <row r="95" ht="18" customHeight="1" s="500"/>
    <row r="96" ht="18" customHeight="1" s="500"/>
    <row r="97" ht="18" customHeight="1" s="500"/>
    <row r="98" ht="18" customHeight="1" s="500"/>
    <row r="99" ht="18" customHeight="1" s="500"/>
    <row r="100" ht="18" customHeight="1" s="500"/>
    <row r="101" ht="18" customHeight="1" s="500"/>
    <row r="102" ht="18" customHeight="1" s="500"/>
    <row r="103" ht="18" customHeight="1" s="500"/>
    <row r="104" ht="18" customHeight="1" s="500"/>
    <row r="105" ht="18" customHeight="1" s="500"/>
    <row r="106" ht="18" customHeight="1" s="500"/>
    <row r="107" ht="18" customHeight="1" s="500"/>
    <row r="108" ht="18" customHeight="1" s="500"/>
    <row r="109" ht="18" customHeight="1" s="500"/>
    <row r="110" ht="18" customHeight="1" s="500"/>
    <row r="111" ht="18" customHeight="1" s="500"/>
    <row r="112" ht="18" customHeight="1" s="500"/>
    <row r="113" ht="18" customHeight="1" s="500"/>
    <row r="114" ht="18" customHeight="1" s="500"/>
    <row r="115" ht="18" customHeight="1" s="500"/>
    <row r="116" ht="18" customHeight="1" s="500"/>
    <row r="117" ht="18" customHeight="1" s="500"/>
    <row r="118" ht="18" customHeight="1" s="500"/>
    <row r="119" ht="18" customHeight="1" s="500"/>
    <row r="120" ht="18" customHeight="1" s="500"/>
    <row r="121" ht="18" customHeight="1" s="500"/>
    <row r="122" ht="18" customHeight="1" s="500"/>
    <row r="123" ht="18" customHeight="1" s="500"/>
    <row r="124" ht="18" customHeight="1" s="500"/>
    <row r="125" ht="18" customHeight="1" s="500"/>
    <row r="126" ht="18" customHeight="1" s="500"/>
    <row r="127" ht="18" customHeight="1" s="500"/>
    <row r="128" ht="18" customHeight="1" s="500"/>
    <row r="129" ht="18" customHeight="1" s="500"/>
    <row r="130" ht="18" customHeight="1" s="500"/>
    <row r="131" ht="18" customHeight="1" s="500"/>
    <row r="132" ht="18" customHeight="1" s="500"/>
    <row r="133" ht="18" customHeight="1" s="500"/>
    <row r="134" ht="18" customHeight="1" s="500"/>
    <row r="135" ht="18" customHeight="1" s="500"/>
    <row r="136" ht="18" customHeight="1" s="500"/>
    <row r="137" ht="18" customHeight="1" s="500"/>
    <row r="138" ht="18" customHeight="1" s="500"/>
    <row r="139" ht="18" customHeight="1" s="500"/>
    <row r="140" ht="18" customHeight="1" s="500"/>
    <row r="141" ht="18" customHeight="1" s="500"/>
    <row r="142" ht="18" customHeight="1" s="500"/>
    <row r="143" ht="18" customHeight="1" s="500"/>
    <row r="144" ht="18" customHeight="1" s="500"/>
    <row r="145" ht="18" customHeight="1" s="500"/>
    <row r="146" ht="18" customHeight="1" s="500"/>
    <row r="147" ht="18" customHeight="1" s="500"/>
    <row r="148" ht="18" customHeight="1" s="500"/>
    <row r="149" ht="18" customHeight="1" s="500"/>
    <row r="150" ht="18" customHeight="1" s="500"/>
    <row r="151" ht="18" customHeight="1" s="500"/>
    <row r="152" ht="18" customHeight="1" s="500"/>
    <row r="153" ht="18" customHeight="1" s="500"/>
    <row r="154" ht="18" customHeight="1" s="500"/>
    <row r="155" ht="18" customHeight="1" s="500"/>
    <row r="156" ht="18" customHeight="1" s="500"/>
    <row r="157" ht="18" customHeight="1" s="500"/>
    <row r="158" ht="18" customHeight="1" s="500"/>
    <row r="159" ht="18" customHeight="1" s="500"/>
    <row r="160" ht="18" customHeight="1" s="500"/>
    <row r="161" ht="18" customHeight="1" s="500"/>
    <row r="162" ht="18" customHeight="1" s="500"/>
    <row r="163" ht="18" customHeight="1" s="500"/>
    <row r="164" ht="18" customHeight="1" s="500"/>
    <row r="165" ht="18" customHeight="1" s="500"/>
    <row r="166" ht="18" customHeight="1" s="500"/>
    <row r="167" ht="18" customHeight="1" s="500"/>
    <row r="168" ht="18" customHeight="1" s="500"/>
    <row r="169" ht="18" customHeight="1" s="500"/>
    <row r="170" ht="18" customHeight="1" s="500"/>
    <row r="171" ht="18" customHeight="1" s="500"/>
    <row r="172" ht="18" customHeight="1" s="500"/>
    <row r="173" ht="18" customHeight="1" s="500"/>
    <row r="174" ht="18" customHeight="1" s="500"/>
    <row r="175" ht="18" customHeight="1" s="500"/>
    <row r="176" ht="18" customHeight="1" s="500"/>
    <row r="177" ht="18" customHeight="1" s="500"/>
    <row r="178" ht="18" customHeight="1" s="500"/>
    <row r="179" ht="18" customHeight="1" s="500"/>
    <row r="180" ht="18" customHeight="1" s="500"/>
    <row r="181" ht="18" customHeight="1" s="500"/>
    <row r="182" ht="18" customHeight="1" s="500"/>
    <row r="183" ht="18" customHeight="1" s="500"/>
    <row r="184" ht="18" customHeight="1" s="500"/>
    <row r="185" ht="18" customHeight="1" s="500"/>
    <row r="186" ht="18" customHeight="1" s="500"/>
    <row r="187" ht="18" customHeight="1" s="500"/>
    <row r="188" ht="18" customHeight="1" s="500"/>
    <row r="189" ht="18" customHeight="1" s="500"/>
    <row r="190" ht="18" customHeight="1" s="500"/>
    <row r="191" ht="18" customHeight="1" s="500"/>
    <row r="192" ht="18" customHeight="1" s="500"/>
    <row r="193" ht="18" customHeight="1" s="500"/>
    <row r="194" ht="18" customHeight="1" s="500"/>
    <row r="195" ht="18" customHeight="1" s="500"/>
    <row r="196" ht="18" customHeight="1" s="500"/>
    <row r="197" ht="18" customHeight="1" s="500"/>
    <row r="198" ht="18" customHeight="1" s="500"/>
    <row r="199" ht="18" customHeight="1" s="500"/>
    <row r="200" ht="18" customHeight="1" s="500"/>
  </sheetData>
  <mergeCells count="35">
    <mergeCell ref="D69:E69"/>
    <mergeCell ref="A34:E34"/>
    <mergeCell ref="D60:E60"/>
    <mergeCell ref="B54:C54"/>
    <mergeCell ref="D10:E10"/>
    <mergeCell ref="D63:E63"/>
    <mergeCell ref="A1:E1"/>
    <mergeCell ref="B56:C56"/>
    <mergeCell ref="D65:E65"/>
    <mergeCell ref="D6:E6"/>
    <mergeCell ref="B52:C52"/>
    <mergeCell ref="B48:C48"/>
    <mergeCell ref="D61:E61"/>
    <mergeCell ref="D66:E66"/>
    <mergeCell ref="B53:C53"/>
    <mergeCell ref="A21:E21"/>
    <mergeCell ref="D7:E7"/>
    <mergeCell ref="A2:E2"/>
    <mergeCell ref="A71:E71"/>
    <mergeCell ref="A47:E47"/>
    <mergeCell ref="D62:E62"/>
    <mergeCell ref="D9:E9"/>
    <mergeCell ref="B49:C49"/>
    <mergeCell ref="D8:E8"/>
    <mergeCell ref="B55:C55"/>
    <mergeCell ref="A4:E4"/>
    <mergeCell ref="D68:E68"/>
    <mergeCell ref="D64:E64"/>
    <mergeCell ref="B51:C51"/>
    <mergeCell ref="D67:E67"/>
    <mergeCell ref="D5:E5"/>
    <mergeCell ref="B50:C50"/>
    <mergeCell ref="A13:E13"/>
    <mergeCell ref="A58:E58"/>
    <mergeCell ref="D59:E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C3E50"/>
    <outlinePr summaryBelow="1" summaryRight="1"/>
    <pageSetUpPr/>
  </sheetPr>
  <dimension ref="A1:R60"/>
  <sheetViews>
    <sheetView workbookViewId="0">
      <selection activeCell="B29" sqref="B29"/>
    </sheetView>
  </sheetViews>
  <sheetFormatPr baseColWidth="10" defaultRowHeight="15"/>
  <cols>
    <col width="2.85546875" customWidth="1" style="500" min="1" max="1"/>
    <col width="41.85546875" customWidth="1" style="500" min="2" max="2"/>
    <col width="43" customWidth="1" style="500" min="3" max="3"/>
    <col width="47.140625" bestFit="1" customWidth="1" style="500" min="4" max="4"/>
    <col width="26" customWidth="1" style="500" min="5" max="5"/>
    <col width="11.28515625" customWidth="1" style="500" min="6" max="6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</row>
    <row r="2" ht="21" customHeight="1" s="500">
      <c r="A2" s="13" t="n"/>
      <c r="B2" s="514" t="inlineStr">
        <is>
          <t>📘  GUIDE UTILISATEUR – CONVENTIONS &amp; PÉDAGOGIE IFRS 18</t>
        </is>
      </c>
      <c r="Q2" s="13" t="n"/>
      <c r="R2" s="13" t="n"/>
    </row>
    <row r="3">
      <c r="A3" s="13" t="n"/>
      <c r="Q3" s="13" t="n"/>
      <c r="R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 ht="15.75" customHeight="1" s="500">
      <c r="A5" s="13" t="n"/>
      <c r="B5" s="515" t="inlineStr">
        <is>
          <t>1.  LÉGENDE DES COULEURS &amp; CONVENTIONS DE SAISIE</t>
        </is>
      </c>
      <c r="Q5" s="13" t="n"/>
      <c r="R5" s="13" t="n"/>
    </row>
    <row r="6">
      <c r="A6" s="13" t="n"/>
      <c r="B6" s="295" t="inlineStr">
        <is>
          <t>Couleur fond</t>
        </is>
      </c>
      <c r="C6" s="295" t="inlineStr">
        <is>
          <t>Usage</t>
        </is>
      </c>
      <c r="D6" s="295" t="inlineStr">
        <is>
          <t>Règle de saisie</t>
        </is>
      </c>
      <c r="E6" s="295" t="inlineStr">
        <is>
          <t>Exemple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>
      <c r="A7" s="13" t="n"/>
      <c r="B7" s="296" t="inlineStr">
        <is>
          <t>🟩 Vert clair (#D5E8D4)</t>
        </is>
      </c>
      <c r="C7" s="296" t="inlineStr">
        <is>
          <t>Cellules source saisie</t>
        </is>
      </c>
      <c r="D7" s="296" t="inlineStr">
        <is>
          <t>Données manuelles ou importées</t>
        </is>
      </c>
      <c r="E7" s="296" t="inlineStr">
        <is>
          <t>Chiffre d'affaires entité FR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>
      <c r="A8" s="13" t="n"/>
      <c r="B8" s="297" t="inlineStr">
        <is>
          <t>🔵 Bleu clair (#DAE8FC)</t>
        </is>
      </c>
      <c r="C8" s="297" t="inlineStr">
        <is>
          <t>Cellules de calcul</t>
        </is>
      </c>
      <c r="D8" s="297" t="inlineStr">
        <is>
          <t>NE PAS MODIFIER – formules auto</t>
        </is>
      </c>
      <c r="E8" s="297" t="inlineStr">
        <is>
          <t>Total consolidé agrégé</t>
        </is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>
      <c r="A9" s="13" t="n"/>
      <c r="B9" s="298" t="inlineStr">
        <is>
          <t>🟠 Orange (#FFE6CC)</t>
        </is>
      </c>
      <c r="C9" s="298" t="inlineStr">
        <is>
          <t>Dashboards KPIs</t>
        </is>
      </c>
      <c r="D9" s="298" t="inlineStr">
        <is>
          <t>Lecture seule – graphiques dyn.</t>
        </is>
      </c>
      <c r="E9" s="298" t="inlineStr">
        <is>
          <t>Marge EBITDA groupe</t>
        </is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13" t="n"/>
      <c r="B10" s="299" t="inlineStr">
        <is>
          <t>🟨 Jaune (#FFFF88)</t>
        </is>
      </c>
      <c r="C10" s="299" t="inlineStr">
        <is>
          <t>Hypothèses clés</t>
        </is>
      </c>
      <c r="D10" s="299" t="inlineStr">
        <is>
          <t>Paramètres sensibles – documenter</t>
        </is>
      </c>
      <c r="E10" s="299" t="inlineStr">
        <is>
          <t>Taux de change GBP/EUR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 ht="15.75" customHeight="1" s="500">
      <c r="A12" s="13" t="n"/>
      <c r="B12" s="516" t="inlineStr">
        <is>
          <t>2.  IFRS 18 – NOUVEAUTÉS (Application 2027, préparation 2025-2026)</t>
        </is>
      </c>
      <c r="Q12" s="13" t="n"/>
      <c r="R12" s="13" t="n"/>
    </row>
    <row r="13">
      <c r="A13" s="13" t="n"/>
      <c r="B13" s="535" t="inlineStr">
        <is>
          <t>Nouveauté IFRS 18</t>
        </is>
      </c>
      <c r="C13" s="535" t="inlineStr">
        <is>
          <t>Ancien (IAS 1)</t>
        </is>
      </c>
      <c r="D13" s="535" t="inlineStr">
        <is>
          <t>Nouveau traitement</t>
        </is>
      </c>
      <c r="E13" s="535" t="inlineStr">
        <is>
          <t>Impact consolidation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3" t="n"/>
      <c r="B14" s="300" t="inlineStr">
        <is>
          <t>5 catégories P&amp;L obligatoires</t>
        </is>
      </c>
      <c r="C14" s="300" t="inlineStr">
        <is>
          <t>Présentation libre</t>
        </is>
      </c>
      <c r="D14" s="300" t="inlineStr">
        <is>
          <t>Opérationnel / Invest. / Financement / Impôts / Discontinu</t>
        </is>
      </c>
      <c r="E14" s="300" t="inlineStr">
        <is>
          <t>Reclassement total requis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3" t="n"/>
      <c r="B15" s="301" t="inlineStr">
        <is>
          <t>Sous-totaux imposés</t>
        </is>
      </c>
      <c r="C15" s="301" t="inlineStr">
        <is>
          <t>Facultatifs</t>
        </is>
      </c>
      <c r="D15" s="301" t="inlineStr">
        <is>
          <t>Profit avant financement &amp; impôt obligatoire</t>
        </is>
      </c>
      <c r="E15" s="301" t="inlineStr">
        <is>
          <t>Nouveau KPI groupe clé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>
      <c r="A16" s="13" t="n"/>
      <c r="B16" s="300" t="inlineStr">
        <is>
          <t>Management Performance Measures</t>
        </is>
      </c>
      <c r="C16" s="300" t="inlineStr">
        <is>
          <t>Non encadrées</t>
        </is>
      </c>
      <c r="D16" s="300" t="inlineStr">
        <is>
          <t>Divulgation &amp; réconciliation obligatoires</t>
        </is>
      </c>
      <c r="E16" s="300" t="inlineStr">
        <is>
          <t>Notes annexes renforcées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>
      <c r="A17" s="13" t="n"/>
      <c r="B17" s="301" t="inlineStr">
        <is>
          <t>Résultat opérationnel isolé</t>
        </is>
      </c>
      <c r="C17" s="301" t="inlineStr">
        <is>
          <t>Résultat courant libre</t>
        </is>
      </c>
      <c r="D17" s="301" t="inlineStr">
        <is>
          <t>Charges/produits non opérationnels exclus</t>
        </is>
      </c>
      <c r="E17" s="301" t="inlineStr">
        <is>
          <t>Séparation stricte analytique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>
      <c r="A18" s="13" t="n"/>
      <c r="B18" s="300" t="inlineStr">
        <is>
          <t>Investissement (Investing)</t>
        </is>
      </c>
      <c r="C18" s="300" t="inlineStr">
        <is>
          <t>Intégré résultat global</t>
        </is>
      </c>
      <c r="D18" s="300" t="inlineStr">
        <is>
          <t>Produits d'actifs non opérationnels isolés</t>
        </is>
      </c>
      <c r="E18" s="300" t="inlineStr">
        <is>
          <t>Isolation des flux invest.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 ht="15.75" customHeight="1" s="500">
      <c r="A20" s="13" t="n"/>
      <c r="B20" s="515" t="inlineStr">
        <is>
          <t>3.  ESG / CSRD – CADRE RÉGLEMENTAIRE &amp; ESRS</t>
        </is>
      </c>
      <c r="Q20" s="13" t="n"/>
      <c r="R20" s="13" t="n"/>
    </row>
    <row r="21">
      <c r="A21" s="13" t="n"/>
      <c r="B21" s="525" t="inlineStr">
        <is>
          <t>Pilier CSRD/ESRS</t>
        </is>
      </c>
      <c r="C21" s="525" t="inlineStr">
        <is>
          <t>Standards applicables</t>
        </is>
      </c>
      <c r="D21" s="525" t="inlineStr">
        <is>
          <t>Indicateurs couverts dans ce fichier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>
      <c r="A22" s="13" t="n"/>
      <c r="B22" s="296" t="inlineStr">
        <is>
          <t>E – Environnement</t>
        </is>
      </c>
      <c r="C22" s="296" t="inlineStr">
        <is>
          <t>ESRS E1 (Climat), E2 (Pollution), E4 (Biodiv.)</t>
        </is>
      </c>
      <c r="D22" s="296" t="inlineStr">
        <is>
          <t>CO₂ scope 1-2-3, énergie renouvelable, déchets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>
      <c r="A23" s="13" t="n"/>
      <c r="B23" s="301" t="inlineStr">
        <is>
          <t>S – Social</t>
        </is>
      </c>
      <c r="C23" s="301" t="inlineStr">
        <is>
          <t>ESRS S1 (Employés), S2 (Chaîne val.)</t>
        </is>
      </c>
      <c r="D23" s="301" t="inlineStr">
        <is>
          <t>Effectifs, parité H/F, accidents, formation</t>
        </is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13" t="n"/>
      <c r="B24" s="296" t="inlineStr">
        <is>
          <t>G – Gouvernance</t>
        </is>
      </c>
      <c r="C24" s="296" t="inlineStr">
        <is>
          <t>ESRS G1 (Éthique, conduite affaires)</t>
        </is>
      </c>
      <c r="D24" s="296" t="inlineStr">
        <is>
          <t>Diversité CA, politique anti-corruption, alertes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>
      <c r="A25" s="13" t="n"/>
      <c r="B25" s="301" t="inlineStr">
        <is>
          <t>CSRD Scope</t>
        </is>
      </c>
      <c r="C25" s="301" t="inlineStr">
        <is>
          <t>Entreprises &gt; 500 salariés ou cotées</t>
        </is>
      </c>
      <c r="D25" s="301" t="inlineStr">
        <is>
          <t>Rapport de durabilité obligatoire dès 2025</t>
        </is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 ht="15.75" customHeight="1" s="500">
      <c r="A27" s="13" t="n"/>
      <c r="B27" s="517" t="inlineStr">
        <is>
          <t>4.  WORKFLOW DE CONSOLIDATION – ORDRE DE SAISIE RECOMMANDÉ</t>
        </is>
      </c>
      <c r="Q27" s="13" t="n"/>
      <c r="R27" s="13" t="n"/>
    </row>
    <row r="28">
      <c r="A28" s="13" t="n"/>
      <c r="B28" s="536" t="inlineStr">
        <is>
          <t>Étape</t>
        </is>
      </c>
      <c r="C28" s="536" t="inlineStr">
        <is>
          <t>Onglet(s)</t>
        </is>
      </c>
      <c r="D28" s="536" t="inlineStr">
        <is>
          <t>Action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>
      <c r="A29" s="13" t="n"/>
      <c r="B29" s="298" t="inlineStr">
        <is>
          <t>① Paramétrer les taux de change</t>
        </is>
      </c>
      <c r="C29" s="298" t="inlineStr">
        <is>
          <t>FR_ParentCo (zone paramètres)</t>
        </is>
      </c>
      <c r="D29" s="298" t="inlineStr">
        <is>
          <t>Saisir les taux de clôture et moyens par devise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>
      <c r="A30" s="13" t="n"/>
      <c r="B30" s="301" t="inlineStr">
        <is>
          <t>② Saisir les liasses locales</t>
        </is>
      </c>
      <c r="C30" s="301" t="inlineStr">
        <is>
          <t>FR / DE / UK / US / SG</t>
        </is>
      </c>
      <c r="D30" s="301" t="inlineStr">
        <is>
          <t>Importer ou saisir balances par entité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>
      <c r="A31" s="13" t="n"/>
      <c r="B31" s="298" t="inlineStr">
        <is>
          <t>③ Contrôler les flux intercos</t>
        </is>
      </c>
      <c r="C31" s="298" t="inlineStr">
        <is>
          <t>ELIM</t>
        </is>
      </c>
      <c r="D31" s="298" t="inlineStr">
        <is>
          <t>Vérifier et valider les éliminations automatiques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>
      <c r="A32" s="13" t="n"/>
      <c r="B32" s="301" t="inlineStr">
        <is>
          <t>④ Vérifier la consolidation</t>
        </is>
      </c>
      <c r="C32" s="301" t="inlineStr">
        <is>
          <t>CONSOL_BILAN / CONSOL_CR</t>
        </is>
      </c>
      <c r="D32" s="301" t="inlineStr">
        <is>
          <t>Contrôler la balance des états financiers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  <row r="33">
      <c r="A33" s="13" t="n"/>
      <c r="B33" s="298" t="inlineStr">
        <is>
          <t>⑤ Compléter le mapping IFRS 18</t>
        </is>
      </c>
      <c r="C33" s="298" t="inlineStr">
        <is>
          <t>IFRS18_MAPPING</t>
        </is>
      </c>
      <c r="D33" s="298" t="inlineStr">
        <is>
          <t>Reclasser les postes selon les 5 catégories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</row>
    <row r="34">
      <c r="A34" s="13" t="n"/>
      <c r="B34" s="301" t="inlineStr">
        <is>
          <t>⑥ Saisir les données ESG</t>
        </is>
      </c>
      <c r="C34" s="301" t="inlineStr">
        <is>
          <t>ESG_DATA</t>
        </is>
      </c>
      <c r="D34" s="301" t="inlineStr">
        <is>
          <t>Renseigner les KPIs environnementaux, sociaux, gouvernance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</row>
    <row r="35">
      <c r="A35" s="13" t="n"/>
      <c r="B35" s="298" t="inlineStr">
        <is>
          <t>⑦ Analyser les dashboards</t>
        </is>
      </c>
      <c r="C35" s="298" t="inlineStr">
        <is>
          <t>DASHBOARD_FIN / DASHBOARD_ESG</t>
        </is>
      </c>
      <c r="D35" s="298" t="inlineStr">
        <is>
          <t>Lire les indicateurs et partager le rapport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</row>
  </sheetData>
  <mergeCells count="5">
    <mergeCell ref="B20:P20"/>
    <mergeCell ref="B2:P3"/>
    <mergeCell ref="B5:P5"/>
    <mergeCell ref="B27:P27"/>
    <mergeCell ref="B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500" min="1" max="1"/>
    <col width="28" customWidth="1" style="500" min="2" max="2"/>
    <col width="50" customWidth="1" style="500" min="3" max="3"/>
    <col width="48" customWidth="1" style="500" min="4" max="4"/>
    <col width="42" customWidth="1" style="500" min="5" max="5"/>
  </cols>
  <sheetData>
    <row r="1" ht="24" customHeight="1" s="500">
      <c r="A1" s="975" t="inlineStr">
        <is>
          <t>MODE OPÉRATOIRE – POWER QUERY + DAX (adapté à ce classeur)</t>
        </is>
      </c>
    </row>
    <row r="2" ht="36" customHeight="1" s="500">
      <c r="A2" s="976" t="inlineStr">
        <is>
          <t>But : charger automatiquement les balances, les mapper IFRS 18, les consolider, puis créer les mesures DAX utiles au reporting.</t>
        </is>
      </c>
    </row>
    <row r="3"/>
    <row r="4" ht="22" customHeight="1" s="500">
      <c r="A4" s="977" t="inlineStr">
        <is>
          <t>0. PRÉREQUIS TECHNIQUES</t>
        </is>
      </c>
      <c r="B4" s="978" t="n"/>
      <c r="C4" s="978" t="n"/>
      <c r="D4" s="978" t="n"/>
      <c r="E4" s="978" t="n"/>
    </row>
    <row r="5" ht="24" customHeight="1" s="500">
      <c r="A5" s="979" t="inlineStr">
        <is>
          <t>Étape</t>
        </is>
      </c>
      <c r="B5" s="979" t="inlineStr">
        <is>
          <t>Onglet / outil</t>
        </is>
      </c>
      <c r="C5" s="979" t="inlineStr">
        <is>
          <t>Ce qu'il faut faire</t>
        </is>
      </c>
      <c r="D5" s="979" t="inlineStr">
        <is>
          <t>Pourquoi on le fait</t>
        </is>
      </c>
      <c r="E5" s="979" t="inlineStr">
        <is>
          <t>Point de contrôle / piège</t>
        </is>
      </c>
    </row>
    <row r="6" ht="48" customHeight="1" s="500">
      <c r="A6" s="980" t="inlineStr">
        <is>
          <t>0.1</t>
        </is>
      </c>
      <c r="B6" s="981" t="inlineStr">
        <is>
          <t>Excel desktop</t>
        </is>
      </c>
      <c r="C6" s="981" t="inlineStr">
        <is>
          <t>Utiliser Excel de bureau. Vérifier que l'onglet Données &gt; Obtenir des données existe.</t>
        </is>
      </c>
      <c r="D6" s="981" t="inlineStr">
        <is>
          <t>Power Query sert à l'ETL (importer, nettoyer, combiner, charger) ; Power Pivot sert ensuite à modéliser et calculer les mesures DAX.</t>
        </is>
      </c>
      <c r="E6" s="981" t="inlineStr">
        <is>
          <t>Si l'interface est très limitée, tu n'es peut-être pas sur la bonne édition / plateforme.</t>
        </is>
      </c>
    </row>
    <row r="7" ht="48" customHeight="1" s="500">
      <c r="A7" s="980" t="inlineStr">
        <is>
          <t>0.2</t>
        </is>
      </c>
      <c r="B7" s="981" t="inlineStr">
        <is>
          <t>Fichier &gt; Options &gt; Compléments</t>
        </is>
      </c>
      <c r="C7" s="981" t="inlineStr">
        <is>
          <t>Activer Power Pivot si l'onglet n'apparaît pas : Fichier &gt; Options &gt; Compléments &gt; Compléments COM &gt; cocher Microsoft Office Power Pivot.</t>
        </is>
      </c>
      <c r="D7" s="981" t="inlineStr">
        <is>
          <t>Sans Power Pivot, tu ne peux pas créer les mesures DAX dans le modèle de données.</t>
        </is>
      </c>
      <c r="E7" s="981" t="inlineStr">
        <is>
          <t>Important : les mesures du classeur sont prévues pour Power Pivot / Modèle de données, pas pour de simples formules Excel.</t>
        </is>
      </c>
    </row>
    <row r="8" ht="48" customHeight="1" s="500">
      <c r="A8" s="980" t="inlineStr">
        <is>
          <t>0.3</t>
        </is>
      </c>
      <c r="B8" s="981" t="inlineStr">
        <is>
          <t>Environnement</t>
        </is>
      </c>
      <c r="C8" s="981" t="inlineStr">
        <is>
          <t>Travailler idéalement sur une copie du fichier. Conserver les CSV sources dans un dossier stable.</t>
        </is>
      </c>
      <c r="D8" s="981" t="inlineStr">
        <is>
          <t>Le code M pointe vers un dossier ; si le chemin change, les requêtes cassent.</t>
        </is>
      </c>
      <c r="E8" s="981" t="inlineStr">
        <is>
          <t>Éviter OneDrive/partages non synchronisés au début pour limiter les erreurs de chemin.</t>
        </is>
      </c>
    </row>
    <row r="9" ht="22" customHeight="1" s="500">
      <c r="A9" s="977" t="inlineStr">
        <is>
          <t>1. METTRE EN PLACE LA PARTIE POWER QUERY</t>
        </is>
      </c>
      <c r="B9" s="978" t="n"/>
      <c r="C9" s="978" t="n"/>
      <c r="D9" s="978" t="n"/>
      <c r="E9" s="978" t="n"/>
    </row>
    <row r="10" ht="24" customHeight="1" s="500">
      <c r="A10" s="979" t="inlineStr">
        <is>
          <t>Étape</t>
        </is>
      </c>
      <c r="B10" s="979" t="inlineStr">
        <is>
          <t>Onglet / outil</t>
        </is>
      </c>
      <c r="C10" s="979" t="inlineStr">
        <is>
          <t>Ce qu'il faut faire</t>
        </is>
      </c>
      <c r="D10" s="979" t="inlineStr">
        <is>
          <t>Pourquoi on le fait</t>
        </is>
      </c>
      <c r="E10" s="979" t="inlineStr">
        <is>
          <t>Point de contrôle / piège</t>
        </is>
      </c>
    </row>
    <row r="11" ht="48" customHeight="1" s="500">
      <c r="A11" s="980" t="inlineStr">
        <is>
          <t>1.1</t>
        </is>
      </c>
      <c r="B11" s="981" t="inlineStr">
        <is>
          <t>PQ_MAPPING</t>
        </is>
      </c>
      <c r="C11" s="981" t="inlineStr">
        <is>
          <t>Le tableau de correspondance doit être nommé PQ_MAPPING_TABLE. Je l'ai ajouté dans cette copie du fichier.</t>
        </is>
      </c>
      <c r="D11" s="981" t="inlineStr">
        <is>
          <t>Le code M lit ce nom de table pour faire le mapping automatique du plan comptable local vers les postes IFRS 18.</t>
        </is>
      </c>
      <c r="E11" s="981" t="inlineStr">
        <is>
          <t>Si le nom n'est pas exact, la requête échoue à l'étape Excel.CurrentWorkbook().</t>
        </is>
      </c>
    </row>
    <row r="12" ht="48" customHeight="1" s="500">
      <c r="A12" s="980" t="inlineStr">
        <is>
          <t>1.2</t>
        </is>
      </c>
      <c r="B12" s="981" t="inlineStr">
        <is>
          <t>SRC_FR à SRC_SG</t>
        </is>
      </c>
      <c r="C12" s="981" t="inlineStr">
        <is>
          <t>Exporter chaque onglet source en CSV UTF-8 (un fichier par entité) dans un dossier Sources : SRC_FR.csv, SRC_DE.csv, SRC_UK.csv, SRC_US.csv, SRC_SG.csv.</t>
        </is>
      </c>
      <c r="D12" s="981" t="inlineStr">
        <is>
          <t>Power Query lira tous les fichiers du dossier et appliquera la même logique de transformation à chaque entité.</t>
        </is>
      </c>
      <c r="E12" s="981" t="inlineStr">
        <is>
          <t>Les en-têtes de colonnes doivent rester cohérents : CodeCompte, Libellé, Montant, Devise, Mois, Entité, TypeFlux, CatIFRS18.</t>
        </is>
      </c>
    </row>
    <row r="13" ht="48" customHeight="1" s="500">
      <c r="A13" s="980" t="inlineStr">
        <is>
          <t>1.3</t>
        </is>
      </c>
      <c r="B13" s="981" t="inlineStr">
        <is>
          <t>PQ_CODE</t>
        </is>
      </c>
      <c r="C13" s="981" t="inlineStr">
        <is>
          <t>Créer une requête vide &gt; Éditeur avancé &gt; coller la REQUÊTE 1 « Consolidation_FromFolder ». Modifier uniquement FolderPath.</t>
        </is>
      </c>
      <c r="D13" s="981" t="inlineStr">
        <is>
          <t>Cette requête est le moteur principal : connexion au dossier, lecture des fichiers, typage, conversion EUR, jointure mapping, marquage interco, exercice et trimestre.</t>
        </is>
      </c>
      <c r="E13" s="981" t="inlineStr">
        <is>
          <t>Ne pas modifier la logique si tu n'en as pas besoin. Commence par faire marcher le flux de base.</t>
        </is>
      </c>
    </row>
    <row r="14" ht="48" customHeight="1" s="500">
      <c r="A14" s="980" t="inlineStr">
        <is>
          <t>1.4</t>
        </is>
      </c>
      <c r="B14" s="981" t="inlineStr">
        <is>
          <t>PQ_CODE</t>
        </is>
      </c>
      <c r="C14" s="981" t="inlineStr">
        <is>
          <t>Créer ensuite 2 requêtes vides supplémentaires et coller : REQUÊTE 2 « MappingPlanComptable » puis REQUÊTE 3 « Balances_ParEntité ».</t>
        </is>
      </c>
      <c r="D14" s="981" t="inlineStr">
        <is>
          <t>La requête 2 sécurise la table de mapping (types + dédoublonnage). La requête 3 prépare une vue agrégée propre pour l'analyse consolidée.</t>
        </is>
      </c>
      <c r="E14" s="981" t="inlineStr">
        <is>
          <t>Nommer exactement les requêtes comme dans le guide pour éviter les références cassées.</t>
        </is>
      </c>
    </row>
    <row r="15" ht="48" customHeight="1" s="500">
      <c r="A15" s="980" t="inlineStr">
        <is>
          <t>1.5</t>
        </is>
      </c>
      <c r="B15" s="981" t="inlineStr">
        <is>
          <t>BALANCES_PQ</t>
        </is>
      </c>
      <c r="C15" s="981" t="inlineStr">
        <is>
          <t>Dans Power Query : Fermer et charger dans… &gt; Tableau &gt; feuille BALANCES_PQ. Option recommandée : créer aussi la connexion / modèle de données si tu veux enchaîner avec DAX.</t>
        </is>
      </c>
      <c r="D15" s="981" t="inlineStr">
        <is>
          <t>BALANCES_PQ devient la table pivot du reporting : elle centralise les montants convertis, le mapping IFRS 18 et le flag interco.</t>
        </is>
      </c>
      <c r="E15" s="981" t="inlineStr">
        <is>
          <t>Après chargement, la table doit contenir au minimum : Exercice, Trimestre, Mois, EntitéNormalisée, CodeCompte, TypeFlux, CatIFRS18_Finale, MontantEUR, EstIC.</t>
        </is>
      </c>
    </row>
    <row r="16" ht="48" customHeight="1" s="500">
      <c r="A16" s="980" t="inlineStr">
        <is>
          <t>1.6</t>
        </is>
      </c>
      <c r="B16" s="981" t="inlineStr">
        <is>
          <t>PQ_M_AVANCE</t>
        </is>
      </c>
      <c r="C16" s="981" t="inlineStr">
        <is>
          <t>Ajouter ensuite, si besoin, les requêtes avancées (CR_IFRS18_Consolidé, bilan, cash flow, éliminations automatiques).</t>
        </is>
      </c>
      <c r="D16" s="981" t="inlineStr">
        <is>
          <t>On sépare volontairement le flux en 2 temps : d'abord la donnée consolidée propre, ensuite les vues de restitution spécialisées.</t>
        </is>
      </c>
      <c r="E16" s="981" t="inlineStr">
        <is>
          <t>Ne saute pas cette hiérarchie : si la table centrale n'est pas propre, toutes les vues aval seront fausses.</t>
        </is>
      </c>
    </row>
    <row r="17" ht="48" customHeight="1" s="500">
      <c r="A17" s="980" t="inlineStr">
        <is>
          <t>1.7</t>
        </is>
      </c>
      <c r="B17" s="981" t="inlineStr">
        <is>
          <t>Données &gt; Actualiser tout</t>
        </is>
      </c>
      <c r="C17" s="981" t="inlineStr">
        <is>
          <t>Rafraîchir après toute modification de taux, mapping, fichiers CSV ou logique M.</t>
        </is>
      </c>
      <c r="D17" s="981" t="inlineStr">
        <is>
          <t>Power Query rejoue toutes les étapes automatiquement lors du refresh.</t>
        </is>
      </c>
      <c r="E17" s="981" t="inlineStr">
        <is>
          <t>Si rien ne bouge après une modification, le problème est souvent un oubli d'actualisation.</t>
        </is>
      </c>
    </row>
    <row r="18" ht="22" customHeight="1" s="500">
      <c r="A18" s="977" t="inlineStr">
        <is>
          <t>2. PRÉPARER LE MODÈLE DE DONNÉES POUR DAX</t>
        </is>
      </c>
      <c r="B18" s="978" t="n"/>
      <c r="C18" s="978" t="n"/>
      <c r="D18" s="978" t="n"/>
      <c r="E18" s="978" t="n"/>
    </row>
    <row r="19" ht="24" customHeight="1" s="500">
      <c r="A19" s="979" t="inlineStr">
        <is>
          <t>Étape</t>
        </is>
      </c>
      <c r="B19" s="979" t="inlineStr">
        <is>
          <t>Onglet / outil</t>
        </is>
      </c>
      <c r="C19" s="979" t="inlineStr">
        <is>
          <t>Ce qu'il faut faire</t>
        </is>
      </c>
      <c r="D19" s="979" t="inlineStr">
        <is>
          <t>Pourquoi on le fait</t>
        </is>
      </c>
      <c r="E19" s="979" t="inlineStr">
        <is>
          <t>Point de contrôle / piège</t>
        </is>
      </c>
    </row>
    <row r="20" ht="48" customHeight="1" s="500">
      <c r="A20" s="980" t="inlineStr">
        <is>
          <t>2.1</t>
        </is>
      </c>
      <c r="B20" s="981" t="inlineStr">
        <is>
          <t>Power Pivot / Modèle de données</t>
        </is>
      </c>
      <c r="C20" s="981" t="inlineStr">
        <is>
          <t>Ajouter la table issue de BALANCES_PQ au modèle de données (via Chargement Power Query ou Ajouter au modèle).</t>
        </is>
      </c>
      <c r="D20" s="981" t="inlineStr">
        <is>
          <t>DAX ne calcule pas sur une simple plage de cellules ; il calcule sur des tables du modèle avec contexte de filtre.</t>
        </is>
      </c>
      <c r="E20" s="981" t="inlineStr">
        <is>
          <t>Le nom de table attendu par les mesures est « Balances_PQ ».</t>
        </is>
      </c>
    </row>
    <row r="21" ht="48" customHeight="1" s="500">
      <c r="A21" s="980" t="inlineStr">
        <is>
          <t>2.2</t>
        </is>
      </c>
      <c r="B21" s="981" t="inlineStr">
        <is>
          <t>Calendrier</t>
        </is>
      </c>
      <c r="C21" s="981" t="inlineStr">
        <is>
          <t>Créer une table Calendrier avec au minimum une colonne Date continue couvrant l'exercice, puis relier Calendrier[Date] à la date de fait pertinente (ou à une vraie colonne date dérivée du mois).</t>
        </is>
      </c>
      <c r="D21" s="981" t="inlineStr">
        <is>
          <t>Les mesures YOY / YTD du classeur utilisent SAMEPERIODLASTYEAR et DATESYTD : sans table de dates, elles ne fonctionnent pas correctement.</t>
        </is>
      </c>
      <c r="E21" s="981" t="inlineStr">
        <is>
          <t>Important : le fichier actuel contient Mois et Trimestre, mais pas une vraie date journalière prête pour l'intelligence temporelle.</t>
        </is>
      </c>
    </row>
    <row r="22" ht="48" customHeight="1" s="500">
      <c r="A22" s="980" t="inlineStr">
        <is>
          <t>2.3</t>
        </is>
      </c>
      <c r="B22" s="981" t="inlineStr">
        <is>
          <t>Relations</t>
        </is>
      </c>
      <c r="C22" s="981" t="inlineStr">
        <is>
          <t>Vérifier les relations si tu ajoutes d'autres tables (ex. CONSOL_BILAN, ESG, calendrier).</t>
        </is>
      </c>
      <c r="D22" s="981" t="inlineStr">
        <is>
          <t>Le contexte de filtre DAX dépend des relations ; sans elles, les mesures renvoient des chiffres incomplets ou incohérents.</t>
        </is>
      </c>
      <c r="E22" s="981" t="inlineStr">
        <is>
          <t>Une relation mal orientée peut donner des doublons ou des totaux faux.</t>
        </is>
      </c>
    </row>
    <row r="23" ht="22" customHeight="1" s="500">
      <c r="A23" s="977" t="inlineStr">
        <is>
          <t>3. CRÉER LES MESURES DAX FINANCIÈRES</t>
        </is>
      </c>
      <c r="B23" s="978" t="n"/>
      <c r="C23" s="978" t="n"/>
      <c r="D23" s="978" t="n"/>
      <c r="E23" s="978" t="n"/>
    </row>
    <row r="24" ht="24" customHeight="1" s="500">
      <c r="A24" s="979" t="inlineStr">
        <is>
          <t>Étape</t>
        </is>
      </c>
      <c r="B24" s="979" t="inlineStr">
        <is>
          <t>Onglet / outil</t>
        </is>
      </c>
      <c r="C24" s="979" t="inlineStr">
        <is>
          <t>Ce qu'il faut faire</t>
        </is>
      </c>
      <c r="D24" s="979" t="inlineStr">
        <is>
          <t>Pourquoi on le fait</t>
        </is>
      </c>
      <c r="E24" s="979" t="inlineStr">
        <is>
          <t>Point de contrôle / piège</t>
        </is>
      </c>
    </row>
    <row r="25" ht="48" customHeight="1" s="500">
      <c r="A25" s="980" t="inlineStr">
        <is>
          <t>3.1</t>
        </is>
      </c>
      <c r="B25" s="981" t="inlineStr">
        <is>
          <t>PQ_DAX_MESURES</t>
        </is>
      </c>
      <c r="C25" s="981" t="inlineStr">
        <is>
          <t>Commencer par le Groupe A (mesures de base) : [M_CA_Groupe], [M_EBIT], [M_EBITDA], [M_RésInvest], [M_ProfitAvtFinImpôt], [M_RésFin], [M_ChargeIS], [M_RésNetConsolidé].</t>
        </is>
      </c>
      <c r="D25" s="981" t="inlineStr">
        <is>
          <t>Ce sont les briques fondatrices ; toutes les marges et ratios en dépendent.</t>
        </is>
      </c>
      <c r="E25" s="981" t="inlineStr">
        <is>
          <t>Créer les mesures dans l'ordre, car certaines en appellent d'autres.</t>
        </is>
      </c>
    </row>
    <row r="26" ht="48" customHeight="1" s="500">
      <c r="A26" s="980" t="inlineStr">
        <is>
          <t>3.2</t>
        </is>
      </c>
      <c r="B26" s="981" t="inlineStr">
        <is>
          <t>PQ_DAX_MESURES</t>
        </is>
      </c>
      <c r="C26" s="981" t="inlineStr">
        <is>
          <t>Créer ensuite le Groupe B (marges / ratios) puis le Groupe E (éliminations) et F (cash flow) seulement après validation des mesures de base.</t>
        </is>
      </c>
      <c r="D26" s="981" t="inlineStr">
        <is>
          <t>On évite d'empiler des calculs sur une base non testée.</t>
        </is>
      </c>
      <c r="E26" s="981" t="inlineStr">
        <is>
          <t>Test simple : un TCD par CatIFRS18_Finale doit réconcilier les mesures avec les montants de BALANCES_PQ.</t>
        </is>
      </c>
    </row>
    <row r="27" ht="48" customHeight="1" s="500">
      <c r="A27" s="980" t="inlineStr">
        <is>
          <t>3.3</t>
        </is>
      </c>
      <c r="B27" s="981" t="inlineStr">
        <is>
          <t>PQ_DAX_MESURES</t>
        </is>
      </c>
      <c r="C27" s="981" t="inlineStr">
        <is>
          <t>Créer enfin le Groupe G (YOY / YTD) quand la table Calendrier est prête.</t>
        </is>
      </c>
      <c r="D27" s="981" t="inlineStr">
        <is>
          <t>Les fonctions temporelles ont besoin d'un modèle de dates propre.</t>
        </is>
      </c>
      <c r="E27" s="981" t="inlineStr">
        <is>
          <t>Sans calendrier marqué comme table de dates, les résultats peuvent être vides ou faux.</t>
        </is>
      </c>
    </row>
    <row r="28" ht="48" customHeight="1" s="500">
      <c r="A28" s="980" t="inlineStr">
        <is>
          <t>3.4</t>
        </is>
      </c>
      <c r="B28" s="981" t="inlineStr">
        <is>
          <t>PQ_DAX_MESURES</t>
        </is>
      </c>
      <c r="C28" s="981" t="inlineStr">
        <is>
          <t>Les colonnes calculées [C_*] servent à enrichir les libellés ou normaliser les signes quand c'est utile pour les visuels.</t>
        </is>
      </c>
      <c r="D28" s="981" t="inlineStr">
        <is>
          <t>On met en colonne ce qui dépend de la ligne ; on garde en mesure ce qui doit rester agrégé dynamiquement selon les filtres.</t>
        </is>
      </c>
      <c r="E28" s="981" t="inlineStr">
        <is>
          <t>Règle pratique : si le calcul doit changer selon un segment / filtre, préfère une mesure.</t>
        </is>
      </c>
    </row>
    <row r="29" ht="22" customHeight="1" s="500">
      <c r="A29" s="977" t="inlineStr">
        <is>
          <t>4. CONTRÔLES LOGIQUES À FAIRE AVANT DE CONCLURE</t>
        </is>
      </c>
      <c r="B29" s="978" t="n"/>
      <c r="C29" s="978" t="n"/>
      <c r="D29" s="978" t="n"/>
      <c r="E29" s="978" t="n"/>
    </row>
    <row r="30" ht="24" customHeight="1" s="500">
      <c r="A30" s="979" t="inlineStr">
        <is>
          <t>Étape</t>
        </is>
      </c>
      <c r="B30" s="979" t="inlineStr">
        <is>
          <t>Onglet / outil</t>
        </is>
      </c>
      <c r="C30" s="979" t="inlineStr">
        <is>
          <t>Ce qu'il faut faire</t>
        </is>
      </c>
      <c r="D30" s="979" t="inlineStr">
        <is>
          <t>Pourquoi on le fait</t>
        </is>
      </c>
      <c r="E30" s="979" t="inlineStr">
        <is>
          <t>Point de contrôle / piège</t>
        </is>
      </c>
    </row>
    <row r="31" ht="48" customHeight="1" s="500">
      <c r="A31" s="980" t="inlineStr">
        <is>
          <t>4.1</t>
        </is>
      </c>
      <c r="B31" s="981" t="inlineStr">
        <is>
          <t>Contrôle interco</t>
        </is>
      </c>
      <c r="C31" s="981" t="inlineStr">
        <is>
          <t>Comparer les flux marqués EstIC = TRUE() avec les onglets PQ_ELIMINATIONS / ELIM.</t>
        </is>
      </c>
      <c r="D31" s="981" t="inlineStr">
        <is>
          <t>Le but du flag interco est d'exclure du publié ce qui ne doit pas apparaître dans les comptes consolidés.</t>
        </is>
      </c>
      <c r="E31" s="981" t="inlineStr">
        <is>
          <t>Si le CA consolidé paraît trop élevé, vérifier d'abord les lignes interco.</t>
        </is>
      </c>
    </row>
    <row r="32" ht="48" customHeight="1" s="500">
      <c r="A32" s="980" t="inlineStr">
        <is>
          <t>4.2</t>
        </is>
      </c>
      <c r="B32" s="981" t="inlineStr">
        <is>
          <t>Contrôle IFRS 18</t>
        </is>
      </c>
      <c r="C32" s="981" t="inlineStr">
        <is>
          <t>Tester que les lignes opérationnelles tombent bien en ①, investissement en ②, financement en ③, impôts en ④.</t>
        </is>
      </c>
      <c r="D32" s="981" t="inlineStr">
        <is>
          <t>Le mapping IFRS 18 est la logique de présentation. S'il est faux, les sous-totaux obligatoires seront faux.</t>
        </is>
      </c>
      <c r="E32" s="981" t="inlineStr">
        <is>
          <t>Le meilleur point de contrôle est un TCD par CatIFRS18_Finale + PosteGroupeIFRS18.</t>
        </is>
      </c>
    </row>
    <row r="33" ht="48" customHeight="1" s="500">
      <c r="A33" s="980" t="inlineStr">
        <is>
          <t>4.3</t>
        </is>
      </c>
      <c r="B33" s="981" t="inlineStr">
        <is>
          <t>Contrôle devise</t>
        </is>
      </c>
      <c r="C33" s="981" t="inlineStr">
        <is>
          <t>Vérifier quelques comptes GBP/USD/SGD dans BALANCES_PQ : Montant × TauxEUR = MontantEUR.</t>
        </is>
      </c>
      <c r="D33" s="981" t="inlineStr">
        <is>
          <t>La consolidation multidevise dépend d'IAS 21 ; une erreur de taux fausse tout le reporting.</t>
        </is>
      </c>
      <c r="E33" s="981" t="inlineStr">
        <is>
          <t>Ne mélange pas taux moyen P&amp;L et taux de clôture bilan si tu fais évoluer la logique.</t>
        </is>
      </c>
    </row>
    <row r="34" ht="48" customHeight="1" s="500">
      <c r="A34" s="980" t="inlineStr">
        <is>
          <t>4.4</t>
        </is>
      </c>
      <c r="B34" s="981" t="inlineStr">
        <is>
          <t>Contrôle DAX</t>
        </is>
      </c>
      <c r="C34" s="981" t="inlineStr">
        <is>
          <t>Comparer une mesure DAX à un calcul manuel sur un extrait filtré.</t>
        </is>
      </c>
      <c r="D34" s="981" t="inlineStr">
        <is>
          <t>Cela valide à la fois le code DAX et le modèle de données.</t>
        </is>
      </c>
      <c r="E34" s="981" t="inlineStr">
        <is>
          <t>Exemple : [M_CA_Groupe] doit exclure EstIC = TRUE() et garder uniquement le poste chiffre d'affaires.</t>
        </is>
      </c>
    </row>
    <row r="35" ht="22" customHeight="1" s="500">
      <c r="A35" s="982" t="inlineStr">
        <is>
          <t>5. POINTS IMPORTANTS SPÉCIFIQUES À CE CLASSEUR</t>
        </is>
      </c>
      <c r="B35" s="978" t="n"/>
      <c r="C35" s="978" t="n"/>
      <c r="D35" s="978" t="n"/>
      <c r="E35" s="978" t="n"/>
    </row>
    <row r="36" ht="24" customHeight="1" s="500">
      <c r="A36" s="979" t="inlineStr">
        <is>
          <t>Étape</t>
        </is>
      </c>
      <c r="B36" s="979" t="inlineStr">
        <is>
          <t>Onglet / outil</t>
        </is>
      </c>
      <c r="C36" s="979" t="inlineStr">
        <is>
          <t>Ce qu'il faut faire</t>
        </is>
      </c>
      <c r="D36" s="979" t="inlineStr">
        <is>
          <t>Pourquoi on le fait</t>
        </is>
      </c>
      <c r="E36" s="979" t="inlineStr">
        <is>
          <t>Point de contrôle / piège</t>
        </is>
      </c>
    </row>
    <row r="37" ht="48" customHeight="1" s="500">
      <c r="A37" s="980" t="inlineStr">
        <is>
          <t>5.1</t>
        </is>
      </c>
      <c r="B37" s="981" t="inlineStr">
        <is>
          <t>Dépendances DAX</t>
        </is>
      </c>
      <c r="C37" s="981" t="inlineStr">
        <is>
          <t>Les mesures [M_CA_N1], [M_EBIT_CroissYOY] et [M_CA_YTD] dépendent d'une table « Calendrier ».</t>
        </is>
      </c>
      <c r="D37" s="981" t="inlineStr">
        <is>
          <t>Sans vraie dimension temps, l'intelligence temporelle DAX ne fonctionne pas.</t>
        </is>
      </c>
      <c r="E37" s="981" t="inlineStr">
        <is>
          <t>À créer manuellement dans le modèle avant ces mesures.</t>
        </is>
      </c>
    </row>
    <row r="38" ht="48" customHeight="1" s="500">
      <c r="A38" s="980" t="inlineStr">
        <is>
          <t>5.2</t>
        </is>
      </c>
      <c r="B38" s="981" t="inlineStr">
        <is>
          <t>Mesure BFR</t>
        </is>
      </c>
      <c r="C38" s="981" t="inlineStr">
        <is>
          <t>[M_Var_BFR] fait référence à une table « CONSOL_BILAN » avec des colonnes de modèle ([Consolidé_N], [Consolidé_N1], [PosteIFRS]).</t>
        </is>
      </c>
      <c r="D38" s="981" t="inlineStr">
        <is>
          <t>Si cette table n'est pas chargée dans le modèle, la mesure ne sera pas exploitable telle quelle.</t>
        </is>
      </c>
      <c r="E38" s="981" t="inlineStr">
        <is>
          <t>Commencer par les mesures de résultat ; garder BFR / cash flow pour une phase 2.</t>
        </is>
      </c>
    </row>
    <row r="39" ht="48" customHeight="1" s="500">
      <c r="A39" s="980" t="inlineStr">
        <is>
          <t>5.3</t>
        </is>
      </c>
      <c r="B39" s="981" t="inlineStr">
        <is>
          <t>ESG_DAX</t>
        </is>
      </c>
      <c r="C39" s="981" t="inlineStr">
        <is>
          <t>L'onglet ESG_DAX est plus avancé : plusieurs mesures supposent des tables de modèle spécifiques (ex. ESG_CARBONE_TABLE, ESG_DIVERSITE_TABLE_S1/S2/S3/G1).</t>
        </is>
      </c>
      <c r="D39" s="981" t="inlineStr">
        <is>
          <t>Il faut d'abord décider quels segments ESG seront chargés en tables distinctes dans le modèle.</t>
        </is>
      </c>
      <c r="E39" s="981" t="inlineStr">
        <is>
          <t>Ne colle pas tout ESG_DAX d'un coup sans préparer le modèle, sinon tu auras beaucoup d'erreurs de dépendances.</t>
        </is>
      </c>
    </row>
    <row r="40" ht="48" customHeight="1" s="500">
      <c r="A40" s="980" t="inlineStr">
        <is>
          <t>5.4</t>
        </is>
      </c>
      <c r="B40" s="981" t="inlineStr">
        <is>
          <t>Ordre recommandé</t>
        </is>
      </c>
      <c r="C40" s="981" t="inlineStr">
        <is>
          <t>Ordre optimal : mapping &gt; requêtes PQ &gt; table BALANCES_PQ &gt; modèle de données &gt; mesures DAX de base &gt; contrôles &gt; mesures avancées &gt; ESG.</t>
        </is>
      </c>
      <c r="D40" s="981" t="inlineStr">
        <is>
          <t>Cet ordre limite les erreurs et facilite le diagnostic.</t>
        </is>
      </c>
      <c r="E40" s="981" t="inlineStr">
        <is>
          <t>Si une étape échoue, reviens à la couche précédente ; ne corrige pas en aval.</t>
        </is>
      </c>
    </row>
    <row r="41" ht="22" customHeight="1" s="500">
      <c r="A41" s="983" t="inlineStr">
        <is>
          <t>6. CHECKLIST FINALE</t>
        </is>
      </c>
      <c r="B41" s="978" t="n"/>
      <c r="C41" s="978" t="n"/>
      <c r="D41" s="978" t="n"/>
      <c r="E41" s="978" t="n"/>
    </row>
    <row r="42" ht="24" customHeight="1" s="500">
      <c r="A42" s="979" t="inlineStr">
        <is>
          <t>Étape</t>
        </is>
      </c>
      <c r="B42" s="979" t="inlineStr">
        <is>
          <t>Onglet / outil</t>
        </is>
      </c>
      <c r="C42" s="979" t="inlineStr">
        <is>
          <t>Ce qu'il faut faire</t>
        </is>
      </c>
      <c r="D42" s="979" t="inlineStr">
        <is>
          <t>Pourquoi on le fait</t>
        </is>
      </c>
      <c r="E42" s="979" t="inlineStr">
        <is>
          <t>Point de contrôle / piège</t>
        </is>
      </c>
    </row>
    <row r="43" ht="48" customHeight="1" s="500">
      <c r="A43" s="980" t="inlineStr">
        <is>
          <t>☐</t>
        </is>
      </c>
      <c r="B43" s="981" t="inlineStr">
        <is>
          <t>Power Query</t>
        </is>
      </c>
      <c r="C43" s="981" t="inlineStr">
        <is>
          <t>Le dossier Sources est correct et la requête Consolidation_FromFolder s'exécute sans erreur.</t>
        </is>
      </c>
      <c r="D43" s="981" t="inlineStr">
        <is>
          <t>Sinon, le reste ne sert à rien.</t>
        </is>
      </c>
      <c r="E43" s="981" t="inlineStr"/>
    </row>
    <row r="44" ht="48" customHeight="1" s="500">
      <c r="A44" s="980" t="inlineStr">
        <is>
          <t>☐</t>
        </is>
      </c>
      <c r="B44" s="981" t="inlineStr">
        <is>
          <t>Mapping</t>
        </is>
      </c>
      <c r="C44" s="981" t="inlineStr">
        <is>
          <t>PQ_MAPPING_TABLE est bien reconnu et le mapping IFRS 18 est cohérent.</t>
        </is>
      </c>
      <c r="D44" s="981" t="inlineStr">
        <is>
          <t>C'est le coeur du reclassement.</t>
        </is>
      </c>
      <c r="E44" s="981" t="inlineStr"/>
    </row>
    <row r="45" ht="48" customHeight="1" s="500">
      <c r="A45" s="980" t="inlineStr">
        <is>
          <t>☐</t>
        </is>
      </c>
      <c r="B45" s="981" t="inlineStr">
        <is>
          <t>Chargement</t>
        </is>
      </c>
      <c r="C45" s="981" t="inlineStr">
        <is>
          <t>BALANCES_PQ est rafraîchie et correctement alimentée.</t>
        </is>
      </c>
      <c r="D45" s="981" t="inlineStr">
        <is>
          <t>C'est la table de faits principale.</t>
        </is>
      </c>
      <c r="E45" s="981" t="inlineStr"/>
    </row>
    <row r="46" ht="48" customHeight="1" s="500">
      <c r="A46" s="980" t="inlineStr">
        <is>
          <t>☐</t>
        </is>
      </c>
      <c r="B46" s="981" t="inlineStr">
        <is>
          <t>Modèle</t>
        </is>
      </c>
      <c r="C46" s="981" t="inlineStr">
        <is>
          <t>Balances_PQ est ajoutée au modèle et, si besoin, reliée à Calendrier / autres tables.</t>
        </is>
      </c>
      <c r="D46" s="981" t="inlineStr">
        <is>
          <t>Sans modèle propre, DAX sera fragile.</t>
        </is>
      </c>
      <c r="E46" s="981" t="inlineStr"/>
    </row>
    <row r="47" ht="48" customHeight="1" s="500">
      <c r="A47" s="980" t="inlineStr">
        <is>
          <t>☐</t>
        </is>
      </c>
      <c r="B47" s="981" t="inlineStr">
        <is>
          <t>DAX</t>
        </is>
      </c>
      <c r="C47" s="981" t="inlineStr">
        <is>
          <t>Les mesures de base donnent des chiffres cohérents avant de passer aux ratios.</t>
        </is>
      </c>
      <c r="D47" s="981" t="inlineStr">
        <is>
          <t>Toujours valider les fondamentaux d'abord.</t>
        </is>
      </c>
      <c r="E47" s="981" t="inlineStr"/>
    </row>
  </sheetData>
  <mergeCells count="9">
    <mergeCell ref="A29:E29"/>
    <mergeCell ref="A4:E4"/>
    <mergeCell ref="A35:E35"/>
    <mergeCell ref="A18:E18"/>
    <mergeCell ref="A2:E2"/>
    <mergeCell ref="A41:E41"/>
    <mergeCell ref="A1:E1"/>
    <mergeCell ref="A23:E23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P750"/>
  <sheetViews>
    <sheetView workbookViewId="0">
      <pane ySplit="2" topLeftCell="A15" activePane="bottomLeft" state="frozen"/>
      <selection pane="bottomLeft" activeCell="A1" sqref="A1:P1"/>
    </sheetView>
  </sheetViews>
  <sheetFormatPr baseColWidth="10" defaultRowHeight="15"/>
  <cols>
    <col width="143.85546875" bestFit="1" customWidth="1" style="500" min="1" max="1"/>
    <col width="90.85546875" bestFit="1" customWidth="1" style="500" min="2" max="2"/>
    <col width="35.28515625" bestFit="1" customWidth="1" style="500" min="3" max="3"/>
    <col width="45.7109375" customWidth="1" style="500" min="4" max="4"/>
    <col width="38.140625" customWidth="1" style="500" min="5" max="5"/>
  </cols>
  <sheetData>
    <row r="1" ht="21" customHeight="1" s="500">
      <c r="A1" s="518" t="inlineStr">
        <is>
          <t>📚  MÉTHODOLOGIE &amp; PÉDAGOGIE – GUIDE COMPLET DU SIMULATEUR IFRS 18 / CONSOLIDATION / ESG</t>
        </is>
      </c>
    </row>
    <row r="2">
      <c r="A2" s="302" t="inlineStr">
        <is>
          <t>Simulateur de Consolidation · Groupe Multinational · 5 Entités · IFRS 18 | IAS 21 | IFRS 3 | ESG/CSRD · Exercice 2025–2026</t>
        </is>
      </c>
    </row>
    <row r="4" ht="17.25" customHeight="1" s="500">
      <c r="A4" s="303" t="inlineStr">
        <is>
          <t>📋  TABLE DES MATIÈRES</t>
        </is>
      </c>
    </row>
    <row r="5">
      <c r="A5" s="304" t="inlineStr">
        <is>
          <t xml:space="preserve">  Réf.</t>
        </is>
      </c>
      <c r="B5" s="304" t="inlineStr">
        <is>
          <t>Section</t>
        </is>
      </c>
      <c r="C5" s="304" t="inlineStr">
        <is>
          <t>Ligne de départ</t>
        </is>
      </c>
      <c r="D5" s="304" t="inlineStr">
        <is>
          <t>Description rapide</t>
        </is>
      </c>
    </row>
    <row r="6">
      <c r="A6" s="305" t="inlineStr">
        <is>
          <t xml:space="preserve">  §1</t>
        </is>
      </c>
      <c r="B6" s="305" t="inlineStr">
        <is>
          <t>IFRS 18 – Présentation des États Financiers</t>
        </is>
      </c>
      <c r="C6" s="305" t="inlineStr">
        <is>
          <t>~Ligne 15</t>
        </is>
      </c>
      <c r="D6" s="305" t="inlineStr">
        <is>
          <t>Nouveau standard 2027 – 5 catégories P&amp;L obligatoires</t>
        </is>
      </c>
    </row>
    <row r="7">
      <c r="A7" s="306" t="inlineStr">
        <is>
          <t xml:space="preserve">  §2</t>
        </is>
      </c>
      <c r="B7" s="306" t="inlineStr">
        <is>
          <t>IAS 21 – Effets des variations des taux de change</t>
        </is>
      </c>
      <c r="C7" s="306" t="inlineStr">
        <is>
          <t>~Ligne 50</t>
        </is>
      </c>
      <c r="D7" s="306" t="inlineStr">
        <is>
          <t>Conversion des filiales étrangères en EUR</t>
        </is>
      </c>
    </row>
    <row r="8">
      <c r="A8" s="305" t="inlineStr">
        <is>
          <t xml:space="preserve">  §3</t>
        </is>
      </c>
      <c r="B8" s="305" t="inlineStr">
        <is>
          <t>IFRS 3 – Regroupements d'entreprises</t>
        </is>
      </c>
      <c r="C8" s="305" t="inlineStr">
        <is>
          <t>~Ligne 80</t>
        </is>
      </c>
      <c r="D8" s="305" t="inlineStr">
        <is>
          <t>Goodwill, PPA, Intérêts minoritaires</t>
        </is>
      </c>
    </row>
    <row r="9">
      <c r="A9" s="306" t="inlineStr">
        <is>
          <t xml:space="preserve">  §4</t>
        </is>
      </c>
      <c r="B9" s="306" t="inlineStr">
        <is>
          <t>Éliminations intercompagnies</t>
        </is>
      </c>
      <c r="C9" s="306" t="inlineStr">
        <is>
          <t>~Ligne 110</t>
        </is>
      </c>
      <c r="D9" s="306" t="inlineStr">
        <is>
          <t>IC transactions, dividendes, prêts intragroupe</t>
        </is>
      </c>
    </row>
    <row r="10">
      <c r="A10" s="305" t="inlineStr">
        <is>
          <t xml:space="preserve">  §5</t>
        </is>
      </c>
      <c r="B10" s="305" t="inlineStr">
        <is>
          <t>Méthode de consolidation – Workflow complet</t>
        </is>
      </c>
      <c r="C10" s="305" t="inlineStr">
        <is>
          <t>~Ligne 140</t>
        </is>
      </c>
      <c r="D10" s="305" t="inlineStr">
        <is>
          <t>Ordre et logique du processus de consolidation</t>
        </is>
      </c>
    </row>
    <row r="11">
      <c r="A11" s="306" t="inlineStr">
        <is>
          <t xml:space="preserve">  §6</t>
        </is>
      </c>
      <c r="B11" s="306" t="inlineStr">
        <is>
          <t>Power Query – Architecture &amp; logique M</t>
        </is>
      </c>
      <c r="C11" s="306" t="inlineStr">
        <is>
          <t>~Ligne 165</t>
        </is>
      </c>
      <c r="D11" s="306" t="inlineStr">
        <is>
          <t>Automatisation et modélisation des flux de données</t>
        </is>
      </c>
    </row>
    <row r="12">
      <c r="A12" s="305" t="inlineStr">
        <is>
          <t xml:space="preserve">  §7</t>
        </is>
      </c>
      <c r="B12" s="305" t="inlineStr">
        <is>
          <t>ESG / CSRD – Cadre réglementaire ESRS</t>
        </is>
      </c>
      <c r="C12" s="305" t="inlineStr">
        <is>
          <t>~Ligne 190</t>
        </is>
      </c>
      <c r="D12" s="305" t="inlineStr">
        <is>
          <t>ESRS E1/S1/G1 – Scope 1-2-3 CO2</t>
        </is>
      </c>
    </row>
    <row r="13">
      <c r="A13" s="306" t="inlineStr">
        <is>
          <t xml:space="preserve">  §8</t>
        </is>
      </c>
      <c r="B13" s="306" t="inlineStr">
        <is>
          <t>Glossaire CCA</t>
        </is>
      </c>
      <c r="C13" s="306" t="inlineStr">
        <is>
          <t>~Ligne 215</t>
        </is>
      </c>
      <c r="D13" s="306" t="inlineStr">
        <is>
          <t>60+ termes de consolidation définis</t>
        </is>
      </c>
    </row>
    <row r="14">
      <c r="A14" s="305" t="inlineStr">
        <is>
          <t xml:space="preserve">  §9</t>
        </is>
      </c>
      <c r="B14" s="305" t="inlineStr">
        <is>
          <t>Schémas &amp; Flux (texte structuré)</t>
        </is>
      </c>
      <c r="C14" s="305" t="inlineStr">
        <is>
          <t>~Ligne 270</t>
        </is>
      </c>
      <c r="D14" s="305" t="inlineStr">
        <is>
          <t>Workflow visuel de consolidation</t>
        </is>
      </c>
    </row>
    <row r="15">
      <c r="A15" s="306" t="inlineStr">
        <is>
          <t xml:space="preserve">  §10</t>
        </is>
      </c>
      <c r="B15" s="306" t="inlineStr">
        <is>
          <t>Audit Trail – Traçabilité des calculs</t>
        </is>
      </c>
      <c r="C15" s="306" t="inlineStr">
        <is>
          <t>~Ligne 315</t>
        </is>
      </c>
      <c r="D15" s="306" t="inlineStr">
        <is>
          <t>Références croisées et contrôles qualité</t>
        </is>
      </c>
    </row>
    <row r="17" ht="27.95" customHeight="1" s="500">
      <c r="A17" s="307" t="inlineStr">
        <is>
          <t>§1  IFRS 18 – PRÉSENTATION DES ÉTATS FINANCIERS  (en vigueur 2027, préparation 2025-2026)</t>
        </is>
      </c>
    </row>
    <row r="18" ht="39.95" customHeight="1" s="500">
      <c r="A18" s="308" t="inlineStr">
        <is>
          <t>IFRS 18 remplace IAS 1 – Il impose une structure OBLIGATOIRE du P&amp;L en 5 catégories, interdit les catégories propriétaires, et exige la réconciliation des Management Performance Measures (MPM) en annexe. Application obligatoire 1er janv. 2027 (comparatif 2026).</t>
        </is>
      </c>
    </row>
    <row r="20">
      <c r="A20" s="309" t="inlineStr">
        <is>
          <t>Catégorie IFRS 18</t>
        </is>
      </c>
      <c r="B20" s="309" t="inlineStr">
        <is>
          <t>§ Référence</t>
        </is>
      </c>
      <c r="C20" s="309" t="inlineStr">
        <is>
          <t>Contenu obligatoire</t>
        </is>
      </c>
      <c r="D20" s="309" t="inlineStr">
        <is>
          <t>Exemples dans le Groupe</t>
        </is>
      </c>
      <c r="E20" s="309" t="inlineStr">
        <is>
          <t>vs IAS 1 ancien</t>
        </is>
      </c>
    </row>
    <row r="21" ht="48" customHeight="1" s="500">
      <c r="A21" s="312" t="inlineStr">
        <is>
          <t>① EXPLOITATION</t>
        </is>
      </c>
      <c r="B21" s="311" t="inlineStr">
        <is>
          <t>§45-55</t>
        </is>
      </c>
      <c r="C21" s="311" t="inlineStr">
        <is>
          <t>Revenus IFRS 15, coûts directs, charges d'exploitation, DAP actifs opérationnels</t>
        </is>
      </c>
      <c r="D21" s="311" t="inlineStr">
        <is>
          <t>CA, Achats, Salaires, DAP PP&amp;E — 5 entités du groupe</t>
        </is>
      </c>
      <c r="E21" s="311" t="inlineStr">
        <is>
          <t>Résultat courant (non défini normativement)</t>
        </is>
      </c>
    </row>
    <row r="22" ht="48" customHeight="1" s="500">
      <c r="A22" s="315" t="inlineStr">
        <is>
          <t>② INVESTISSEMENT</t>
        </is>
      </c>
      <c r="B22" s="314" t="inlineStr">
        <is>
          <t>§56-68</t>
        </is>
      </c>
      <c r="C22" s="314" t="inlineStr">
        <is>
          <t>Produits/charges d'actifs NON utilisés dans l'exploitation principale. Rendements financiers.</t>
        </is>
      </c>
      <c r="D22" s="314" t="inlineStr">
        <is>
          <t>Dividendes IC reçus, plus-values cessions, produits placements CT</t>
        </is>
      </c>
      <c r="E22" s="314" t="inlineStr">
        <is>
          <t>Résultat financier (mélangé avec financement)</t>
        </is>
      </c>
    </row>
    <row r="23" ht="48" customHeight="1" s="500">
      <c r="A23" s="312" t="inlineStr">
        <is>
          <t>③ FINANCEMENT</t>
        </is>
      </c>
      <c r="B23" s="311" t="inlineStr">
        <is>
          <t>§69-72</t>
        </is>
      </c>
      <c r="C23" s="311" t="inlineStr">
        <is>
          <t>Coûts de financement des passifs financiers : intérêts emprunts bancaires + intérêts dettes locatives IFRS 16</t>
        </is>
      </c>
      <c r="D23" s="311" t="inlineStr">
        <is>
          <t>Charges intérêts LT, intérêts baux IFRS 16 — toutes entités</t>
        </is>
      </c>
      <c r="E23" s="311" t="inlineStr">
        <is>
          <t>Résultat financier (non séparé de investing)</t>
        </is>
      </c>
    </row>
    <row r="24" ht="48" customHeight="1" s="500">
      <c r="A24" s="315" t="inlineStr">
        <is>
          <t>④ IMPÔTS</t>
        </is>
      </c>
      <c r="B24" s="314" t="inlineStr">
        <is>
          <t>§73-80</t>
        </is>
      </c>
      <c r="C24" s="314" t="inlineStr">
        <is>
          <t>IS courant (IAS 12) + impôts différés. TOUJOURS présenté séparément. Ne peut pas être noyé dans une autre catégorie.</t>
        </is>
      </c>
      <c r="D24" s="314" t="inlineStr">
        <is>
          <t>Charge IS courant + variation DTA/DTL par entité</t>
        </is>
      </c>
      <c r="E24" s="314" t="inlineStr">
        <is>
          <t>Ligne IS dans résultat courant (similaire)</t>
        </is>
      </c>
    </row>
    <row r="25" ht="48" customHeight="1" s="500">
      <c r="A25" s="312" t="inlineStr">
        <is>
          <t>⑤ DISCONTINU</t>
        </is>
      </c>
      <c r="B25" s="311" t="inlineStr">
        <is>
          <t>§81-85</t>
        </is>
      </c>
      <c r="C25" s="311" t="inlineStr">
        <is>
          <t>Résultat net post-IS des activités abandonnées IFRS 5. UNE SEULE ligne nette dans le P&amp;L.</t>
        </is>
      </c>
      <c r="D25" s="311" t="inlineStr">
        <is>
          <t>Non applicable ex. 2025 – prévu pour extensions futures</t>
        </is>
      </c>
      <c r="E25" s="311" t="inlineStr">
        <is>
          <t>Résultat net séparé (similaire mais non codifié)</t>
        </is>
      </c>
    </row>
    <row r="27" ht="24" customHeight="1" s="500">
      <c r="A27" s="316" t="inlineStr">
        <is>
          <t>📌  MANAGEMENT PERFORMANCE MEASURES (MPM) – Nouveauté clé IFRS 18</t>
        </is>
      </c>
    </row>
    <row r="28" ht="36" customHeight="1" s="500">
      <c r="A28" s="318" t="inlineStr">
        <is>
          <t>Définition MPM :</t>
        </is>
      </c>
      <c r="B28" s="317" t="inlineStr">
        <is>
          <t>Tout sous-total de résultat communiqué EXTERNEMENT par la direction et NON requis par IFRS 18 (ex: EBITDA ajusté, résultat opérationnel courant, résultat récurrent, résultat sous-jacent)</t>
        </is>
      </c>
    </row>
    <row r="29" ht="36" customHeight="1" s="500">
      <c r="A29" s="318" t="inlineStr">
        <is>
          <t>Obligation :</t>
        </is>
      </c>
      <c r="B29" s="317" t="inlineStr">
        <is>
          <t>Divulgation OBLIGATOIRE en annexe avec réconciliation ligne-à-ligne vers le sous-total IFRS 18 le plus proche (§B1-B12). Interdit de mettre les MPM en face avant du P&amp;L.</t>
        </is>
      </c>
    </row>
    <row r="30" ht="36" customHeight="1" s="500">
      <c r="A30" s="318" t="inlineStr">
        <is>
          <t>Impact Groupe :</t>
        </is>
      </c>
      <c r="B30" s="317" t="inlineStr">
        <is>
          <t>L'EBITDA Groupe des dashboards DOIT être réconcilié vers Résultat opérationnel §47. Onglet NOTES_IFRS lignes 15-22.</t>
        </is>
      </c>
    </row>
    <row r="31" ht="36" customHeight="1" s="500">
      <c r="A31" s="318" t="inlineStr">
        <is>
          <t>Onglets liés :</t>
        </is>
      </c>
      <c r="B31" s="317" t="inlineStr">
        <is>
          <t>IFRS18_MAPPING colonnes F:J → NOTES_IFRS B15:B22 → CONSOL_CR lignes sous-totaux</t>
        </is>
      </c>
    </row>
    <row r="32" ht="32.1" customHeight="1" s="500">
      <c r="A32" s="318" t="inlineStr">
        <is>
          <t>Référence :</t>
        </is>
      </c>
      <c r="B32" s="317" t="inlineStr">
        <is>
          <t>IFRS 18 §B1-B12 (Guide d'application) + IASB Exposure Draft avril 2019 → Standard final avril 2024</t>
        </is>
      </c>
    </row>
    <row r="33" ht="24" customHeight="1" s="500">
      <c r="A33" s="319" t="inlineStr">
        <is>
          <t>📊  SCHÉMA P&amp;L IFRS 18 – SOUS-TOTAUX OBLIGATOIRES (§47-48)</t>
        </is>
      </c>
    </row>
    <row r="34">
      <c r="A34" s="324" t="inlineStr">
        <is>
          <t>Catégories ①</t>
        </is>
      </c>
      <c r="B34" s="322" t="inlineStr">
        <is>
          <t>Produits d'exploitation (IFRS 15 + autres)</t>
        </is>
      </c>
      <c r="C34" s="322" t="inlineStr">
        <is>
          <t>xxx €</t>
        </is>
      </c>
      <c r="D34" s="322" t="n"/>
    </row>
    <row r="35">
      <c r="A35" s="490" t="n"/>
      <c r="B35" s="490" t="inlineStr">
        <is>
          <t>– Charges d'exploitation, salaires, DAP</t>
        </is>
      </c>
      <c r="C35" s="490" t="inlineStr">
        <is>
          <t>(xxx €)</t>
        </is>
      </c>
      <c r="D35" s="490" t="n"/>
    </row>
    <row r="36">
      <c r="A36" s="327" t="inlineStr">
        <is>
          <t>SOUS-TOTAL ①</t>
        </is>
      </c>
      <c r="B36" s="327" t="inlineStr">
        <is>
          <t>═══ RÉSULTAT D'EXPLOITATION ═══</t>
        </is>
      </c>
      <c r="C36" s="327" t="inlineStr">
        <is>
          <t>xxx €</t>
        </is>
      </c>
      <c r="D36" s="327" t="inlineStr">
        <is>
          <t>⬅ OBLIGATOIRE §47</t>
        </is>
      </c>
    </row>
    <row r="37">
      <c r="A37" s="540" t="inlineStr">
        <is>
          <t>Catégories ②</t>
        </is>
      </c>
      <c r="B37" s="540" t="inlineStr">
        <is>
          <t>+ Produits d'investissement (dividendes, plus-values)</t>
        </is>
      </c>
      <c r="C37" s="540" t="inlineStr">
        <is>
          <t>+xxx €</t>
        </is>
      </c>
      <c r="D37" s="540" t="n"/>
    </row>
    <row r="38">
      <c r="A38" s="327" t="inlineStr">
        <is>
          <t>SOUS-TOTAL ①+②</t>
        </is>
      </c>
      <c r="B38" s="327" t="inlineStr">
        <is>
          <t>═══ RÉSULTAT AVANT FINANCEMENT &amp; IMPÔTS ═══</t>
        </is>
      </c>
      <c r="C38" s="327" t="inlineStr">
        <is>
          <t>xxx €</t>
        </is>
      </c>
      <c r="D38" s="327" t="inlineStr">
        <is>
          <t>⬅ NOUVEAU §48</t>
        </is>
      </c>
    </row>
    <row r="39">
      <c r="A39" s="540" t="inlineStr">
        <is>
          <t>Catégories ③</t>
        </is>
      </c>
      <c r="B39" s="540" t="inlineStr">
        <is>
          <t>– Charges de financement (intérêts, IFRS 16)</t>
        </is>
      </c>
      <c r="C39" s="540" t="inlineStr">
        <is>
          <t>(xxx €)</t>
        </is>
      </c>
      <c r="D39" s="540" t="n"/>
    </row>
    <row r="40">
      <c r="A40" s="327" t="inlineStr">
        <is>
          <t>SOUS-TOTAL ①+②+③</t>
        </is>
      </c>
      <c r="B40" s="327" t="inlineStr">
        <is>
          <t>═══ RÉSULTAT AVANT IMPÔTS ═══</t>
        </is>
      </c>
      <c r="C40" s="327" t="inlineStr">
        <is>
          <t>xxx €</t>
        </is>
      </c>
      <c r="D40" s="327" t="inlineStr">
        <is>
          <t>⬅ Classique</t>
        </is>
      </c>
    </row>
    <row r="41">
      <c r="A41" s="540" t="inlineStr">
        <is>
          <t>Catégories ④</t>
        </is>
      </c>
      <c r="B41" s="540" t="inlineStr">
        <is>
          <t>– Charge d'impôt (IS courant + différé)</t>
        </is>
      </c>
      <c r="C41" s="540" t="inlineStr">
        <is>
          <t>(xxx €)</t>
        </is>
      </c>
      <c r="D41" s="540" t="n"/>
    </row>
    <row r="42">
      <c r="A42" s="322" t="n"/>
      <c r="B42" s="322" t="inlineStr">
        <is>
          <t>═══ RÉSULTAT DES ACTIVITÉS POURSUIVIES ═══</t>
        </is>
      </c>
      <c r="C42" s="322" t="inlineStr">
        <is>
          <t>xxx €</t>
        </is>
      </c>
      <c r="D42" s="322" t="n"/>
    </row>
    <row r="43">
      <c r="A43" s="540" t="inlineStr">
        <is>
          <t>Catégories ⑤</t>
        </is>
      </c>
      <c r="B43" s="540" t="inlineStr">
        <is>
          <t>+ Résultat activités abandonnées (net IS)</t>
        </is>
      </c>
      <c r="C43" s="540" t="inlineStr">
        <is>
          <t>±xxx €</t>
        </is>
      </c>
      <c r="D43" s="540" t="n"/>
    </row>
    <row r="44">
      <c r="A44" s="327" t="inlineStr">
        <is>
          <t>RÉSULTAT NET</t>
        </is>
      </c>
      <c r="B44" s="327" t="inlineStr">
        <is>
          <t>═══ RÉSULTAT NET CONSOLIDÉ ═══</t>
        </is>
      </c>
      <c r="C44" s="327" t="inlineStr">
        <is>
          <t>xxx €</t>
        </is>
      </c>
      <c r="D44" s="327" t="inlineStr">
        <is>
          <t>⬅ BOTTOM LINE</t>
        </is>
      </c>
    </row>
    <row r="46" ht="14.1" customHeight="1" s="500"/>
    <row r="47" ht="27.95" customHeight="1" s="500">
      <c r="A47" s="307" t="inlineStr">
        <is>
          <t>§2  IAS 21 – EFFETS DES VARIATIONS DES TAUX DE CHANGE (Conversion des filiales étrangères)</t>
        </is>
      </c>
    </row>
    <row r="48" ht="44.1" customHeight="1" s="500">
      <c r="A48" s="308" t="inlineStr">
        <is>
          <t>IAS 21 régit la conversion des états financiers d'une entité étrangère dans la devise de présentation du groupe (EUR). Le principe central: actifs/passifs au taux de CLÔTURE, produits/charges au taux MOYEN, capitaux propres au taux HISTORIQUE. Les écarts de conversion vont en OCI (non recyclable en P&amp;L).</t>
        </is>
      </c>
    </row>
    <row r="50">
      <c r="A50" s="309" t="inlineStr">
        <is>
          <t>Poste du bilan/P&amp;L</t>
        </is>
      </c>
      <c r="B50" s="309" t="inlineStr">
        <is>
          <t>Taux applicable</t>
        </is>
      </c>
      <c r="C50" s="309" t="inlineStr">
        <is>
          <t>§ IAS 21</t>
        </is>
      </c>
      <c r="D50" s="309" t="inlineStr">
        <is>
          <t>Justification normative</t>
        </is>
      </c>
      <c r="E50" s="309" t="inlineStr">
        <is>
          <t>Application dans le fichier</t>
        </is>
      </c>
    </row>
    <row r="51" ht="39.95" customHeight="1" s="500">
      <c r="A51" s="328" t="inlineStr">
        <is>
          <t>Actifs non courants (PP&amp;E, GW)</t>
        </is>
      </c>
      <c r="B51" s="310" t="inlineStr">
        <is>
          <t>CLÔTURE §23</t>
        </is>
      </c>
      <c r="C51" s="310" t="inlineStr">
        <is>
          <t>§23</t>
        </is>
      </c>
      <c r="D51" s="310" t="inlineStr">
        <is>
          <t>Refléter la valeur actuelle en devise de présentation</t>
        </is>
      </c>
      <c r="E51" s="310" t="inlineStr">
        <is>
          <t>PQ_TAUX_CHANGE → TypeTaux=Clôture</t>
        </is>
      </c>
    </row>
    <row r="52" ht="39.95" customHeight="1" s="500">
      <c r="A52" s="329" t="inlineStr">
        <is>
          <t>Passifs financiers (dettes LT, CT)</t>
        </is>
      </c>
      <c r="B52" s="313" t="inlineStr">
        <is>
          <t>CLÔTURE §23</t>
        </is>
      </c>
      <c r="C52" s="313" t="inlineStr">
        <is>
          <t>§23</t>
        </is>
      </c>
      <c r="D52" s="313" t="inlineStr">
        <is>
          <t>Synchronisation bilan : actifs &amp; passifs au même taux</t>
        </is>
      </c>
      <c r="E52" s="313" t="inlineStr">
        <is>
          <t>PQ_TAUX_CHANGE → col. TauxEUR</t>
        </is>
      </c>
    </row>
    <row r="53" ht="39.95" customHeight="1" s="500">
      <c r="A53" s="328" t="inlineStr">
        <is>
          <t>Créances, dettes d'exploitation</t>
        </is>
      </c>
      <c r="B53" s="310" t="inlineStr">
        <is>
          <t>CLÔTURE §23</t>
        </is>
      </c>
      <c r="C53" s="310" t="inlineStr">
        <is>
          <t>§23</t>
        </is>
      </c>
      <c r="D53" s="310" t="inlineStr">
        <is>
          <t>Même principe – éléments monétaires au taux de clôture</t>
        </is>
      </c>
      <c r="E53" s="310" t="inlineStr">
        <is>
          <t>BALANCES_PQ → col. TauxCloture</t>
        </is>
      </c>
    </row>
    <row r="54" ht="39.95" customHeight="1" s="500">
      <c r="A54" s="329" t="inlineStr">
        <is>
          <t>Chiffre d'affaires &amp; charges P&amp;L</t>
        </is>
      </c>
      <c r="B54" s="313" t="inlineStr">
        <is>
          <t>MOYEN §39</t>
        </is>
      </c>
      <c r="C54" s="313" t="inlineStr">
        <is>
          <t>§39</t>
        </is>
      </c>
      <c r="D54" s="313" t="inlineStr">
        <is>
          <t>Approximation des taux historiques quotidiens sur l'exercice</t>
        </is>
      </c>
      <c r="E54" s="313" t="inlineStr">
        <is>
          <t>PQ_TAUX_CHANGE → TypeTaux=Moyen,Mois=AN</t>
        </is>
      </c>
    </row>
    <row r="55" ht="39.95" customHeight="1" s="500">
      <c r="A55" s="328" t="inlineStr">
        <is>
          <t>Capitaux propres (hors résultat)</t>
        </is>
      </c>
      <c r="B55" s="310" t="inlineStr">
        <is>
          <t>HISTORIQUE §39</t>
        </is>
      </c>
      <c r="C55" s="310" t="inlineStr">
        <is>
          <t>§39</t>
        </is>
      </c>
      <c r="D55" s="310" t="inlineStr">
        <is>
          <t>Maintenir les apports en capital à leur valeur d'origine</t>
        </is>
      </c>
      <c r="E55" s="310" t="inlineStr">
        <is>
          <t>PQ_TAUX_CHANGE → TypeTaux=Historique</t>
        </is>
      </c>
    </row>
    <row r="56" ht="39.95" customHeight="1" s="500">
      <c r="A56" s="329" t="inlineStr">
        <is>
          <t>Écart de conversion (résultant)</t>
        </is>
      </c>
      <c r="B56" s="313" t="inlineStr">
        <is>
          <t>→ OCI §41</t>
        </is>
      </c>
      <c r="C56" s="313" t="inlineStr">
        <is>
          <t>§41</t>
        </is>
      </c>
      <c r="D56" s="313" t="inlineStr">
        <is>
          <t>Différence non recyclable : taux clôture vs taux historique CP</t>
        </is>
      </c>
      <c r="E56" s="313" t="inlineStr">
        <is>
          <t>Onglet CONSOL_BILAN → ligne Écart de conv.</t>
        </is>
      </c>
    </row>
    <row r="58" ht="24" customHeight="1" s="500">
      <c r="A58" s="316" t="inlineStr">
        <is>
          <t>💱  SYNTHÈSE DES DEVISES DU GROUPE &amp; TAUX EXERCICE 2025</t>
        </is>
      </c>
    </row>
    <row r="59">
      <c r="A59" s="304" t="inlineStr">
        <is>
          <t>Entité</t>
        </is>
      </c>
      <c r="B59" s="304" t="inlineStr">
        <is>
          <t>Devise locale</t>
        </is>
      </c>
      <c r="C59" s="304" t="inlineStr">
        <is>
          <t>Taux Clôture (EUR)</t>
        </is>
      </c>
      <c r="D59" s="304" t="inlineStr">
        <is>
          <t>Taux Moyen annuel</t>
        </is>
      </c>
      <c r="E59" s="304" t="inlineStr">
        <is>
          <t>Taux Historique</t>
        </is>
      </c>
      <c r="F59" s="304" t="inlineStr">
        <is>
          <t>Écart de conversion estimé</t>
        </is>
      </c>
    </row>
    <row r="60">
      <c r="A60" s="148" t="inlineStr">
        <is>
          <t>FR_ParentCo</t>
        </is>
      </c>
      <c r="B60" s="148" t="inlineStr">
        <is>
          <t>EUR</t>
        </is>
      </c>
      <c r="C60" s="148" t="inlineStr">
        <is>
          <t>1.000 (devise présen.)</t>
        </is>
      </c>
      <c r="D60" s="148" t="n">
        <v>1</v>
      </c>
      <c r="E60" s="148" t="n">
        <v>1</v>
      </c>
      <c r="F60" s="148" t="inlineStr">
        <is>
          <t>Néant – devise de présentation</t>
        </is>
      </c>
    </row>
    <row r="61">
      <c r="A61" s="540" t="inlineStr">
        <is>
          <t>DE_Filiale</t>
        </is>
      </c>
      <c r="B61" s="540" t="inlineStr">
        <is>
          <t>EUR</t>
        </is>
      </c>
      <c r="C61" s="540" t="inlineStr">
        <is>
          <t>1.000 (zone euro)</t>
        </is>
      </c>
      <c r="D61" s="540" t="n">
        <v>1</v>
      </c>
      <c r="E61" s="540" t="n">
        <v>1</v>
      </c>
      <c r="F61" s="540" t="inlineStr">
        <is>
          <t>Néant – même devise</t>
        </is>
      </c>
    </row>
    <row r="62">
      <c r="A62" s="148" t="inlineStr">
        <is>
          <t>UK_Filiale</t>
        </is>
      </c>
      <c r="B62" s="148" t="inlineStr">
        <is>
          <t>GBP</t>
        </is>
      </c>
      <c r="C62" s="148" t="inlineStr">
        <is>
          <t>1.165 GBP/EUR</t>
        </is>
      </c>
      <c r="D62" s="148" t="inlineStr">
        <is>
          <t>1.155 (moyen 2025)</t>
        </is>
      </c>
      <c r="E62" s="148" t="inlineStr">
        <is>
          <t>1.120 (acq. mars 2020)</t>
        </is>
      </c>
      <c r="F62" s="148" t="inlineStr">
        <is>
          <t>OCI positif (GBP apprécié)</t>
        </is>
      </c>
    </row>
    <row r="63">
      <c r="A63" s="540" t="inlineStr">
        <is>
          <t>US_Filiale</t>
        </is>
      </c>
      <c r="B63" s="540" t="inlineStr">
        <is>
          <t>USD</t>
        </is>
      </c>
      <c r="C63" s="540" t="inlineStr">
        <is>
          <t>0.918 USD/EUR</t>
        </is>
      </c>
      <c r="D63" s="540" t="inlineStr">
        <is>
          <t>0.925 (moyen 2025)</t>
        </is>
      </c>
      <c r="E63" s="540" t="inlineStr">
        <is>
          <t>0.845 (acq. 2021)</t>
        </is>
      </c>
      <c r="F63" s="540" t="inlineStr">
        <is>
          <t>OCI positif (USD revalorisation CP)</t>
        </is>
      </c>
    </row>
    <row r="64">
      <c r="A64" s="148" t="inlineStr">
        <is>
          <t>SG_Filiale</t>
        </is>
      </c>
      <c r="B64" s="148" t="inlineStr">
        <is>
          <t>SGD</t>
        </is>
      </c>
      <c r="C64" s="148" t="inlineStr">
        <is>
          <t>0.678 SGD/EUR</t>
        </is>
      </c>
      <c r="D64" s="148" t="inlineStr">
        <is>
          <t>0.682 (moyen 2025)</t>
        </is>
      </c>
      <c r="E64" s="148" t="inlineStr">
        <is>
          <t>0.650 (acq. 2022)</t>
        </is>
      </c>
      <c r="F64" s="148" t="inlineStr">
        <is>
          <t>OCI positif (SGD légère appréc.)</t>
        </is>
      </c>
    </row>
    <row r="66" ht="14.1" customHeight="1" s="500"/>
    <row r="67" ht="27.95" customHeight="1" s="500">
      <c r="A67" s="307" t="inlineStr">
        <is>
          <t>§3  IFRS 3 – REGROUPEMENTS D'ENTREPRISES (Goodwill, PPA, Intérêts Minoritaires)</t>
        </is>
      </c>
    </row>
    <row r="68" ht="39.95" customHeight="1" s="500">
      <c r="A68" s="308" t="inlineStr">
        <is>
          <t>IFRS 3 définit la méthode de l'acquisition (method of acquisition). Le Goodwill = Prix acquisition – Juste valeur de l'actif net identifiable (PPA). Les intérêts minoritaires (NCI) représentent la quote-part des actionnaires non-contrôlants dans les fonds propres et le résultat.</t>
        </is>
      </c>
    </row>
    <row r="70">
      <c r="A70" s="309" t="inlineStr">
        <is>
          <t>Filiale</t>
        </is>
      </c>
      <c r="B70" s="309" t="inlineStr">
        <is>
          <t>% Détenu</t>
        </is>
      </c>
      <c r="C70" s="309" t="inlineStr">
        <is>
          <t>Prix acquisition</t>
        </is>
      </c>
      <c r="D70" s="309" t="inlineStr">
        <is>
          <t>Actif net JV</t>
        </is>
      </c>
      <c r="E70" s="309" t="inlineStr">
        <is>
          <t>Goodwill brut</t>
        </is>
      </c>
      <c r="F70" s="309" t="inlineStr">
        <is>
          <t>Dépréc. GW cum.</t>
        </is>
      </c>
      <c r="G70" s="309" t="inlineStr">
        <is>
          <t>Goodwill net</t>
        </is>
      </c>
    </row>
    <row r="71">
      <c r="A71" s="330" t="inlineStr">
        <is>
          <t>DE_Filiale (Allemagne)</t>
        </is>
      </c>
      <c r="B71" s="331" t="n">
        <v>1</v>
      </c>
      <c r="C71" s="330" t="inlineStr">
        <is>
          <t>85 000 k€</t>
        </is>
      </c>
      <c r="D71" s="330" t="inlineStr">
        <is>
          <t>62 000 k€</t>
        </is>
      </c>
      <c r="E71" s="330" t="inlineStr">
        <is>
          <t>23 000 k€</t>
        </is>
      </c>
      <c r="F71" s="330" t="inlineStr">
        <is>
          <t>3 500 k€</t>
        </is>
      </c>
      <c r="G71" s="330" t="inlineStr">
        <is>
          <t>19 500 k€</t>
        </is>
      </c>
    </row>
    <row r="72">
      <c r="A72" s="540" t="inlineStr">
        <is>
          <t>UK_Filiale (Royaume-Uni)</t>
        </is>
      </c>
      <c r="B72" s="37" t="n">
        <v>0.8</v>
      </c>
      <c r="C72" s="540" t="inlineStr">
        <is>
          <t>72 000 k€</t>
        </is>
      </c>
      <c r="D72" s="540" t="inlineStr">
        <is>
          <t>48 500 k€</t>
        </is>
      </c>
      <c r="E72" s="540" t="inlineStr">
        <is>
          <t>23 500 k€</t>
        </is>
      </c>
      <c r="F72" s="540" t="inlineStr">
        <is>
          <t>4 200 k€</t>
        </is>
      </c>
      <c r="G72" s="540" t="inlineStr">
        <is>
          <t>19 300 k€</t>
        </is>
      </c>
    </row>
    <row r="73">
      <c r="A73" s="330" t="inlineStr">
        <is>
          <t>US_Filiale (États-Unis)</t>
        </is>
      </c>
      <c r="B73" s="331" t="n">
        <v>0.75</v>
      </c>
      <c r="C73" s="330" t="inlineStr">
        <is>
          <t>95 000 k€</t>
        </is>
      </c>
      <c r="D73" s="330" t="inlineStr">
        <is>
          <t>71 000 k€</t>
        </is>
      </c>
      <c r="E73" s="330" t="inlineStr">
        <is>
          <t>24 000 k€</t>
        </is>
      </c>
      <c r="F73" s="330" t="inlineStr">
        <is>
          <t>5 800 k€</t>
        </is>
      </c>
      <c r="G73" s="330" t="inlineStr">
        <is>
          <t>18 200 k€</t>
        </is>
      </c>
    </row>
    <row r="74">
      <c r="A74" s="540" t="inlineStr">
        <is>
          <t>SG_Filiale (Singapour)</t>
        </is>
      </c>
      <c r="B74" s="37" t="n">
        <v>0.6</v>
      </c>
      <c r="C74" s="540" t="inlineStr">
        <is>
          <t>38 000 k€</t>
        </is>
      </c>
      <c r="D74" s="540" t="inlineStr">
        <is>
          <t>28 500 k€</t>
        </is>
      </c>
      <c r="E74" s="540" t="inlineStr">
        <is>
          <t>9 500 k€</t>
        </is>
      </c>
      <c r="F74" s="540" t="inlineStr">
        <is>
          <t>1 200 k€</t>
        </is>
      </c>
      <c r="G74" s="540" t="inlineStr">
        <is>
          <t>8 300 k€</t>
        </is>
      </c>
    </row>
    <row r="75">
      <c r="A75" s="326" t="inlineStr">
        <is>
          <t>TOTAL GROUPE</t>
        </is>
      </c>
      <c r="B75" s="326" t="n"/>
      <c r="C75" s="326" t="inlineStr">
        <is>
          <t>290 000 k€</t>
        </is>
      </c>
      <c r="D75" s="326" t="inlineStr">
        <is>
          <t>210 000 k€</t>
        </is>
      </c>
      <c r="E75" s="326" t="inlineStr">
        <is>
          <t>80 000 k€</t>
        </is>
      </c>
      <c r="F75" s="326" t="inlineStr">
        <is>
          <t>14 700 k€</t>
        </is>
      </c>
      <c r="G75" s="326" t="inlineStr">
        <is>
          <t>65 300 k€</t>
        </is>
      </c>
    </row>
    <row r="77" ht="24" customHeight="1" s="500">
      <c r="A77" s="332" t="inlineStr">
        <is>
          <t>📌  INTÉRÊTS MINORITAIRES (NCI) – Traitement IFRS 3</t>
        </is>
      </c>
    </row>
    <row r="78" ht="36" customHeight="1" s="500">
      <c r="A78" s="318" t="inlineStr">
        <is>
          <t>NCI Bilan :</t>
        </is>
      </c>
      <c r="B78" s="317" t="inlineStr">
        <is>
          <t>Quote-part NCI dans actif net consolidé. UK: 20% × AN JV = 9 700k€. US: 25% × AN JV = 17 750k€. SG: 40% × AN JV = 11 400k€.</t>
        </is>
      </c>
    </row>
    <row r="79" ht="36" customHeight="1" s="500">
      <c r="A79" s="318" t="inlineStr">
        <is>
          <t>NCI P&amp;L :</t>
        </is>
      </c>
      <c r="B79" s="317" t="inlineStr">
        <is>
          <t>Quote-part NCI dans résultat net de la filiale. Présenté SÉPARÉMENT sous le résultat net consolidé (IFRS 18 §88).</t>
        </is>
      </c>
    </row>
    <row r="80" ht="36" customHeight="1" s="500">
      <c r="A80" s="318" t="inlineStr">
        <is>
          <t>Goodwill méthode :</t>
        </is>
      </c>
      <c r="B80" s="317" t="inlineStr">
        <is>
          <t>Méthode du Goodwill PARTIEL utilisée (sur la quote-part acquise uniquement). La méthode du Goodwill INTÉGRAL est une option IFRS 3.</t>
        </is>
      </c>
    </row>
    <row r="81" ht="36" customHeight="1" s="500">
      <c r="A81" s="318" t="inlineStr">
        <is>
          <t>Test dépréciation :</t>
        </is>
      </c>
      <c r="B81" s="317" t="inlineStr">
        <is>
          <t>IAS 36 – Test goodwill annuel obligatoire par UGT. Dépréciations non réversibles. Onglet ELIM lignes 14-18.</t>
        </is>
      </c>
    </row>
    <row r="83" ht="14.1" customHeight="1" s="500"/>
    <row r="84" ht="27.95" customHeight="1" s="500">
      <c r="A84" s="333" t="inlineStr">
        <is>
          <t>§4  ÉLIMINATIONS INTERCOMPAGNIES – Principes &amp; Mécanismes</t>
        </is>
      </c>
    </row>
    <row r="85" ht="44.1" customHeight="1" s="500">
      <c r="A85" s="308" t="inlineStr">
        <is>
          <t>Les États Financiers Consolidés présentent le Groupe comme UNE SEULE entité économique. Toutes les transactions INTERNES au groupe doivent être éliminées pour éviter les doubles comptages. 3 catégories d'éliminations: (1) Créances/Dettes IC, (2) Résultats IC internes, (3) Titres de participation vs capitaux propres.</t>
        </is>
      </c>
    </row>
    <row r="87">
      <c r="A87" s="309" t="inlineStr">
        <is>
          <t>Type d'élimination</t>
        </is>
      </c>
      <c r="B87" s="309" t="inlineStr">
        <is>
          <t>Référence IC</t>
        </is>
      </c>
      <c r="C87" s="309" t="inlineStr">
        <is>
          <t>Montant (k€ EUR)</t>
        </is>
      </c>
      <c r="D87" s="309" t="inlineStr">
        <is>
          <t>Écriture d'élimination</t>
        </is>
      </c>
      <c r="E87" s="309" t="inlineStr">
        <is>
          <t>Onglet source</t>
        </is>
      </c>
    </row>
    <row r="88" ht="38.1" customHeight="1" s="500">
      <c r="A88" s="310" t="inlineStr">
        <is>
          <t>Ventes IC marchandises FR→DE</t>
        </is>
      </c>
      <c r="B88" s="310" t="inlineStr">
        <is>
          <t>IC-2025-001</t>
        </is>
      </c>
      <c r="C88" s="310" t="inlineStr">
        <is>
          <t>18 500 k€</t>
        </is>
      </c>
      <c r="D88" s="310" t="inlineStr">
        <is>
          <t>DR Ventes IC / CR Achats IC → impact P&amp;L nul</t>
        </is>
      </c>
      <c r="E88" s="310" t="inlineStr">
        <is>
          <t>ELIM §1 ligne 6</t>
        </is>
      </c>
    </row>
    <row r="89" ht="38.1" customHeight="1" s="500">
      <c r="A89" s="313" t="inlineStr">
        <is>
          <t>Ventes IC marchandises FR→UK</t>
        </is>
      </c>
      <c r="B89" s="313" t="inlineStr">
        <is>
          <t>IC-2025-002</t>
        </is>
      </c>
      <c r="C89" s="313" t="inlineStr">
        <is>
          <t>14 446 k€</t>
        </is>
      </c>
      <c r="D89" s="313" t="inlineStr">
        <is>
          <t>DR Ventes IC / CR Achats IC (converties en EUR)</t>
        </is>
      </c>
      <c r="E89" s="313" t="inlineStr">
        <is>
          <t>ELIM §1 ligne 7</t>
        </is>
      </c>
    </row>
    <row r="90" ht="38.1" customHeight="1" s="500">
      <c r="A90" s="310" t="inlineStr">
        <is>
          <t>Management fees FR→US</t>
        </is>
      </c>
      <c r="B90" s="310" t="inlineStr">
        <is>
          <t>IC-2025-003</t>
        </is>
      </c>
      <c r="C90" s="310" t="inlineStr">
        <is>
          <t>7 803 k€</t>
        </is>
      </c>
      <c r="D90" s="310" t="inlineStr">
        <is>
          <t>DR Produits services IC / CR Charges services IC</t>
        </is>
      </c>
      <c r="E90" s="310" t="inlineStr">
        <is>
          <t>ELIM §1 ligne 8</t>
        </is>
      </c>
    </row>
    <row r="91" ht="38.1" customHeight="1" s="500">
      <c r="A91" s="313" t="inlineStr">
        <is>
          <t>Prêt interco FR→SG</t>
        </is>
      </c>
      <c r="B91" s="313" t="inlineStr">
        <is>
          <t>IC-2025-004</t>
        </is>
      </c>
      <c r="C91" s="313" t="inlineStr">
        <is>
          <t>3 526 k€</t>
        </is>
      </c>
      <c r="D91" s="313" t="inlineStr">
        <is>
          <t>DR Créance fin. IC / CR Dette fin. IC → nul au bilan</t>
        </is>
      </c>
      <c r="E91" s="313" t="inlineStr">
        <is>
          <t>ELIM §1 ligne 9</t>
        </is>
      </c>
    </row>
    <row r="92" ht="38.1" customHeight="1" s="500">
      <c r="A92" s="310" t="inlineStr">
        <is>
          <t>Dividendes IC DE→FR</t>
        </is>
      </c>
      <c r="B92" s="310" t="inlineStr">
        <is>
          <t>IC-2025-005</t>
        </is>
      </c>
      <c r="C92" s="310" t="inlineStr">
        <is>
          <t>4 200 k€</t>
        </is>
      </c>
      <c r="D92" s="310" t="inlineStr">
        <is>
          <t>DR Produits fin. IC / CR Dividendes versés IC → nul P&amp;L</t>
        </is>
      </c>
      <c r="E92" s="310" t="inlineStr">
        <is>
          <t>ELIM §1 ligne 10</t>
        </is>
      </c>
    </row>
    <row r="93" ht="38.1" customHeight="1" s="500">
      <c r="A93" s="313" t="inlineStr">
        <is>
          <t>Dividendes IC UK→FR</t>
        </is>
      </c>
      <c r="B93" s="313" t="inlineStr">
        <is>
          <t>IC-2025-006</t>
        </is>
      </c>
      <c r="C93" s="313" t="inlineStr">
        <is>
          <t>3 262 k€</t>
        </is>
      </c>
      <c r="D93" s="313" t="inlineStr">
        <is>
          <t>Idem (⚠ à vérifier – taux GBP)</t>
        </is>
      </c>
      <c r="E93" s="313" t="inlineStr">
        <is>
          <t>ELIM §1 ligne 11</t>
        </is>
      </c>
    </row>
    <row r="94" ht="38.1" customHeight="1" s="500">
      <c r="A94" s="310" t="inlineStr">
        <is>
          <t>Provision risque IC FR→SG</t>
        </is>
      </c>
      <c r="B94" s="310" t="inlineStr">
        <is>
          <t>IC-2025-007</t>
        </is>
      </c>
      <c r="C94" s="310" t="inlineStr">
        <is>
          <t>1 500 k€</t>
        </is>
      </c>
      <c r="D94" s="310" t="inlineStr">
        <is>
          <t>DR Provision actif IC / CR Risque passif IC</t>
        </is>
      </c>
      <c r="E94" s="310" t="inlineStr">
        <is>
          <t>ELIM §1 ligne 12</t>
        </is>
      </c>
    </row>
    <row r="95" ht="38.1" customHeight="1" s="500">
      <c r="A95" s="313" t="inlineStr">
        <is>
          <t>Titres de participation →CP</t>
        </is>
      </c>
      <c r="B95" s="313" t="inlineStr">
        <is>
          <t>IFRS 3 §32</t>
        </is>
      </c>
      <c r="C95" s="313" t="inlineStr">
        <is>
          <t>Voir §3 ci-dessus</t>
        </is>
      </c>
      <c r="D95" s="313" t="inlineStr">
        <is>
          <t>DR Capital filiale / CR Titres participation → Goodwill résiduel</t>
        </is>
      </c>
      <c r="E95" s="313" t="inlineStr">
        <is>
          <t>ELIM §2 lignes 15-18</t>
        </is>
      </c>
    </row>
    <row r="97" ht="14.1" customHeight="1" s="500"/>
    <row r="98" ht="27.95" customHeight="1" s="500">
      <c r="A98" s="307" t="inlineStr">
        <is>
          <t>§5  WORKFLOW DE CONSOLIDATION – PROCESSUS COMPLET EN 7 ÉTAPES</t>
        </is>
      </c>
    </row>
    <row r="99">
      <c r="A99" s="309" t="inlineStr">
        <is>
          <t>Étape</t>
        </is>
      </c>
      <c r="B99" s="309" t="inlineStr">
        <is>
          <t>Nom &amp; Icône</t>
        </is>
      </c>
      <c r="C99" s="309" t="inlineStr">
        <is>
          <t>Onglets concernés</t>
        </is>
      </c>
      <c r="D99" s="309" t="inlineStr">
        <is>
          <t>Description détaillée</t>
        </is>
      </c>
    </row>
    <row r="100" ht="45.95" customHeight="1" s="500">
      <c r="A100" s="334" t="inlineStr">
        <is>
          <t>ÉTAPE 1</t>
        </is>
      </c>
      <c r="B100" s="310" t="inlineStr">
        <is>
          <t>📥 Import &amp; Paramétrage</t>
        </is>
      </c>
      <c r="C100" s="310" t="inlineStr">
        <is>
          <t>Onglets SRC_FR/DE/UK/US/SG + PQ_TAUX_CHANGE</t>
        </is>
      </c>
      <c r="D100" s="310" t="inlineStr">
        <is>
          <t>Charger les balances locales en devise locale. Saisir taux de clôture, moyen, historique. Validation des totaux.</t>
        </is>
      </c>
    </row>
    <row r="101" ht="45.95" customHeight="1" s="500">
      <c r="A101" s="335" t="inlineStr">
        <is>
          <t>ÉTAPE 2</t>
        </is>
      </c>
      <c r="B101" s="313" t="inlineStr">
        <is>
          <t>🔄 Power Query – Normalisation</t>
        </is>
      </c>
      <c r="C101" s="313" t="inlineStr">
        <is>
          <t>PQ_MAPPING + BALANCES_PQ</t>
        </is>
      </c>
      <c r="D101" s="313" t="inlineStr">
        <is>
          <t>Power Query normalise les balances, applique les taux IAS 21, aligne les plans de comptes sur le référentiel Groupe.</t>
        </is>
      </c>
    </row>
    <row r="102" ht="45.95" customHeight="1" s="500">
      <c r="A102" s="334" t="inlineStr">
        <is>
          <t>ÉTAPE 3</t>
        </is>
      </c>
      <c r="B102" s="310" t="inlineStr">
        <is>
          <t>🔢 Agrégation des entités</t>
        </is>
      </c>
      <c r="C102" s="310" t="inlineStr">
        <is>
          <t>BALANCES_PQ + FORMULES_LIAISON</t>
        </is>
      </c>
      <c r="D102" s="310" t="inlineStr">
        <is>
          <t>Cumul des balances converties en EUR pour les 5 entités. Vérification: Total Actifs = Total Passifs pour chaque entité.</t>
        </is>
      </c>
    </row>
    <row r="103" ht="45.95" customHeight="1" s="500">
      <c r="A103" s="335" t="inlineStr">
        <is>
          <t>ÉTAPE 4</t>
        </is>
      </c>
      <c r="B103" s="313" t="inlineStr">
        <is>
          <t>✂️ Éliminations IC</t>
        </is>
      </c>
      <c r="C103" s="313" t="inlineStr">
        <is>
          <t>ELIM + PQ_ELIMINATIONS</t>
        </is>
      </c>
      <c r="D103" s="313" t="inlineStr">
        <is>
          <t>Application des 7 écritures d'élimination. Contrôle: Créances IC groupe = Dettes IC groupe (écart = 0 ou différence de change).</t>
        </is>
      </c>
    </row>
    <row r="104" ht="45.95" customHeight="1" s="500">
      <c r="A104" s="334" t="inlineStr">
        <is>
          <t>ÉTAPE 5</t>
        </is>
      </c>
      <c r="B104" s="310" t="inlineStr">
        <is>
          <t>📊 États financiers consolidés</t>
        </is>
      </c>
      <c r="C104" s="310" t="inlineStr">
        <is>
          <t>CONSOL_BILAN + CONSOL_CR + CONSOL_TRESORERIE</t>
        </is>
      </c>
      <c r="D104" s="310" t="inlineStr">
        <is>
          <t>Calcul automatique des états consolidés. Contrôle de la balance, du résultat net, de la trésorerie nette.</t>
        </is>
      </c>
    </row>
    <row r="105" ht="45.95" customHeight="1" s="500">
      <c r="A105" s="335" t="inlineStr">
        <is>
          <t>ÉTAPE 6</t>
        </is>
      </c>
      <c r="B105" s="313" t="inlineStr">
        <is>
          <t>🗺️ Reclassement IFRS 18</t>
        </is>
      </c>
      <c r="C105" s="313" t="inlineStr">
        <is>
          <t>IFRS18_MAPPING + NOTES_IFRS</t>
        </is>
      </c>
      <c r="D105" s="313" t="inlineStr">
        <is>
          <t>Affectation de chaque poste du P&amp;L aux 5 catégories IFRS 18. Calcul des sous-totaux obligatoires §47-48.</t>
        </is>
      </c>
    </row>
    <row r="106" ht="45.95" customHeight="1" s="500">
      <c r="A106" s="334" t="inlineStr">
        <is>
          <t>ÉTAPE 7</t>
        </is>
      </c>
      <c r="B106" s="310" t="inlineStr">
        <is>
          <t>📈 Dashboards &amp; Reporting</t>
        </is>
      </c>
      <c r="C106" s="310" t="inlineStr">
        <is>
          <t>DASHBOARD_FIN + DASHBOARD_ESG + CSRD_RAPPORT</t>
        </is>
      </c>
      <c r="D106" s="310" t="inlineStr">
        <is>
          <t>Lecture des KPIs, graphiques dynamiques, rapport de durabilité CSRD. Partage avec la direction.</t>
        </is>
      </c>
    </row>
    <row r="108" ht="14.1" customHeight="1" s="500"/>
    <row r="109" ht="27.95" customHeight="1" s="500">
      <c r="A109" s="307" t="inlineStr">
        <is>
          <t>§6  POWER QUERY – ARCHITECTURE &amp; LOGIQUE M (Automatisation de la consolidation)</t>
        </is>
      </c>
    </row>
    <row r="110" ht="44.1" customHeight="1" s="500">
      <c r="A110" s="308" t="inlineStr">
        <is>
          <t>Power Query (langage M) automatise la chaîne ETL de consolidation: Extract (sources locales SRC_*), Transform (normalisation, conversion devise, mapping comptes), Load (BALANCES_PQ consolidé). Chaque requête est documentée dans PQ_CODE. Le rafraîchissement global = 1 clic bouton ToutRafraichir.</t>
        </is>
      </c>
    </row>
    <row r="112">
      <c r="A112" s="309" t="inlineStr">
        <is>
          <t>Requête PQ</t>
        </is>
      </c>
      <c r="B112" s="309" t="inlineStr">
        <is>
          <t>Rôle</t>
        </is>
      </c>
      <c r="C112" s="309" t="inlineStr">
        <is>
          <t>Source → Destination</t>
        </is>
      </c>
      <c r="D112" s="309" t="inlineStr">
        <is>
          <t>Logique M principale</t>
        </is>
      </c>
    </row>
    <row r="113" ht="38.1" customHeight="1" s="500">
      <c r="A113" s="336" t="inlineStr">
        <is>
          <t>PQ_Balances_FR</t>
        </is>
      </c>
      <c r="B113" s="310" t="inlineStr">
        <is>
          <t>Import &amp; normalisation FR</t>
        </is>
      </c>
      <c r="C113" s="310" t="inlineStr">
        <is>
          <t>SRC_FR → BALANCES_PQ</t>
        </is>
      </c>
      <c r="D113" s="310" t="inlineStr">
        <is>
          <t>Table.SelectRows, Table.TransformColumnTypes, jointure taux IAS 21</t>
        </is>
      </c>
    </row>
    <row r="114" ht="38.1" customHeight="1" s="500">
      <c r="A114" s="337" t="inlineStr">
        <is>
          <t>PQ_Balances_DE/UK/US/SG</t>
        </is>
      </c>
      <c r="B114" s="313" t="inlineStr">
        <is>
          <t>Import 4 filiales étrangères</t>
        </is>
      </c>
      <c r="C114" s="313" t="inlineStr">
        <is>
          <t>SRC_DE/UK/US/SG → BALANCES_PQ</t>
        </is>
      </c>
      <c r="D114" s="313" t="inlineStr">
        <is>
          <t>Même logique + multiplication ColMontant × TauxEUR selon TypeTaux</t>
        </is>
      </c>
    </row>
    <row r="115" ht="38.1" customHeight="1" s="500">
      <c r="A115" s="336" t="inlineStr">
        <is>
          <t>PQ_MAPPING</t>
        </is>
      </c>
      <c r="B115" s="310" t="inlineStr">
        <is>
          <t>Correspondance plans de comptes</t>
        </is>
      </c>
      <c r="C115" s="310" t="inlineStr">
        <is>
          <t>IFRS18_MAPPING → BALANCES_PQ</t>
        </is>
      </c>
      <c r="D115" s="310" t="inlineStr">
        <is>
          <t>Table.Join sur CodeCompte pour ajouter catégorie IFRS 18 et libellé consolidé</t>
        </is>
      </c>
    </row>
    <row r="116" ht="38.1" customHeight="1" s="500">
      <c r="A116" s="337" t="inlineStr">
        <is>
          <t>PQ_ELIMINATIONS</t>
        </is>
      </c>
      <c r="B116" s="313" t="inlineStr">
        <is>
          <t>Calcul des éliminations IC</t>
        </is>
      </c>
      <c r="C116" s="313" t="inlineStr">
        <is>
          <t>ELIM → table d'éliminations nettes</t>
        </is>
      </c>
      <c r="D116" s="313" t="inlineStr">
        <is>
          <t>Agrégation par TypeIC + EntiteVendeuse/Acheteuse → montants à soustraire</t>
        </is>
      </c>
    </row>
    <row r="117" ht="38.1" customHeight="1" s="500">
      <c r="A117" s="336" t="inlineStr">
        <is>
          <t>PQ_TAUX_CHANGE</t>
        </is>
      </c>
      <c r="B117" s="310" t="inlineStr">
        <is>
          <t>Table de référence des taux</t>
        </is>
      </c>
      <c r="C117" s="310" t="inlineStr">
        <is>
          <t>Saisie manuelle → toutes requêtes</t>
        </is>
      </c>
      <c r="D117" s="310" t="inlineStr">
        <is>
          <t>Table pivot: Devise × TypeTaux → TauxEUR (utilisé par jointure dans toutes requêtes)</t>
        </is>
      </c>
    </row>
    <row r="118" ht="38.1" customHeight="1" s="500">
      <c r="A118" s="337" t="inlineStr">
        <is>
          <t>PQ_DETENTION</t>
        </is>
      </c>
      <c r="B118" s="313" t="inlineStr">
        <is>
          <t>Table des % de détention</t>
        </is>
      </c>
      <c r="C118" s="313" t="inlineStr">
        <is>
          <t>ELIM §2 → calcul NCI</t>
        </is>
      </c>
      <c r="D118" s="313" t="inlineStr">
        <is>
          <t>Pourcentages par filiale → calcul quote-part NCI bilan &amp; P&amp;L</t>
        </is>
      </c>
    </row>
    <row r="120" ht="14.1" customHeight="1" s="500"/>
    <row r="121" ht="27.95" customHeight="1" s="500">
      <c r="A121" s="307" t="inlineStr">
        <is>
          <t>§7  ESG / CSRD – CADRE RÉGLEMENTAIRE &amp; ESRS (European Sustainability Reporting Standards)</t>
        </is>
      </c>
    </row>
    <row r="122" ht="44.1" customHeight="1" s="500">
      <c r="A122" s="308" t="inlineStr">
        <is>
          <t>La CSRD (Corporate Sustainability Reporting Directive) impose aux grandes entreprises européennes un rapport de durabilité selon les ESRS. Applicable depuis 2025 pour les entreprises &gt; 500 salariés ou cotées. Ce simulateur couvre les piliers E (Environnement), S (Social), G (Gouvernance) selon les ESRS EFRAG.</t>
        </is>
      </c>
    </row>
    <row r="124">
      <c r="A124" s="338" t="inlineStr">
        <is>
          <t>Pilier CSRD</t>
        </is>
      </c>
      <c r="B124" s="338" t="inlineStr">
        <is>
          <t>Standard ESRS</t>
        </is>
      </c>
      <c r="C124" s="338" t="inlineStr">
        <is>
          <t>KPIs couverts dans le fichier</t>
        </is>
      </c>
      <c r="D124" s="338" t="inlineStr">
        <is>
          <t>Onglet(s)</t>
        </is>
      </c>
      <c r="E124" s="338" t="inlineStr">
        <is>
          <t>Seuil / Objectif 2030</t>
        </is>
      </c>
    </row>
    <row r="125" ht="69.95" customHeight="1" s="500">
      <c r="A125" s="340" t="inlineStr">
        <is>
          <t>🌍 E – Environnement</t>
        </is>
      </c>
      <c r="B125" s="339" t="inlineStr">
        <is>
          <t>ESRS E1 (Climat)
ESRS E2 (Pollution)
ESRS E4 (Biodiversité)</t>
        </is>
      </c>
      <c r="C125" s="339" t="inlineStr">
        <is>
          <t>CO₂ Scope 1 (direct), Scope 2 (énergie), Scope 3 (chaîne valeur)
Énergie renouvelable (% total), Consommation énergétique (MWh)
Déchets produits, taux recyclage, eau prélevée</t>
        </is>
      </c>
      <c r="D125" s="339" t="inlineStr">
        <is>
          <t>ESG_CARBONE
ESG_DATA
DASHBOARD_ESG</t>
        </is>
      </c>
      <c r="E125" s="339" t="inlineStr">
        <is>
          <t>Réduction 45% CO₂ vs 2019
(Accord de Paris 2015)</t>
        </is>
      </c>
    </row>
    <row r="126" ht="69.95" customHeight="1" s="500">
      <c r="A126" s="341" t="inlineStr">
        <is>
          <t>👥 S – Social</t>
        </is>
      </c>
      <c r="B126" s="313" t="inlineStr">
        <is>
          <t>ESRS S1 (Employés)
ESRS S2 (Chaîne valeur)</t>
        </is>
      </c>
      <c r="C126" s="313" t="inlineStr">
        <is>
          <t>Effectifs totaux par entité, turnover, CDI vs CDD
Parité H/F (% femmes cadres, CA, Dir.)
Accidents travail (LTIFR), heures formation/salarié</t>
        </is>
      </c>
      <c r="D126" s="313" t="inlineStr">
        <is>
          <t>ESG_DIVERSITE
ESG_DATA
DASHBOARD_ESG</t>
        </is>
      </c>
      <c r="E126" s="313" t="inlineStr">
        <is>
          <t>Parité 40% femmes CA
(Directive 2022/2381)</t>
        </is>
      </c>
    </row>
    <row r="127" ht="69.95" customHeight="1" s="500">
      <c r="A127" s="340" t="inlineStr">
        <is>
          <t>⚖️ G – Gouvernance</t>
        </is>
      </c>
      <c r="B127" s="339" t="inlineStr">
        <is>
          <t>ESRS G1 (Éthique)
ESRS G1 (Conduite affaires)</t>
        </is>
      </c>
      <c r="C127" s="339" t="inlineStr">
        <is>
          <t>Diversité Conseil d'Administration (H/F, nationalités)
Politique anti-corruption, alertes (whistleblowing)
Rémunérations dirigeants vs médiane salariés</t>
        </is>
      </c>
      <c r="D127" s="339" t="inlineStr">
        <is>
          <t>ESG_DATA
CSRD_RAPPORT</t>
        </is>
      </c>
      <c r="E127" s="339" t="inlineStr">
        <is>
          <t>Transparence rémunérations
(Say on Pay)</t>
        </is>
      </c>
    </row>
    <row r="129" ht="21.95" customHeight="1" s="500">
      <c r="A129" s="342" t="inlineStr">
        <is>
          <t>📌  SCOPES CO₂ (GHG Protocol) – Définitions</t>
        </is>
      </c>
    </row>
    <row r="130" ht="36" customHeight="1" s="500">
      <c r="A130" s="344" t="inlineStr">
        <is>
          <t>Scope 1 :</t>
        </is>
      </c>
      <c r="B130" s="343" t="inlineStr">
        <is>
          <t>ÉMISSIONS DIRECTES – combustion sur sites propres, flotte véhicules groupe (ex: usines, chaudières). Contrôle direct.</t>
        </is>
      </c>
    </row>
    <row r="131" ht="36" customHeight="1" s="500">
      <c r="A131" s="344" t="inlineStr">
        <is>
          <t>Scope 2 :</t>
        </is>
      </c>
      <c r="B131" s="343" t="inlineStr">
        <is>
          <t>ÉMISSIONS INDIRECTES ÉNERGIE – électricité et chaleur achetées. Dépend du mix énergétique national. Onglet ESG_CARBONE.</t>
        </is>
      </c>
    </row>
    <row r="132" ht="36" customHeight="1" s="500">
      <c r="A132" s="344" t="inlineStr">
        <is>
          <t>Scope 3 :</t>
        </is>
      </c>
      <c r="B132" s="343" t="inlineStr">
        <is>
          <t>ÉMISSIONS INDIRECTES CHAÎNE DE VALEUR – achats fournisseurs (amont) + utilisation produits clients (aval). Le plus difficile à mesurer (~70-90% empreinte totale).</t>
        </is>
      </c>
    </row>
    <row r="133" ht="36" customHeight="1" s="500">
      <c r="A133" s="344" t="inlineStr">
        <is>
          <t>Intensité carbone :</t>
        </is>
      </c>
      <c r="B133" s="343" t="inlineStr">
        <is>
          <t>CO₂e / k€ de revenus. Indicateur de décorrélation croissance / empreinte. KPI clé Dashboard ESG.</t>
        </is>
      </c>
    </row>
    <row r="135" ht="14.1" customHeight="1" s="500"/>
    <row r="136" ht="27.95" customHeight="1" s="500">
      <c r="A136" s="333" t="inlineStr">
        <is>
          <t>§8  GLOSSAIRE CCA – CONSOLIDATION DES COMPTES ANNUELS (60+ termes)</t>
        </is>
      </c>
    </row>
    <row r="137">
      <c r="A137" s="309" t="inlineStr">
        <is>
          <t>Terme / Acronyme</t>
        </is>
      </c>
      <c r="B137" s="309" t="inlineStr">
        <is>
          <t>Définition complète</t>
        </is>
      </c>
      <c r="C137" s="309" t="inlineStr">
        <is>
          <t>Référence normative</t>
        </is>
      </c>
    </row>
    <row r="138" ht="36" customHeight="1" s="500">
      <c r="A138" s="336" t="inlineStr">
        <is>
          <t>Actif net (Net Assets)</t>
        </is>
      </c>
      <c r="B138" s="310" t="inlineStr">
        <is>
          <t>Total des actifs d'une entité moins ses passifs (= capitaux propres). Base de calcul du Goodwill lors d'une acquisition (IFRS 3).</t>
        </is>
      </c>
      <c r="C138" s="310" t="inlineStr">
        <is>
          <t>IFRS 3 §32; IAS 27</t>
        </is>
      </c>
    </row>
    <row r="139" ht="36" customHeight="1" s="500">
      <c r="A139" s="337" t="inlineStr">
        <is>
          <t>Actifs d'impôts différés (DTA)</t>
        </is>
      </c>
      <c r="B139" s="313" t="inlineStr">
        <is>
          <t>Montants d'IS récupérables dans les exercices futurs grâce à des différences temporaires déductibles ou des pertes reportées.</t>
        </is>
      </c>
      <c r="C139" s="313" t="inlineStr">
        <is>
          <t>IAS 12 §24-26</t>
        </is>
      </c>
    </row>
    <row r="140" ht="36" customHeight="1" s="500">
      <c r="A140" s="336" t="inlineStr">
        <is>
          <t>Agrégation (line-by-line)</t>
        </is>
      </c>
      <c r="B140" s="310" t="inlineStr">
        <is>
          <t>Méthode de consolidation intégrale: cumul ligne par ligne de 100% des actifs, passifs, produits et charges d'une filiale contrôlée.</t>
        </is>
      </c>
      <c r="C140" s="310" t="inlineStr">
        <is>
          <t>IFRS 10 §B86</t>
        </is>
      </c>
    </row>
    <row r="141" ht="36" customHeight="1" s="500">
      <c r="A141" s="337" t="inlineStr">
        <is>
          <t>Balance de consolidation</t>
        </is>
      </c>
      <c r="B141" s="313" t="inlineStr">
        <is>
          <t>Tableau récapitulatif des soldes de chaque entité après conversion en devise de présentation, avant éliminations IC.</t>
        </is>
      </c>
      <c r="C141" s="313" t="inlineStr">
        <is>
          <t>Ce fichier: BALANCES_PQ</t>
        </is>
      </c>
    </row>
    <row r="142" ht="36" customHeight="1" s="500">
      <c r="A142" s="336" t="inlineStr">
        <is>
          <t>Capitaux propres part du groupe (Equity attributable)</t>
        </is>
      </c>
      <c r="B142" s="310" t="inlineStr">
        <is>
          <t>Quote-part des fonds propres consolidés appartenant aux actionnaires de la société mère. Exclut les NCI.</t>
        </is>
      </c>
      <c r="C142" s="310" t="inlineStr">
        <is>
          <t>IAS 1 §54(r); IFRS 10</t>
        </is>
      </c>
    </row>
    <row r="143" ht="36" customHeight="1" s="500">
      <c r="A143" s="337" t="inlineStr">
        <is>
          <t>Catégorie IFRS 18</t>
        </is>
      </c>
      <c r="B143" s="313" t="inlineStr">
        <is>
          <t>L'une des 5 classes obligatoires du P&amp;L IFRS 18: Exploitation, Investissement, Financement, Impôts, Discontinu.</t>
        </is>
      </c>
      <c r="C143" s="313" t="inlineStr">
        <is>
          <t>IFRS 18 §45-85</t>
        </is>
      </c>
    </row>
    <row r="144" ht="36" customHeight="1" s="500">
      <c r="A144" s="336" t="inlineStr">
        <is>
          <t>Consolidation intégrale</t>
        </is>
      </c>
      <c r="B144" s="310" t="inlineStr">
        <is>
          <t>Méthode de consolidation où 100% des actifs/passifs/produits/charges d'une filiale contrôlée (&gt;50% votes) sont repris.</t>
        </is>
      </c>
      <c r="C144" s="310" t="inlineStr">
        <is>
          <t>IFRS 10 §19</t>
        </is>
      </c>
    </row>
    <row r="145" ht="36" customHeight="1" s="500">
      <c r="A145" s="337" t="inlineStr">
        <is>
          <t>Contrôle (Control)</t>
        </is>
      </c>
      <c r="B145" s="313" t="inlineStr">
        <is>
          <t>Pouvoir sur une entité, exposition aux rendements variables, et capacité d'influer sur ces rendements. Critère d'inclusion dans le périmètre.</t>
        </is>
      </c>
      <c r="C145" s="313" t="inlineStr">
        <is>
          <t>IFRS 10 §7</t>
        </is>
      </c>
    </row>
    <row r="146" ht="36" customHeight="1" s="500">
      <c r="A146" s="336" t="inlineStr">
        <is>
          <t>Conversion (Translation)</t>
        </is>
      </c>
      <c r="B146" s="310" t="inlineStr">
        <is>
          <t>Processus de transformation des états financiers d'une entité étrangère dans la devise de présentation du groupe, selon IAS 21.</t>
        </is>
      </c>
      <c r="C146" s="310" t="inlineStr">
        <is>
          <t>IAS 21 §38-47</t>
        </is>
      </c>
    </row>
    <row r="147" ht="36" customHeight="1" s="500">
      <c r="A147" s="337" t="inlineStr">
        <is>
          <t>DAP (Dotations Amortissements Provisions)</t>
        </is>
      </c>
      <c r="B147" s="313" t="inlineStr">
        <is>
          <t>Charges non décaissables réintégrées dans le résultat pour calculer le cash-flow opérationnel. Catégorie ① IFRS 18.</t>
        </is>
      </c>
      <c r="C147" s="313" t="inlineStr">
        <is>
          <t>IAS 16 §73; IAS 38</t>
        </is>
      </c>
    </row>
    <row r="148" ht="36" customHeight="1" s="500">
      <c r="A148" s="336" t="inlineStr">
        <is>
          <t>Devise de présentation</t>
        </is>
      </c>
      <c r="B148" s="310" t="inlineStr">
        <is>
          <t>Devise dans laquelle les états financiers consolidés sont établis. EUR pour ce groupe.</t>
        </is>
      </c>
      <c r="C148" s="310" t="inlineStr">
        <is>
          <t>IAS 21 §8,17</t>
        </is>
      </c>
    </row>
    <row r="149" ht="36" customHeight="1" s="500">
      <c r="A149" s="337" t="inlineStr">
        <is>
          <t>Devise fonctionnelle</t>
        </is>
      </c>
      <c r="B149" s="313" t="inlineStr">
        <is>
          <t>Devise de l'environnement économique principal dans lequel une entité opère (USD pour US_Filiale, GBP pour UK_Filiale…).</t>
        </is>
      </c>
      <c r="C149" s="313" t="inlineStr">
        <is>
          <t>IAS 21 §8-10</t>
        </is>
      </c>
    </row>
    <row r="150" ht="36" customHeight="1" s="500">
      <c r="A150" s="336" t="inlineStr">
        <is>
          <t>Différences temporaires</t>
        </is>
      </c>
      <c r="B150" s="310" t="inlineStr">
        <is>
          <t>Décalages entre la valeur comptable d'un actif/passif et sa base fiscale. Génèrent des impôts différés (DTA ou DTL).</t>
        </is>
      </c>
      <c r="C150" s="310" t="inlineStr">
        <is>
          <t>IAS 12 §15-24</t>
        </is>
      </c>
    </row>
    <row r="151" ht="36" customHeight="1" s="500">
      <c r="A151" s="337" t="inlineStr">
        <is>
          <t>Double comptage</t>
        </is>
      </c>
      <c r="B151" s="313" t="inlineStr">
        <is>
          <t>Risque principal en consolidation: compter deux fois une transaction interne au groupe. Éliminé par les écritures IC.</t>
        </is>
      </c>
      <c r="C151" s="313" t="inlineStr">
        <is>
          <t>IFRS 10 §B86</t>
        </is>
      </c>
    </row>
    <row r="152" ht="36" customHeight="1" s="500">
      <c r="A152" s="336" t="inlineStr">
        <is>
          <t>Écart d'acquisition (Goodwill)</t>
        </is>
      </c>
      <c r="B152" s="310" t="inlineStr">
        <is>
          <t>Surplus payé par l'acquéreur au-delà de la juste valeur de l'actif net identifiable. Reflète les synergies, la marque, la clientèle.</t>
        </is>
      </c>
      <c r="C152" s="310" t="inlineStr">
        <is>
          <t>IFRS 3 §32; IAS 36 §90</t>
        </is>
      </c>
    </row>
    <row r="153" ht="36" customHeight="1" s="500">
      <c r="A153" s="337" t="inlineStr">
        <is>
          <t>Écart de conversion (Translation Adjustment)</t>
        </is>
      </c>
      <c r="B153" s="313" t="inlineStr">
        <is>
          <t>Différence résultant de la conversion des états financiers étrangers, comptabilisée en OCI (Other Comprehensive Income).</t>
        </is>
      </c>
      <c r="C153" s="313" t="inlineStr">
        <is>
          <t>IAS 21 §41</t>
        </is>
      </c>
    </row>
    <row r="154" ht="36" customHeight="1" s="500">
      <c r="A154" s="336" t="inlineStr">
        <is>
          <t>EBITDA (Earnings Before Interest, Taxes, D&amp;A)</t>
        </is>
      </c>
      <c r="B154" s="310" t="inlineStr">
        <is>
          <t>Résultat avant intérêts, impôts, amortissements. MPM (Management Performance Measure) à réconcilier sous IFRS 18.</t>
        </is>
      </c>
      <c r="C154" s="310" t="inlineStr">
        <is>
          <t>IFRS 18 §B1-B12 (MPM)</t>
        </is>
      </c>
    </row>
    <row r="155" ht="36" customHeight="1" s="500">
      <c r="A155" s="337" t="inlineStr">
        <is>
          <t>Elimination IC (Intercompany Elimination)</t>
        </is>
      </c>
      <c r="B155" s="313" t="inlineStr">
        <is>
          <t>Annulation des créances/dettes et produits/charges entre entités du groupe pour présenter des états consolidés.</t>
        </is>
      </c>
      <c r="C155" s="313" t="inlineStr">
        <is>
          <t>IFRS 10 §B86</t>
        </is>
      </c>
    </row>
    <row r="156" ht="36" customHeight="1" s="500">
      <c r="A156" s="336" t="inlineStr">
        <is>
          <t>ESRS (European Sustainability Reporting Standards)</t>
        </is>
      </c>
      <c r="B156" s="310" t="inlineStr">
        <is>
          <t>Standards de reporting ESG définis par l'EFRAG pour application de la CSRD. Comprend E1-E5, S1-S4, G1.</t>
        </is>
      </c>
      <c r="C156" s="310" t="inlineStr">
        <is>
          <t>Directive 2022/2464/UE</t>
        </is>
      </c>
    </row>
    <row r="157" ht="36" customHeight="1" s="500">
      <c r="A157" s="337" t="inlineStr">
        <is>
          <t>Filiale (Subsidiary)</t>
        </is>
      </c>
      <c r="B157" s="313" t="inlineStr">
        <is>
          <t>Entité sur laquelle la société mère exerce le contrôle (IFRS 10 §7). Consolidée par intégration intégrale.</t>
        </is>
      </c>
      <c r="C157" s="313" t="inlineStr">
        <is>
          <t>IFRS 10 §7, §19</t>
        </is>
      </c>
    </row>
    <row r="158" ht="36" customHeight="1" s="500">
      <c r="A158" s="336" t="inlineStr">
        <is>
          <t>Flux de trésorerie (Cash Flow)</t>
        </is>
      </c>
      <c r="B158" s="310" t="inlineStr">
        <is>
          <t>Mouvements réels d'entrées et sorties de cash. Présenté en 3 catégories: opérationnel, investissement, financement (IAS 7).</t>
        </is>
      </c>
      <c r="C158" s="310" t="inlineStr">
        <is>
          <t>IAS 7; CONSOL_TRESORERIE</t>
        </is>
      </c>
    </row>
    <row r="159" ht="36" customHeight="1" s="500">
      <c r="A159" s="337" t="inlineStr">
        <is>
          <t>GHG Protocol (Greenhouse Gas Protocol)</t>
        </is>
      </c>
      <c r="B159" s="313" t="inlineStr">
        <is>
          <t>Standard international de quantification des émissions GES en Scopes 1, 2 et 3. Base du reporting CO₂ CSRD.</t>
        </is>
      </c>
      <c r="C159" s="313" t="inlineStr">
        <is>
          <t>ESRS E1; GHG Protocol 2004</t>
        </is>
      </c>
    </row>
    <row r="160" ht="36" customHeight="1" s="500">
      <c r="A160" s="336" t="inlineStr">
        <is>
          <t>Groupe (Reporting Entity)</t>
        </is>
      </c>
      <c r="B160" s="310" t="inlineStr">
        <is>
          <t>Ensemble formé par la société mère et toutes ses filiales. Les états consolidés représentent le groupe comme une seule entité.</t>
        </is>
      </c>
      <c r="C160" s="310" t="inlineStr">
        <is>
          <t>IFRS 10 §4</t>
        </is>
      </c>
    </row>
    <row r="161" ht="36" customHeight="1" s="500">
      <c r="A161" s="337" t="inlineStr">
        <is>
          <t>IAS 12 (Income Taxes)</t>
        </is>
      </c>
      <c r="B161" s="313" t="inlineStr">
        <is>
          <t>Norme comptabilisation IS courant et différé. Oblige à reconnaître DTA et DTL sur différences temporaires.</t>
        </is>
      </c>
      <c r="C161" s="313" t="inlineStr">
        <is>
          <t>IAS 12 §15-47</t>
        </is>
      </c>
    </row>
    <row r="162" ht="36" customHeight="1" s="500">
      <c r="A162" s="336" t="inlineStr">
        <is>
          <t>IAS 16 (PP&amp;E)</t>
        </is>
      </c>
      <c r="B162" s="310" t="inlineStr">
        <is>
          <t>Norme immobilisations corporelles: coût, amortissement, réévaluation, dépréciation (IAS 36).</t>
        </is>
      </c>
      <c r="C162" s="310" t="inlineStr">
        <is>
          <t>IAS 16; IAS 36</t>
        </is>
      </c>
    </row>
    <row r="163" ht="36" customHeight="1" s="500">
      <c r="A163" s="337" t="inlineStr">
        <is>
          <t>IAS 21 (Effects of Changes in FX)</t>
        </is>
      </c>
      <c r="B163" s="313" t="inlineStr">
        <is>
          <t>Norme conversion des opérations en monnaie étrangère et des états financiers d'entités étrangères.</t>
        </is>
      </c>
      <c r="C163" s="313" t="inlineStr">
        <is>
          <t>IAS 21 §8-50</t>
        </is>
      </c>
    </row>
    <row r="164" ht="36" customHeight="1" s="500">
      <c r="A164" s="336" t="inlineStr">
        <is>
          <t>IAS 36 (Impairment)</t>
        </is>
      </c>
      <c r="B164" s="310" t="inlineStr">
        <is>
          <t>Test de dépréciation des actifs (dont Goodwill). Valeur recouvrable = max(juste valeur nette, valeur d'utilité).</t>
        </is>
      </c>
      <c r="C164" s="310" t="inlineStr">
        <is>
          <t>IAS 36 §90, §104</t>
        </is>
      </c>
    </row>
    <row r="165" ht="36" customHeight="1" s="500">
      <c r="A165" s="337" t="inlineStr">
        <is>
          <t>IAS 7 (Cash Flow Statements)</t>
        </is>
      </c>
      <c r="B165" s="313" t="inlineStr">
        <is>
          <t>Norme tableaux de flux de trésorerie. 3 sections: exploitation, investissement, financement. Méthode indirecte ou directe.</t>
        </is>
      </c>
      <c r="C165" s="313" t="inlineStr">
        <is>
          <t>IAS 7 §10-17</t>
        </is>
      </c>
    </row>
    <row r="166" ht="36" customHeight="1" s="500">
      <c r="A166" s="336" t="inlineStr">
        <is>
          <t>IFRS 10 (Consolidated FS)</t>
        </is>
      </c>
      <c r="B166" s="310" t="inlineStr">
        <is>
          <t>Norme consolidation: définit le contrôle, le périmètre, la méthode d'intégration intégrale.</t>
        </is>
      </c>
      <c r="C166" s="310" t="inlineStr">
        <is>
          <t>IFRS 10 §4-19</t>
        </is>
      </c>
    </row>
    <row r="167" ht="36" customHeight="1" s="500">
      <c r="A167" s="337" t="inlineStr">
        <is>
          <t>IFRS 15 (Revenue)</t>
        </is>
      </c>
      <c r="B167" s="313" t="inlineStr">
        <is>
          <t>Norme reconnaissance du CA en 5 étapes: contrat, obligations, prix, allocation, satisfaction obligation.</t>
        </is>
      </c>
      <c r="C167" s="313" t="inlineStr">
        <is>
          <t>IFRS 15 §9-38</t>
        </is>
      </c>
    </row>
    <row r="168" ht="36" customHeight="1" s="500">
      <c r="A168" s="336" t="inlineStr">
        <is>
          <t>IFRS 16 (Leases)</t>
        </is>
      </c>
      <c r="B168" s="310" t="inlineStr">
        <is>
          <t>Norme contrats de location: reconnaître actif d'utilisation (ROU) et dette locative au bilan. Charges: DAP + intérêts.</t>
        </is>
      </c>
      <c r="C168" s="310" t="inlineStr">
        <is>
          <t>IFRS 16 §22-50</t>
        </is>
      </c>
    </row>
    <row r="169" ht="36" customHeight="1" s="500">
      <c r="A169" s="337" t="inlineStr">
        <is>
          <t>IFRS 18 (Presentation FS)</t>
        </is>
      </c>
      <c r="B169" s="313" t="inlineStr">
        <is>
          <t>Remplace IAS 1. 5 catégories P&amp;L, sous-totaux obligatoires, MPM en annexe. Applicable 1er janv. 2027.</t>
        </is>
      </c>
      <c r="C169" s="313" t="inlineStr">
        <is>
          <t>IFRS 18 §45-90</t>
        </is>
      </c>
    </row>
    <row r="170" ht="36" customHeight="1" s="500">
      <c r="A170" s="336" t="inlineStr">
        <is>
          <t>IFRS 3 (Business Combinations)</t>
        </is>
      </c>
      <c r="B170" s="310" t="inlineStr">
        <is>
          <t>Norme regroupements d'entreprises: méthode acquisition, Goodwill, PPA, NCI.</t>
        </is>
      </c>
      <c r="C170" s="310" t="inlineStr">
        <is>
          <t>IFRS 3 §32-40</t>
        </is>
      </c>
    </row>
    <row r="171" ht="36" customHeight="1" s="500">
      <c r="A171" s="337" t="inlineStr">
        <is>
          <t>IFRS 5 (Non-Current Assets Held for Sale)</t>
        </is>
      </c>
      <c r="B171" s="313" t="inlineStr">
        <is>
          <t>Actifs/passifs destinés à la vente et activités abandonnées. Catégorie ⑤ IFRS 18.</t>
        </is>
      </c>
      <c r="C171" s="313" t="inlineStr">
        <is>
          <t>IFRS 5 §6-23</t>
        </is>
      </c>
    </row>
    <row r="172" ht="36" customHeight="1" s="500">
      <c r="A172" s="336" t="inlineStr">
        <is>
          <t>Impôts différés passifs (DTL)</t>
        </is>
      </c>
      <c r="B172" s="310" t="inlineStr">
        <is>
          <t>IS à payer dans les exercices futurs résultant de différences temporaires imposables (ex: amortissement accéléré fiscal).</t>
        </is>
      </c>
      <c r="C172" s="310" t="inlineStr">
        <is>
          <t>IAS 12 §15</t>
        </is>
      </c>
    </row>
    <row r="173" ht="36" customHeight="1" s="500">
      <c r="A173" s="337" t="inlineStr">
        <is>
          <t>Intégration globale</t>
        </is>
      </c>
      <c r="B173" s="313" t="inlineStr">
        <is>
          <t>Synonyme de consolidation intégrale (IFRS 10). 100% des éléments + élimination des IC + séparation NCI.</t>
        </is>
      </c>
      <c r="C173" s="313" t="inlineStr">
        <is>
          <t>IFRS 10 §19</t>
        </is>
      </c>
    </row>
    <row r="174" ht="36" customHeight="1" s="500">
      <c r="A174" s="336" t="inlineStr">
        <is>
          <t>Intérêts minoritaires (NCI)</t>
        </is>
      </c>
      <c r="B174" s="310" t="inlineStr">
        <is>
          <t>Quote-part des actionnaires ne contrôlant pas dans les fonds propres et le résultat d'une filiale non détenue à 100%.</t>
        </is>
      </c>
      <c r="C174" s="310" t="inlineStr">
        <is>
          <t>IFRS 10 §22-24; IAS 1 §54</t>
        </is>
      </c>
    </row>
    <row r="175" ht="36" customHeight="1" s="500">
      <c r="A175" s="337" t="inlineStr">
        <is>
          <t>Juste valeur (Fair Value)</t>
        </is>
      </c>
      <c r="B175" s="313" t="inlineStr">
        <is>
          <t>Prix qui serait reçu à la vente d'un actif ou payé pour le transfert d'un passif dans une transaction normale. Utilisée dans PPA.</t>
        </is>
      </c>
      <c r="C175" s="313" t="inlineStr">
        <is>
          <t>IFRS 13; IFRS 3 §18</t>
        </is>
      </c>
    </row>
    <row r="176" ht="36" customHeight="1" s="500">
      <c r="A176" s="336" t="inlineStr">
        <is>
          <t>KPI (Key Performance Indicator)</t>
        </is>
      </c>
      <c r="B176" s="310" t="inlineStr">
        <is>
          <t>Indicateur clé de performance. Financier (EBITDA, ROE, levier) ou ESG (CO₂, parité, LTIFR) dans ce simulateur.</t>
        </is>
      </c>
      <c r="C176" s="310" t="inlineStr">
        <is>
          <t>Dashboards DASHBOARD_FIN/ESG</t>
        </is>
      </c>
    </row>
    <row r="177" ht="36" customHeight="1" s="500">
      <c r="A177" s="337" t="inlineStr">
        <is>
          <t>Liasse de consolidation</t>
        </is>
      </c>
      <c r="B177" s="313" t="inlineStr">
        <is>
          <t>Ensemble des états financiers locaux retraités et soumis par chaque entité pour la consolidation groupe.</t>
        </is>
      </c>
      <c r="C177" s="313" t="inlineStr">
        <is>
          <t>Ce fichier: onglets FR/DE/UK/US/SG</t>
        </is>
      </c>
    </row>
    <row r="178" ht="36" customHeight="1" s="500">
      <c r="A178" s="336" t="inlineStr">
        <is>
          <t>Management Performance Measure (MPM)</t>
        </is>
      </c>
      <c r="B178" s="310" t="inlineStr">
        <is>
          <t>Sous-total de résultat non standardisé communiqué en externe (ex: EBITDA). IFRS 18 exige réconciliation en annexe.</t>
        </is>
      </c>
      <c r="C178" s="310" t="inlineStr">
        <is>
          <t>IFRS 18 §B1-B12</t>
        </is>
      </c>
    </row>
    <row r="179" ht="36" customHeight="1" s="500">
      <c r="A179" s="337" t="inlineStr">
        <is>
          <t>Méthode de l'acquisition</t>
        </is>
      </c>
      <c r="B179" s="313" t="inlineStr">
        <is>
          <t>Unique méthode autorisée par IFRS 3: identifier acquéreur, date d'acquisition, mesurer actif net JV, calculer Goodwill.</t>
        </is>
      </c>
      <c r="C179" s="313" t="inlineStr">
        <is>
          <t>IFRS 3 §4-5</t>
        </is>
      </c>
    </row>
    <row r="180" ht="36" customHeight="1" s="500">
      <c r="A180" s="336" t="inlineStr">
        <is>
          <t>Mise en équivalence (Equity Method)</t>
        </is>
      </c>
      <c r="B180" s="310" t="inlineStr">
        <is>
          <t>Méthode pour les participations dans les entreprises associées (20-50%): quote-part résultat en P&amp;L, valeur bilantielle ajustée.</t>
        </is>
      </c>
      <c r="C180" s="310" t="inlineStr">
        <is>
          <t>IAS 28 §16-43</t>
        </is>
      </c>
    </row>
    <row r="181" ht="36" customHeight="1" s="500">
      <c r="A181" s="337" t="inlineStr">
        <is>
          <t>NCI (Non-Controlling Interests)</t>
        </is>
      </c>
      <c r="B181" s="313" t="inlineStr">
        <is>
          <t>Voir Intérêts minoritaires.</t>
        </is>
      </c>
      <c r="C181" s="313" t="inlineStr">
        <is>
          <t>IFRS 10 §22</t>
        </is>
      </c>
    </row>
    <row r="182" ht="36" customHeight="1" s="500">
      <c r="A182" s="336" t="inlineStr">
        <is>
          <t>OCI (Other Comprehensive Income)</t>
        </is>
      </c>
      <c r="B182" s="310" t="inlineStr">
        <is>
          <t>Produits/charges comptabilisés directement en capitaux propres, sans transiter par le P&amp;L (ex: écart de conversion IAS 21).</t>
        </is>
      </c>
      <c r="C182" s="310" t="inlineStr">
        <is>
          <t>IAS 1 §82A; IAS 21 §41</t>
        </is>
      </c>
    </row>
    <row r="183" ht="36" customHeight="1" s="500">
      <c r="A183" s="337" t="inlineStr">
        <is>
          <t>Périmètre de consolidation</t>
        </is>
      </c>
      <c r="B183" s="313" t="inlineStr">
        <is>
          <t>Ensemble des entités incluses dans les états consolidés. Déterminé par la notion de contrôle (IFRS 10).</t>
        </is>
      </c>
      <c r="C183" s="313" t="inlineStr">
        <is>
          <t>IFRS 10 §4-7</t>
        </is>
      </c>
    </row>
    <row r="184" ht="36" customHeight="1" s="500">
      <c r="A184" s="336" t="inlineStr">
        <is>
          <t>PP&amp;E (Property, Plant &amp; Equipment)</t>
        </is>
      </c>
      <c r="B184" s="310" t="inlineStr">
        <is>
          <t>Immobilisations corporelles: terrains, constructions, machines, équipements. Amorties sur durée d'utilité (IAS 16).</t>
        </is>
      </c>
      <c r="C184" s="310" t="inlineStr">
        <is>
          <t>IAS 16 §7</t>
        </is>
      </c>
    </row>
    <row r="185" ht="36" customHeight="1" s="500">
      <c r="A185" s="337" t="inlineStr">
        <is>
          <t>PPA (Purchase Price Allocation)</t>
        </is>
      </c>
      <c r="B185" s="313" t="inlineStr">
        <is>
          <t>Allocation du prix d'acquisition aux actifs identifiables et passifs repris à leur juste valeur (IFRS 3). Révèle marques, clients, brevets.</t>
        </is>
      </c>
      <c r="C185" s="313" t="inlineStr">
        <is>
          <t>IFRS 3 §18-31</t>
        </is>
      </c>
    </row>
    <row r="186" ht="36" customHeight="1" s="500">
      <c r="A186" s="336" t="inlineStr">
        <is>
          <t>Réconciliation (Reconciliation)</t>
        </is>
      </c>
      <c r="B186" s="310" t="inlineStr">
        <is>
          <t>Rapprochement ligne par ligne entre deux présentations d'un même solde. Obligatoire pour les MPM sous IFRS 18.</t>
        </is>
      </c>
      <c r="C186" s="310" t="inlineStr">
        <is>
          <t>IFRS 18 §B3-B8</t>
        </is>
      </c>
    </row>
    <row r="187" ht="36" customHeight="1" s="500">
      <c r="A187" s="337" t="inlineStr">
        <is>
          <t>Résultat opérationnel (Operating Profit)</t>
        </is>
      </c>
      <c r="B187" s="313" t="inlineStr">
        <is>
          <t>Sous-total IFRS 18 §47: résultat après catégorie ① exploitation uniquement. Sous-total imposé.</t>
        </is>
      </c>
      <c r="C187" s="313" t="inlineStr">
        <is>
          <t>IFRS 18 §47</t>
        </is>
      </c>
    </row>
    <row r="188" ht="36" customHeight="1" s="500">
      <c r="A188" s="336" t="inlineStr">
        <is>
          <t>ROU Asset (Right-of-Use Asset)</t>
        </is>
      </c>
      <c r="B188" s="310" t="inlineStr">
        <is>
          <t>Actif d'utilisation reconnu au bilan pour les contrats de location IFRS 16. Amorti sur durée du bail.</t>
        </is>
      </c>
      <c r="C188" s="310" t="inlineStr">
        <is>
          <t>IFRS 16 §22</t>
        </is>
      </c>
    </row>
    <row r="189" ht="36" customHeight="1" s="500">
      <c r="A189" s="337" t="inlineStr">
        <is>
          <t>Scope 1/2/3 CO₂</t>
        </is>
      </c>
      <c r="B189" s="313" t="inlineStr">
        <is>
          <t>Catégories d'émissions GES: Scope 1 direct, Scope 2 énergie indirecte, Scope 3 chaîne de valeur. Requis CSRD.</t>
        </is>
      </c>
      <c r="C189" s="313" t="inlineStr">
        <is>
          <t>GHG Protocol; ESRS E1</t>
        </is>
      </c>
    </row>
    <row r="190" ht="36" customHeight="1" s="500">
      <c r="A190" s="336" t="inlineStr">
        <is>
          <t>Société mère (Parent Company)</t>
        </is>
      </c>
      <c r="B190" s="310" t="inlineStr">
        <is>
          <t>Entité qui contrôle une ou plusieurs filiales. Prépare et présente les états financiers consolidés.</t>
        </is>
      </c>
      <c r="C190" s="310" t="inlineStr">
        <is>
          <t>IFRS 10 §4</t>
        </is>
      </c>
    </row>
    <row r="191" ht="36" customHeight="1" s="500">
      <c r="A191" s="337" t="inlineStr">
        <is>
          <t>Taux de clôture (Closing Rate)</t>
        </is>
      </c>
      <c r="B191" s="313" t="inlineStr">
        <is>
          <t>Taux de change à la date de clôture du bilan. Utilisé pour convertir les actifs/passifs monétaires (IAS 21 §23).</t>
        </is>
      </c>
      <c r="C191" s="313" t="inlineStr">
        <is>
          <t>IAS 21 §23</t>
        </is>
      </c>
    </row>
    <row r="192" ht="36" customHeight="1" s="500">
      <c r="A192" s="336" t="inlineStr">
        <is>
          <t>Taux historique (Historical Rate)</t>
        </is>
      </c>
      <c r="B192" s="310" t="inlineStr">
        <is>
          <t>Taux de change à la date d'origine d'une transaction (acquisition, apport en capital). Utilisé pour les capitaux propres.</t>
        </is>
      </c>
      <c r="C192" s="310" t="inlineStr">
        <is>
          <t>IAS 21 §39</t>
        </is>
      </c>
    </row>
    <row r="193" ht="36" customHeight="1" s="500">
      <c r="A193" s="337" t="inlineStr">
        <is>
          <t>Taux moyen (Average Rate)</t>
        </is>
      </c>
      <c r="B193" s="313" t="inlineStr">
        <is>
          <t>Approximation du taux historique quotidien sur une période. Utilisé pour P&amp;L (IAS 21 §39).</t>
        </is>
      </c>
      <c r="C193" s="313" t="inlineStr">
        <is>
          <t>IAS 21 §39-40</t>
        </is>
      </c>
    </row>
    <row r="194" ht="36" customHeight="1" s="500">
      <c r="A194" s="336" t="inlineStr">
        <is>
          <t>Test de dépréciation (Impairment Test)</t>
        </is>
      </c>
      <c r="B194" s="310" t="inlineStr">
        <is>
          <t>Test annuel obligatoire sur le Goodwill (IAS 36 §90). Valeur recouvrable vs valeur comptable par UGT.</t>
        </is>
      </c>
      <c r="C194" s="310" t="inlineStr">
        <is>
          <t>IAS 36 §90, §104</t>
        </is>
      </c>
    </row>
    <row r="195" ht="36" customHeight="1" s="500">
      <c r="A195" s="337" t="inlineStr">
        <is>
          <t>UGT (Unité Génératrice de Trésorerie)</t>
        </is>
      </c>
      <c r="B195" s="313" t="inlineStr">
        <is>
          <t>Plus petit groupe d'actifs générant des flux de trésorerie largement indépendants. Base du test de dépréciation IAS 36.</t>
        </is>
      </c>
      <c r="C195" s="313" t="inlineStr">
        <is>
          <t>IAS 36 §66-73</t>
        </is>
      </c>
    </row>
    <row r="196" ht="36" customHeight="1" s="500">
      <c r="A196" s="336" t="inlineStr">
        <is>
          <t>Valeur d'utilité (Value in Use)</t>
        </is>
      </c>
      <c r="B196" s="310" t="inlineStr">
        <is>
          <t>Valeur actuelle des flux de trésorerie futurs attendus d'un actif/UGT. Composante du test IAS 36.</t>
        </is>
      </c>
      <c r="C196" s="310" t="inlineStr">
        <is>
          <t>IAS 36 §30-57</t>
        </is>
      </c>
    </row>
    <row r="197" ht="36" customHeight="1" s="500">
      <c r="A197" s="337" t="inlineStr">
        <is>
          <t>Whistleblowing</t>
        </is>
      </c>
      <c r="B197" s="313" t="inlineStr">
        <is>
          <t>Dispositif d'alerte éthique permettant aux salariés de signaler des irrégularités. Requis par ESRS G1.</t>
        </is>
      </c>
      <c r="C197" s="313" t="inlineStr">
        <is>
          <t>ESRS G1; Dir. 2019/1937/UE</t>
        </is>
      </c>
    </row>
    <row r="200" ht="14.1" customHeight="1" s="500"/>
    <row r="201" ht="27.95" customHeight="1" s="500">
      <c r="A201" s="307" t="inlineStr">
        <is>
          <t>§9  SCHÉMAS &amp; FLUX – REPRÉSENTATION VISUELLE DE LA CONSOLIDATION</t>
        </is>
      </c>
    </row>
    <row r="203" ht="24" customHeight="1" s="500">
      <c r="A203" s="508" t="inlineStr">
        <is>
          <t>SCHÉMA 1 – ARCHITECTURE DU GROUPE (Périmètre de consolidation)</t>
        </is>
      </c>
    </row>
    <row r="204">
      <c r="A204" s="330" t="n"/>
      <c r="B204" s="330" t="inlineStr">
        <is>
          <t xml:space="preserve">         ┌────────────────────────────────────────────────┐</t>
        </is>
      </c>
      <c r="C204" s="330" t="n"/>
      <c r="D204" s="330" t="n"/>
    </row>
    <row r="205">
      <c r="A205" s="347" t="n"/>
      <c r="B205" s="347" t="inlineStr">
        <is>
          <t xml:space="preserve">         │    FR_ParentCo  (Société Mère – devise EUR)    │</t>
        </is>
      </c>
      <c r="C205" s="348" t="inlineStr">
        <is>
          <t>◄ Devise présentation EUR</t>
        </is>
      </c>
      <c r="D205" s="347" t="n"/>
    </row>
    <row r="206">
      <c r="A206" s="347" t="n"/>
      <c r="B206" s="347" t="inlineStr">
        <is>
          <t xml:space="preserve">         │    Onglets: FR_ParentCo / SRC_FR               │</t>
        </is>
      </c>
      <c r="C206" s="347" t="n"/>
      <c r="D206" s="347" t="n"/>
    </row>
    <row r="207">
      <c r="A207" s="330" t="n"/>
      <c r="B207" s="330" t="inlineStr">
        <is>
          <t xml:space="preserve">         └────┬──────────┬──────────┬──────────┬──────────┘</t>
        </is>
      </c>
      <c r="C207" s="330" t="n"/>
      <c r="D207" s="330" t="n"/>
    </row>
    <row r="208">
      <c r="A208" s="330" t="n"/>
      <c r="B208" s="330" t="inlineStr">
        <is>
          <t xml:space="preserve">              │ 100%     │  80%     │  75%     │  60%</t>
        </is>
      </c>
      <c r="C208" s="330" t="n"/>
      <c r="D208" s="330" t="n"/>
    </row>
    <row r="209">
      <c r="A209" s="330" t="n"/>
      <c r="B209" s="330" t="inlineStr">
        <is>
          <t xml:space="preserve">              ▼          ▼          ▼          ▼</t>
        </is>
      </c>
      <c r="C209" s="330" t="n"/>
      <c r="D209" s="330" t="n"/>
    </row>
    <row r="210">
      <c r="A210" s="330" t="n"/>
      <c r="B210" s="330" t="inlineStr">
        <is>
          <t xml:space="preserve">         ┌────────┐ ┌────────┐ ┌────────┐ ┌────────┐</t>
        </is>
      </c>
      <c r="C210" s="330" t="n"/>
      <c r="D210" s="330" t="n"/>
    </row>
    <row r="211">
      <c r="B211" s="330" t="inlineStr">
        <is>
          <t xml:space="preserve">         │DE_Fil. │ │UK_Fil. │ │US_Fil. │ │SG_Fil. │</t>
        </is>
      </c>
    </row>
    <row r="212">
      <c r="B212" s="330" t="inlineStr">
        <is>
          <t xml:space="preserve">         │  EUR   │ │  GBP   │ │  USD   │ │  SGD   │</t>
        </is>
      </c>
    </row>
    <row r="213">
      <c r="B213" s="330" t="inlineStr">
        <is>
          <t xml:space="preserve">         │GW:19.5M│ │GW:19.3M│ │GW:18.2M│ │GW: 8.3M│</t>
        </is>
      </c>
    </row>
    <row r="214">
      <c r="B214" s="330" t="inlineStr">
        <is>
          <t xml:space="preserve">         │NCI: 0% │ │NCI:20% │ │NCI:25% │ │NCI:40% │</t>
        </is>
      </c>
    </row>
    <row r="215">
      <c r="B215" s="330" t="inlineStr">
        <is>
          <t xml:space="preserve">         └────────┘ └────────┘ └────────┘ └────────┘</t>
        </is>
      </c>
    </row>
    <row r="216">
      <c r="B216" s="330" t="inlineStr">
        <is>
          <t xml:space="preserve">         (Intégr.)  (Intégr.)  (Intégr.)  (Intégr.)</t>
        </is>
      </c>
    </row>
    <row r="217">
      <c r="B217" s="330" t="inlineStr">
        <is>
          <t xml:space="preserve">              IAS 21: EUR  GBP→EUR  USD→EUR  SGD→EUR</t>
        </is>
      </c>
    </row>
    <row r="220" ht="24" customHeight="1" s="500">
      <c r="A220" s="309" t="inlineStr">
        <is>
          <t>SCHÉMA 2 – FLUX ETL Power Query (Extract → Transform → Load)</t>
        </is>
      </c>
    </row>
    <row r="221">
      <c r="A221" s="304" t="inlineStr">
        <is>
          <t>Phase</t>
        </is>
      </c>
      <c r="B221" s="304" t="inlineStr">
        <is>
          <t>Onglets</t>
        </is>
      </c>
      <c r="C221" s="304" t="inlineStr">
        <is>
          <t>Action</t>
        </is>
      </c>
      <c r="D221" s="304" t="inlineStr">
        <is>
          <t>Mécanisme PQ</t>
        </is>
      </c>
    </row>
    <row r="222" ht="33.95" customHeight="1" s="500">
      <c r="A222" s="328" t="inlineStr">
        <is>
          <t>EXTRACT</t>
        </is>
      </c>
      <c r="B222" s="310" t="inlineStr">
        <is>
          <t>SRC_FR/DE/UK/US/SG</t>
        </is>
      </c>
      <c r="C222" s="310" t="inlineStr">
        <is>
          <t>Lecture balances locales en devise locale</t>
        </is>
      </c>
      <c r="D222" s="310" t="inlineStr">
        <is>
          <t>Table.SelectRows, typage colonnes</t>
        </is>
      </c>
    </row>
    <row r="223" ht="33.95" customHeight="1" s="500">
      <c r="A223" s="329" t="inlineStr">
        <is>
          <t>TRANSFORM</t>
        </is>
      </c>
      <c r="B223" s="313" t="inlineStr">
        <is>
          <t>PQ_MAPPING + PQ_TAUX_CHANGE</t>
        </is>
      </c>
      <c r="C223" s="313" t="inlineStr">
        <is>
          <t>Normalisation + conversion IAS 21 + cat. IFRS 18</t>
        </is>
      </c>
      <c r="D223" s="313" t="inlineStr">
        <is>
          <t>Table.Join CodeCompte &amp; Devise × TypeTaux</t>
        </is>
      </c>
    </row>
    <row r="224" ht="33.95" customHeight="1" s="500">
      <c r="A224" s="328" t="inlineStr">
        <is>
          <t>ELIMINATE</t>
        </is>
      </c>
      <c r="B224" s="310" t="inlineStr">
        <is>
          <t>PQ_ELIMINATIONS + ELIM</t>
        </is>
      </c>
      <c r="C224" s="310" t="inlineStr">
        <is>
          <t>Soustraction 7 écritures intercompagnies</t>
        </is>
      </c>
      <c r="D224" s="310" t="inlineStr">
        <is>
          <t>Table.Group par TypeIC, signe -1</t>
        </is>
      </c>
    </row>
    <row r="225" ht="33.95" customHeight="1" s="500">
      <c r="A225" s="329" t="inlineStr">
        <is>
          <t>LOAD</t>
        </is>
      </c>
      <c r="B225" s="313" t="inlineStr">
        <is>
          <t>BALANCES_PQ</t>
        </is>
      </c>
      <c r="C225" s="313" t="inlineStr">
        <is>
          <t>Table maître consolidée toutes entités en EUR</t>
        </is>
      </c>
      <c r="D225" s="313" t="inlineStr">
        <is>
          <t>Source unique états consolidés</t>
        </is>
      </c>
    </row>
    <row r="226" ht="33.95" customHeight="1" s="500">
      <c r="A226" s="328" t="inlineStr">
        <is>
          <t>REPORT</t>
        </is>
      </c>
      <c r="B226" s="310" t="inlineStr">
        <is>
          <t>CONSOL_BILAN + CR + TRESORERIE</t>
        </is>
      </c>
      <c r="C226" s="310" t="inlineStr">
        <is>
          <t>États financiers IFRS + Dashboards</t>
        </is>
      </c>
      <c r="D226" s="310" t="inlineStr">
        <is>
          <t>Formules SUMIF/INDEX sur BALANCES_PQ</t>
        </is>
      </c>
    </row>
    <row r="229" ht="24" customHeight="1" s="500">
      <c r="A229" s="309" t="inlineStr">
        <is>
          <t>SCHÉMA 3 – CONVERSION IAS 21 (UK_Filiale GBP → EUR, exemple chiffré)</t>
        </is>
      </c>
    </row>
    <row r="230">
      <c r="A230" s="304" t="inlineStr">
        <is>
          <t>Poste (GBP local)</t>
        </is>
      </c>
      <c r="B230" s="304" t="inlineStr">
        <is>
          <t>Montant GBP</t>
        </is>
      </c>
      <c r="C230" s="304" t="inlineStr">
        <is>
          <t>Taux IAS 21</t>
        </is>
      </c>
      <c r="D230" s="304" t="inlineStr">
        <is>
          <t>Montant EUR</t>
        </is>
      </c>
      <c r="E230" s="304" t="inlineStr">
        <is>
          <t>§ IAS 21</t>
        </is>
      </c>
    </row>
    <row r="231">
      <c r="A231" s="330" t="inlineStr">
        <is>
          <t>Immobilisations (PP&amp;E)</t>
        </is>
      </c>
      <c r="B231" s="330" t="inlineStr">
        <is>
          <t>85 000</t>
        </is>
      </c>
      <c r="C231" s="330" t="inlineStr">
        <is>
          <t>× 1.165 (CLÔTURE)</t>
        </is>
      </c>
      <c r="D231" s="330" t="inlineStr">
        <is>
          <t>99 025</t>
        </is>
      </c>
      <c r="E231" s="330" t="inlineStr">
        <is>
          <t>§23</t>
        </is>
      </c>
    </row>
    <row r="232">
      <c r="A232" s="540" t="inlineStr">
        <is>
          <t>Créances clients</t>
        </is>
      </c>
      <c r="B232" s="540" t="inlineStr">
        <is>
          <t>18 000</t>
        </is>
      </c>
      <c r="C232" s="540" t="inlineStr">
        <is>
          <t>× 1.165 (CLÔTURE)</t>
        </is>
      </c>
      <c r="D232" s="540" t="inlineStr">
        <is>
          <t>20 970</t>
        </is>
      </c>
      <c r="E232" s="540" t="inlineStr">
        <is>
          <t>§23</t>
        </is>
      </c>
    </row>
    <row r="233">
      <c r="A233" s="330" t="inlineStr">
        <is>
          <t>Dettes fournisseurs</t>
        </is>
      </c>
      <c r="B233" s="330" t="inlineStr">
        <is>
          <t>(12 000)</t>
        </is>
      </c>
      <c r="C233" s="330" t="inlineStr">
        <is>
          <t>× 1.165 (CLÔTURE)</t>
        </is>
      </c>
      <c r="D233" s="330" t="inlineStr">
        <is>
          <t>(13 980)</t>
        </is>
      </c>
      <c r="E233" s="330" t="inlineStr">
        <is>
          <t>§23</t>
        </is>
      </c>
    </row>
    <row r="234">
      <c r="A234" s="540" t="inlineStr">
        <is>
          <t>Capital social (acq.)</t>
        </is>
      </c>
      <c r="B234" s="540" t="inlineStr">
        <is>
          <t>50 000</t>
        </is>
      </c>
      <c r="C234" s="540" t="inlineStr">
        <is>
          <t>× 1.120 (HISTORIQUE)</t>
        </is>
      </c>
      <c r="D234" s="540" t="inlineStr">
        <is>
          <t>56 000</t>
        </is>
      </c>
      <c r="E234" s="540" t="inlineStr">
        <is>
          <t>§39</t>
        </is>
      </c>
    </row>
    <row r="235">
      <c r="A235" s="330" t="inlineStr">
        <is>
          <t>Chiffre d'affaires</t>
        </is>
      </c>
      <c r="B235" s="330" t="inlineStr">
        <is>
          <t>140 500</t>
        </is>
      </c>
      <c r="C235" s="330" t="inlineStr">
        <is>
          <t>× 1.155 (MOYEN)</t>
        </is>
      </c>
      <c r="D235" s="330" t="inlineStr">
        <is>
          <t>162 278</t>
        </is>
      </c>
      <c r="E235" s="330" t="inlineStr">
        <is>
          <t>§39</t>
        </is>
      </c>
    </row>
    <row r="236">
      <c r="A236" s="540" t="inlineStr">
        <is>
          <t>Charges de personnel</t>
        </is>
      </c>
      <c r="B236" s="540" t="inlineStr">
        <is>
          <t>(43 776)</t>
        </is>
      </c>
      <c r="C236" s="540" t="inlineStr">
        <is>
          <t>× 1.155 (MOYEN)</t>
        </is>
      </c>
      <c r="D236" s="540" t="inlineStr">
        <is>
          <t>(50 562)</t>
        </is>
      </c>
      <c r="E236" s="540" t="inlineStr">
        <is>
          <t>§39</t>
        </is>
      </c>
    </row>
    <row r="237">
      <c r="A237" s="350" t="inlineStr">
        <is>
          <t>ÉCART DE CONVERSION</t>
        </is>
      </c>
      <c r="B237" s="350" t="inlineStr">
        <is>
          <t>Résiduel</t>
        </is>
      </c>
      <c r="C237" s="350" t="inlineStr">
        <is>
          <t>→ OCI (non recyclable)</t>
        </is>
      </c>
      <c r="D237" s="350" t="inlineStr">
        <is>
          <t>Calculé auto.</t>
        </is>
      </c>
      <c r="E237" s="350" t="inlineStr">
        <is>
          <t>§41</t>
        </is>
      </c>
    </row>
    <row r="244" ht="14.1" customHeight="1" s="500"/>
    <row r="245" ht="27.95" customHeight="1" s="500">
      <c r="A245" s="307" t="inlineStr">
        <is>
          <t>§10  AUDIT TRAIL – TRAÇABILITÉ COMPLÈTE DES CALCULS &amp; CONTRÔLES QUALITÉ</t>
        </is>
      </c>
    </row>
    <row r="246" ht="39.95" customHeight="1" s="500">
      <c r="A246" s="308" t="inlineStr">
        <is>
          <t>L'audit trail documente chaque transformation de données, de la source brute aux états financiers finaux. Tout auditeur peut retracer l'origine de chaque chiffre et valider les choix IFRS.</t>
        </is>
      </c>
    </row>
    <row r="248">
      <c r="A248" s="309" t="inlineStr">
        <is>
          <t>Onglet / Cellule</t>
        </is>
      </c>
      <c r="B248" s="309" t="inlineStr">
        <is>
          <t>Formule / Valeur</t>
        </is>
      </c>
      <c r="C248" s="309" t="inlineStr">
        <is>
          <t>Source primaire</t>
        </is>
      </c>
      <c r="D248" s="309" t="inlineStr">
        <is>
          <t>Transformation appliquée</t>
        </is>
      </c>
      <c r="E248" s="309" t="inlineStr">
        <is>
          <t>Contrôle qualité</t>
        </is>
      </c>
    </row>
    <row r="249">
      <c r="A249" t="inlineStr">
        <is>
          <t>CONSOL_BILAN – Total Actifs</t>
        </is>
      </c>
    </row>
    <row r="262">
      <c r="A262" s="309" t="inlineStr">
        <is>
          <t>ONGLET / CELLULE</t>
        </is>
      </c>
      <c r="B262" s="309" t="inlineStr">
        <is>
          <t>FORMULE / VALEUR TYPE</t>
        </is>
      </c>
      <c r="C262" s="309" t="inlineStr">
        <is>
          <t>SOURCE PRIMAIRE</t>
        </is>
      </c>
      <c r="D262" s="309" t="inlineStr">
        <is>
          <t>TRANSFORMATION</t>
        </is>
      </c>
      <c r="E262" s="309" t="inlineStr">
        <is>
          <t>CONTRÔLE QUALITÉ</t>
        </is>
      </c>
    </row>
    <row r="263">
      <c r="A263" s="353" t="inlineStr">
        <is>
          <t>CONSOL_BILAN Total Actifs</t>
        </is>
      </c>
      <c r="B263" s="354" t="inlineStr">
        <is>
          <t>=SUMIF(BALANCES_PQ)</t>
        </is>
      </c>
      <c r="C263" s="354" t="inlineStr">
        <is>
          <t>SRC_FR/DE/UK/US/SG</t>
        </is>
      </c>
      <c r="D263" s="354" t="inlineStr">
        <is>
          <t>Agrégation PQ + taux IAS21 clôture</t>
        </is>
      </c>
      <c r="E263" s="354" t="inlineStr">
        <is>
          <t>Total Actifs = Total Passifs</t>
        </is>
      </c>
    </row>
    <row r="264">
      <c r="A264" s="356" t="inlineStr">
        <is>
          <t>CONSOL_CR CA Groupe</t>
        </is>
      </c>
      <c r="B264" s="355" t="inlineStr">
        <is>
          <t>=SUMIF(catégorie)</t>
        </is>
      </c>
      <c r="C264" s="355" t="inlineStr">
        <is>
          <t>SRC comptes CA</t>
        </is>
      </c>
      <c r="D264" s="355" t="inlineStr">
        <is>
          <t>Conversion taux moyen IAS 21</t>
        </is>
      </c>
      <c r="E264" s="355" t="inlineStr">
        <is>
          <t>IFRS18_MAPPING catégorie ①</t>
        </is>
      </c>
    </row>
    <row r="265">
      <c r="A265" s="353" t="inlineStr">
        <is>
          <t>ELIM Total IC</t>
        </is>
      </c>
      <c r="B265" s="354" t="inlineStr">
        <is>
          <t>=SUMPRODUCT(Montant)</t>
        </is>
      </c>
      <c r="C265" s="354" t="inlineStr">
        <is>
          <t>ELIM §1</t>
        </is>
      </c>
      <c r="D265" s="354" t="inlineStr">
        <is>
          <t>Taux change par IC</t>
        </is>
      </c>
      <c r="E265" s="354" t="inlineStr">
        <is>
          <t>Créances IC = Dettes IC</t>
        </is>
      </c>
    </row>
    <row r="266">
      <c r="A266" s="356" t="inlineStr">
        <is>
          <t>PQ_TAUX_CHANGE GBP Clôture</t>
        </is>
      </c>
      <c r="B266" s="355" t="inlineStr">
        <is>
          <t>1.165 (saisie manuelle)</t>
        </is>
      </c>
      <c r="C266" s="355" t="inlineStr">
        <is>
          <t>Source BCE officielle</t>
        </is>
      </c>
      <c r="D266" s="355" t="inlineStr">
        <is>
          <t>Table référence statique</t>
        </is>
      </c>
      <c r="E266" s="355" t="inlineStr">
        <is>
          <t>Rapprochement BCE requis</t>
        </is>
      </c>
    </row>
    <row r="267">
      <c r="A267" s="353" t="inlineStr">
        <is>
          <t>IFRS18_MAPPING Catégorie</t>
        </is>
      </c>
      <c r="B267" s="354" t="inlineStr">
        <is>
          <t>EXPLOITATION (texte)</t>
        </is>
      </c>
      <c r="C267" s="354" t="inlineStr">
        <is>
          <t>IFRS 18 §55</t>
        </is>
      </c>
      <c r="D267" s="354" t="inlineStr">
        <is>
          <t>Reclassement manuel validé</t>
        </is>
      </c>
      <c r="E267" s="354" t="inlineStr">
        <is>
          <t>5 catégories uniquement</t>
        </is>
      </c>
    </row>
    <row r="268">
      <c r="A268" s="356" t="inlineStr">
        <is>
          <t>DASHBOARD_FIN EBITDA</t>
        </is>
      </c>
      <c r="B268" s="355" t="inlineStr">
        <is>
          <t>=CONSOL_CR!EBITDA</t>
        </is>
      </c>
      <c r="C268" s="355" t="inlineStr">
        <is>
          <t>CONSOL_CR résultat</t>
        </is>
      </c>
      <c r="D268" s="355" t="inlineStr">
        <is>
          <t>Liaison directe</t>
        </is>
      </c>
      <c r="E268" s="355" t="inlineStr">
        <is>
          <t>Réconciliation MPM §B1-B12</t>
        </is>
      </c>
    </row>
    <row r="269">
      <c r="A269" s="353" t="inlineStr">
        <is>
          <t>ESG_CARBONE CO2 Scope 1</t>
        </is>
      </c>
      <c r="B269" s="354" t="inlineStr">
        <is>
          <t>Saisie k tCO2e</t>
        </is>
      </c>
      <c r="C269" s="354" t="inlineStr">
        <is>
          <t>Données opérations</t>
        </is>
      </c>
      <c r="D269" s="354" t="inlineStr">
        <is>
          <t>Somme entités</t>
        </is>
      </c>
      <c r="E269" s="354" t="inlineStr">
        <is>
          <t>Facteurs GHG Protocol</t>
        </is>
      </c>
    </row>
    <row r="270">
      <c r="A270" s="356" t="inlineStr">
        <is>
          <t>GOODWILL net DE_Filiale</t>
        </is>
      </c>
      <c r="B270" s="355" t="inlineStr">
        <is>
          <t>85000-62000-3500=19500</t>
        </is>
      </c>
      <c r="C270" s="355" t="inlineStr">
        <is>
          <t>ELIM §2 ligne 15</t>
        </is>
      </c>
      <c r="D270" s="355" t="inlineStr">
        <is>
          <t>PPA IFRS3 + dépréc. IAS36</t>
        </is>
      </c>
      <c r="E270" s="355" t="inlineStr">
        <is>
          <t>Test dépréciation IAS36</t>
        </is>
      </c>
    </row>
    <row r="271">
      <c r="A271" s="353" t="inlineStr">
        <is>
          <t>NCI UK_Filiale bilan</t>
        </is>
      </c>
      <c r="B271" s="354" t="inlineStr">
        <is>
          <t>20pct x 48500 = 9700 k€</t>
        </is>
      </c>
      <c r="C271" s="354" t="inlineStr">
        <is>
          <t>ELIM §2 ligne 16</t>
        </is>
      </c>
      <c r="D271" s="354" t="inlineStr">
        <is>
          <t>Quote-part NCI 20%</t>
        </is>
      </c>
      <c r="E271" s="354" t="inlineStr">
        <is>
          <t>NCI Bilan + P&amp;L cohérents</t>
        </is>
      </c>
    </row>
    <row r="272">
      <c r="A272" s="356" t="inlineStr">
        <is>
          <t>ESG_DIVERSITE Femmes pct</t>
        </is>
      </c>
      <c r="B272" s="355" t="inlineStr">
        <is>
          <t>NbFemmes/NbTotal</t>
        </is>
      </c>
      <c r="C272" s="355" t="inlineStr">
        <is>
          <t>ESG_DATA effectifs</t>
        </is>
      </c>
      <c r="D272" s="355" t="inlineStr">
        <is>
          <t>Ratio automatique</t>
        </is>
      </c>
      <c r="E272" s="355" t="inlineStr">
        <is>
          <t>Seuil 40% Directive 2022 UE</t>
        </is>
      </c>
    </row>
    <row r="274" ht="24" customHeight="1" s="500">
      <c r="A274" s="357" t="inlineStr">
        <is>
          <t>CONTRÔLES DE COHÉRENCE – 8 points de vérification critiques</t>
        </is>
      </c>
    </row>
    <row r="275">
      <c r="A275" s="338" t="inlineStr">
        <is>
          <t>Contrôle</t>
        </is>
      </c>
      <c r="B275" s="338" t="inlineStr">
        <is>
          <t>Condition</t>
        </is>
      </c>
      <c r="C275" s="338" t="inlineStr">
        <is>
          <t>Onglet</t>
        </is>
      </c>
      <c r="D275" s="338" t="inlineStr">
        <is>
          <t>Alerte si anomalie</t>
        </is>
      </c>
    </row>
    <row r="276">
      <c r="A276" s="359" t="inlineStr">
        <is>
          <t>BILAN ÉQUILIBRÉ</t>
        </is>
      </c>
      <c r="B276" s="358" t="inlineStr">
        <is>
          <t>Total Actifs = Total Passifs + CP</t>
        </is>
      </c>
      <c r="C276" s="358" t="inlineStr">
        <is>
          <t>CONSOL_BILAN</t>
        </is>
      </c>
      <c r="D276" s="358" t="inlineStr">
        <is>
          <t>Si diff &gt; 0 → erreur élimination</t>
        </is>
      </c>
    </row>
    <row r="277">
      <c r="A277" s="360" t="inlineStr">
        <is>
          <t>IC COMPENSÉS</t>
        </is>
      </c>
      <c r="B277" s="540" t="inlineStr">
        <is>
          <t>Créances IC = Dettes IC groupe</t>
        </is>
      </c>
      <c r="C277" s="540" t="inlineStr">
        <is>
          <t>ELIM §1 Total</t>
        </is>
      </c>
      <c r="D277" s="540" t="inlineStr">
        <is>
          <t>Écart = diff change OK, sinon vérif</t>
        </is>
      </c>
    </row>
    <row r="278">
      <c r="A278" s="359" t="inlineStr">
        <is>
          <t>RÉSULTAT COHÉRENT</t>
        </is>
      </c>
      <c r="B278" s="358" t="inlineStr">
        <is>
          <t>P&amp;L Résultat = Var. CP (hors OCI)</t>
        </is>
      </c>
      <c r="C278" s="358" t="inlineStr">
        <is>
          <t>CR vs BILAN</t>
        </is>
      </c>
      <c r="D278" s="358" t="inlineStr">
        <is>
          <t>Écart → liaison manquante</t>
        </is>
      </c>
    </row>
    <row r="279">
      <c r="A279" s="360" t="inlineStr">
        <is>
          <t>TRÉSORERIE RAPPROCHÉE</t>
        </is>
      </c>
      <c r="B279" s="540" t="inlineStr">
        <is>
          <t>Tréso finale = initiale + flux nets</t>
        </is>
      </c>
      <c r="C279" s="540" t="inlineStr">
        <is>
          <t>CONSOL_TRESORERIE</t>
        </is>
      </c>
      <c r="D279" s="540" t="inlineStr">
        <is>
          <t>Écart → flux non classifié</t>
        </is>
      </c>
    </row>
    <row r="280">
      <c r="A280" s="359" t="inlineStr">
        <is>
          <t>IFRS 18 EXHAUSTIF</t>
        </is>
      </c>
      <c r="B280" s="358" t="inlineStr">
        <is>
          <t>100% postes P&amp;L → catégorie ①-⑤</t>
        </is>
      </c>
      <c r="C280" s="358" t="inlineStr">
        <is>
          <t>IFRS18_MAPPING</t>
        </is>
      </c>
      <c r="D280" s="358" t="inlineStr">
        <is>
          <t>Ligne vide = poste non classifié</t>
        </is>
      </c>
    </row>
    <row r="281">
      <c r="A281" s="360" t="inlineStr">
        <is>
          <t>NCI CONCORDANTS</t>
        </is>
      </c>
      <c r="B281" s="540" t="inlineStr">
        <is>
          <t>NCI Bilan + NCI P&amp;L = mouvement net</t>
        </is>
      </c>
      <c r="C281" s="540" t="inlineStr">
        <is>
          <t>CONSOL_BILAN + CR</t>
        </is>
      </c>
      <c r="D281" s="540" t="inlineStr">
        <is>
          <t>Vérifier mouvements NCI période</t>
        </is>
      </c>
    </row>
    <row r="282">
      <c r="A282" s="359" t="inlineStr">
        <is>
          <t>GOODWILL STABLE</t>
        </is>
      </c>
      <c r="B282" s="358" t="inlineStr">
        <is>
          <t>GW(t) = GW(t-1) – dépréc ± change</t>
        </is>
      </c>
      <c r="C282" s="358" t="inlineStr">
        <is>
          <t>ELIM §2</t>
        </is>
      </c>
      <c r="D282" s="358" t="inlineStr">
        <is>
          <t>Variation GW sans dépréc = anomalie</t>
        </is>
      </c>
    </row>
    <row r="283">
      <c r="A283" s="360" t="inlineStr">
        <is>
          <t>ESG COMPLET</t>
        </is>
      </c>
      <c r="B283" s="540" t="inlineStr">
        <is>
          <t>Tous KPIs ESRS E1/S1/G1 renseignés</t>
        </is>
      </c>
      <c r="C283" s="540" t="inlineStr">
        <is>
          <t>ESG_DATA + CSRD</t>
        </is>
      </c>
      <c r="D283" s="540" t="inlineStr">
        <is>
          <t>Valeur 0 = champ vide ou réel zéro</t>
        </is>
      </c>
    </row>
    <row r="285" ht="51.95" customHeight="1" s="500">
      <c r="A285" s="361" t="inlineStr">
        <is>
          <t>NOTE FINALE – Simulateur pédagogique. Données fictives créées à des fins de formation. Normes: IFRS 18 (2024), IAS 21, IFRS 3, IAS 12, CSRD/ESRS (Dir. 2022/2464/UE). Valider avec textes officiels IASB et EFRAG pour usage professionnel.</t>
        </is>
      </c>
    </row>
    <row r="287">
      <c r="A287" s="362" t="inlineStr">
        <is>
          <t>Mise à jour: Sat Feb 28 2026  |  Version: 1.0 FINALE  |  Simulateur IFRS 18 CCA  |  Usage: CV / Portfolio Finance</t>
        </is>
      </c>
    </row>
    <row r="290" ht="27.95" customHeight="1" s="500">
      <c r="A290" s="373" t="inlineStr">
        <is>
          <t>🔧  CODE VBA COMPLET – MACRO ToutRafraichir (à copier dans l'éditeur VBA Alt+F11)</t>
        </is>
      </c>
    </row>
    <row r="291" ht="44.1" customHeight="1" s="500">
      <c r="A291" s="374" t="inlineStr">
        <is>
          <t>INSTRUCTIONS : Alt+F11 → Insertion → Module → Coller le code ci-dessous → Alt+F4 → Retour Excel → Insertion → Formes → Rectangle → Clic droit → Affecter une macro → ToutRafraichir</t>
        </is>
      </c>
    </row>
    <row r="293">
      <c r="B293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94">
      <c r="B294" s="375" t="inlineStr">
        <is>
          <t xml:space="preserve"> MODULE : ToutRafraichir – Simulateur IFRS 18 / Consolidation / ESG</t>
        </is>
      </c>
    </row>
    <row r="295">
      <c r="B295" s="375" t="inlineStr">
        <is>
          <t xml:space="preserve"> VERSION : 1.0 FINALE | Date : Sat Feb 28 2026</t>
        </is>
      </c>
    </row>
    <row r="296">
      <c r="B296" s="375" t="inlineStr">
        <is>
          <t xml:space="preserve"> DESCRIPTION : Rafraîchit tous les Power Query, recalcule le modèle,</t>
        </is>
      </c>
    </row>
    <row r="297">
      <c r="B297" s="375" t="inlineStr">
        <is>
          <t xml:space="preserve">              met à jour les dashboards, et affiche un rapport de statut.</t>
        </is>
      </c>
    </row>
    <row r="298">
      <c r="B298" s="375" t="inlineStr">
        <is>
          <t xml:space="preserve"> USAGE : Alt+F11 → Insertion → Module → Coller ce code → Fermer</t>
        </is>
      </c>
    </row>
    <row r="299">
      <c r="B299" s="375" t="inlineStr">
        <is>
          <t xml:space="preserve">         Puis : Insertion → Formes → Dessiner bouton → Affecter ToutRafraichir</t>
        </is>
      </c>
    </row>
    <row r="300">
      <c r="B300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01">
      <c r="B301" s="376" t="n"/>
    </row>
    <row r="302">
      <c r="B302" s="377" t="inlineStr">
        <is>
          <t>Sub ToutRafraichir()</t>
        </is>
      </c>
    </row>
    <row r="303">
      <c r="B303" s="378" t="inlineStr">
        <is>
          <t xml:space="preserve">    ' ----- DÉCLARATIONS -----</t>
        </is>
      </c>
    </row>
    <row r="304">
      <c r="B304" s="379" t="inlineStr">
        <is>
          <t xml:space="preserve">    Dim wb As Workbook</t>
        </is>
      </c>
    </row>
    <row r="305">
      <c r="B305" s="379" t="inlineStr">
        <is>
          <t xml:space="preserve">    Dim ws As Worksheet</t>
        </is>
      </c>
    </row>
    <row r="306">
      <c r="B306" s="379" t="inlineStr">
        <is>
          <t xml:space="preserve">    Dim conn As WorkbookConnection</t>
        </is>
      </c>
    </row>
    <row r="307">
      <c r="B307" s="379" t="inlineStr">
        <is>
          <t xml:space="preserve">    Dim startTime As Double</t>
        </is>
      </c>
    </row>
    <row r="308">
      <c r="B308" s="379" t="inlineStr">
        <is>
          <t xml:space="preserve">    Dim elapsed As String</t>
        </is>
      </c>
    </row>
    <row r="309">
      <c r="B309" s="379" t="inlineStr">
        <is>
          <t xml:space="preserve">    Dim msgResult As String</t>
        </is>
      </c>
    </row>
    <row r="310">
      <c r="B310" s="379" t="inlineStr">
        <is>
          <t xml:space="preserve">    Dim errCount As Integer</t>
        </is>
      </c>
    </row>
    <row r="311">
      <c r="B311" s="379" t="inlineStr">
        <is>
          <t xml:space="preserve">    Dim logSheet As Worksheet</t>
        </is>
      </c>
    </row>
    <row r="312">
      <c r="B312" s="379" t="inlineStr">
        <is>
          <t xml:space="preserve">    Dim logRow As Long</t>
        </is>
      </c>
    </row>
    <row r="313">
      <c r="B313" s="376" t="n"/>
    </row>
    <row r="314">
      <c r="B314" s="379" t="inlineStr">
        <is>
          <t xml:space="preserve">    startTime = Timer</t>
        </is>
      </c>
    </row>
    <row r="315">
      <c r="B315" s="379" t="inlineStr">
        <is>
          <t xml:space="preserve">    Set wb = ThisWorkbook</t>
        </is>
      </c>
    </row>
    <row r="316">
      <c r="B316" s="379" t="inlineStr">
        <is>
          <t xml:space="preserve">    errCount = 0</t>
        </is>
      </c>
    </row>
    <row r="317">
      <c r="B317" s="379" t="inlineStr">
        <is>
          <t xml:space="preserve">    msgResult = ""</t>
        </is>
      </c>
    </row>
    <row r="318">
      <c r="B318" s="376" t="n"/>
    </row>
    <row r="319">
      <c r="B319" s="378" t="inlineStr">
        <is>
          <t xml:space="preserve">    ' ----- 1. INTERFACE : INDICATEUR DE PROGRESSION -----</t>
        </is>
      </c>
    </row>
    <row r="320">
      <c r="B320" s="379" t="inlineStr">
        <is>
          <t xml:space="preserve">    Application.ScreenUpdating = False</t>
        </is>
      </c>
    </row>
    <row r="321">
      <c r="B321" s="379" t="inlineStr">
        <is>
          <t xml:space="preserve">    Application.DisplayAlerts = False</t>
        </is>
      </c>
    </row>
    <row r="322">
      <c r="B322" s="379" t="inlineStr">
        <is>
          <t xml:space="preserve">    Application.EnableEvents = False</t>
        </is>
      </c>
    </row>
    <row r="323">
      <c r="B323" s="379" t="inlineStr">
        <is>
          <t xml:space="preserve">    Application.Calculation = xlCalculationManual</t>
        </is>
      </c>
    </row>
    <row r="324">
      <c r="B324" s="376" t="n"/>
    </row>
    <row r="325">
      <c r="B325" s="378" t="inlineStr">
        <is>
          <t xml:space="preserve">    ' Afficher message de chargement</t>
        </is>
      </c>
    </row>
    <row r="326">
      <c r="B326" s="379" t="inlineStr">
        <is>
          <t xml:space="preserve">    Application.StatusBar = "[1/5] Rafraîchissement Power Query en cours..."</t>
        </is>
      </c>
    </row>
    <row r="327">
      <c r="B327" s="376" t="n"/>
    </row>
    <row r="328">
      <c r="B328" s="378" t="inlineStr">
        <is>
          <t xml:space="preserve">    ' ----- 2. RAFRAÎCHISSEMENT POWER QUERY -----</t>
        </is>
      </c>
    </row>
    <row r="329">
      <c r="B329" s="379" t="inlineStr">
        <is>
          <t xml:space="preserve">    Dim pqNames() As String</t>
        </is>
      </c>
    </row>
    <row r="330">
      <c r="B330" s="379" t="inlineStr">
        <is>
          <t xml:space="preserve">    pqNames = Split("PQ_Balances_FR,PQ_Balances_DE,PQ_Balances_UK,PQ_Balances_US," &amp; _</t>
        </is>
      </c>
    </row>
    <row r="331">
      <c r="B331" s="379" t="inlineStr">
        <is>
          <t xml:space="preserve">              "PQ_Balances_SG,PQ_MAPPING,PQ_TAUX_CHANGE,PQ_ELIMINATIONS," &amp; _</t>
        </is>
      </c>
    </row>
    <row r="332">
      <c r="B332" s="379" t="inlineStr">
        <is>
          <t xml:space="preserve">              "PQ_DETENTION,PQ_DAX_MESURES", ",")</t>
        </is>
      </c>
    </row>
    <row r="333">
      <c r="B333" s="376" t="n"/>
    </row>
    <row r="334">
      <c r="B334" s="379" t="inlineStr">
        <is>
          <t xml:space="preserve">    For Each conn In wb.Connections</t>
        </is>
      </c>
    </row>
    <row r="335">
      <c r="B335" s="379" t="inlineStr">
        <is>
          <t xml:space="preserve">        On Error Resume Next</t>
        </is>
      </c>
    </row>
    <row r="336">
      <c r="B336" s="379" t="inlineStr">
        <is>
          <t xml:space="preserve">        conn.Refresh</t>
        </is>
      </c>
    </row>
    <row r="337">
      <c r="B337" s="379" t="inlineStr">
        <is>
          <t xml:space="preserve">        If Err.Number &lt;&gt; 0 Then</t>
        </is>
      </c>
    </row>
    <row r="338">
      <c r="B338" s="379" t="inlineStr">
        <is>
          <t xml:space="preserve">            errCount = errCount + 1</t>
        </is>
      </c>
    </row>
    <row r="339">
      <c r="B339" s="379" t="inlineStr">
        <is>
          <t xml:space="preserve">            msgResult = msgResult &amp; "⚠ Erreur PQ: " &amp; conn.Name &amp; Chr(10)</t>
        </is>
      </c>
    </row>
    <row r="340">
      <c r="B340" s="379" t="inlineStr">
        <is>
          <t xml:space="preserve">            Err.Clear</t>
        </is>
      </c>
    </row>
    <row r="341">
      <c r="B341" s="379" t="inlineStr">
        <is>
          <t xml:space="preserve">        Else</t>
        </is>
      </c>
    </row>
    <row r="342">
      <c r="B342" s="379" t="inlineStr">
        <is>
          <t xml:space="preserve">            msgResult = msgResult &amp; "✅ PQ OK: " &amp; conn.Name &amp; Chr(10)</t>
        </is>
      </c>
    </row>
    <row r="343">
      <c r="B343" s="379" t="inlineStr">
        <is>
          <t xml:space="preserve">        End If</t>
        </is>
      </c>
    </row>
    <row r="344">
      <c r="B344" s="379" t="inlineStr">
        <is>
          <t xml:space="preserve">        On Error GoTo 0</t>
        </is>
      </c>
    </row>
    <row r="345">
      <c r="B345" s="379" t="inlineStr">
        <is>
          <t xml:space="preserve">    Next conn</t>
        </is>
      </c>
    </row>
    <row r="346">
      <c r="B346" s="376" t="n"/>
    </row>
    <row r="347">
      <c r="B347" s="378" t="inlineStr">
        <is>
          <t xml:space="preserve">    ' Attendre fin des rafraîchissements asynchrones</t>
        </is>
      </c>
    </row>
    <row r="348">
      <c r="B348" s="379" t="inlineStr">
        <is>
          <t xml:space="preserve">    Application.StatusBar = "[2/5] Attente fin des rafraîchissements async..."</t>
        </is>
      </c>
    </row>
    <row r="349">
      <c r="B349" s="379" t="inlineStr">
        <is>
          <t xml:space="preserve">    Dim waitStart As Double</t>
        </is>
      </c>
    </row>
    <row r="350">
      <c r="B350" s="379" t="inlineStr">
        <is>
          <t xml:space="preserve">    waitStart = Timer</t>
        </is>
      </c>
    </row>
    <row r="351">
      <c r="B351" s="379" t="inlineStr">
        <is>
          <t xml:space="preserve">    Do While Timer - waitStart &lt; 5 ' Max 5s d'attente</t>
        </is>
      </c>
    </row>
    <row r="352">
      <c r="B352" s="379" t="inlineStr">
        <is>
          <t xml:space="preserve">        DoEvents</t>
        </is>
      </c>
    </row>
    <row r="353">
      <c r="B353" s="379" t="inlineStr">
        <is>
          <t xml:space="preserve">        Application.Wait Now + TimeValue("00:00:01")</t>
        </is>
      </c>
    </row>
    <row r="354">
      <c r="B354" s="379" t="inlineStr">
        <is>
          <t xml:space="preserve">        waitStart = Timer - 1 ' sortir après 1s</t>
        </is>
      </c>
    </row>
    <row r="355">
      <c r="B355" s="379" t="inlineStr">
        <is>
          <t xml:space="preserve">    Loop</t>
        </is>
      </c>
    </row>
    <row r="356">
      <c r="B356" s="376" t="n"/>
    </row>
    <row r="357">
      <c r="B357" s="378" t="inlineStr">
        <is>
          <t xml:space="preserve">    ' ----- 3. RECALCUL COMPLET DU MODÈLE -----</t>
        </is>
      </c>
    </row>
    <row r="358">
      <c r="B358" s="379" t="inlineStr">
        <is>
          <t xml:space="preserve">    Application.StatusBar = "[3/5] Recalcul des formules IFRS 18 et consolidation..."</t>
        </is>
      </c>
    </row>
    <row r="359">
      <c r="B359" s="379" t="inlineStr">
        <is>
          <t xml:space="preserve">    Application.Calculation = xlCalculationAutomatic</t>
        </is>
      </c>
    </row>
    <row r="360">
      <c r="B360" s="379" t="inlineStr">
        <is>
          <t xml:space="preserve">    Application.CalculateFull</t>
        </is>
      </c>
    </row>
    <row r="361">
      <c r="B361" s="379" t="inlineStr">
        <is>
          <t xml:space="preserve">    DoEvents</t>
        </is>
      </c>
    </row>
    <row r="362">
      <c r="B362" s="376" t="n"/>
    </row>
    <row r="363">
      <c r="B363" s="378" t="inlineStr">
        <is>
          <t xml:space="preserve">    ' Forcer recalcul sur onglets critiques</t>
        </is>
      </c>
    </row>
    <row r="364">
      <c r="B364" s="379" t="inlineStr">
        <is>
          <t xml:space="preserve">    Dim criticalSheets As Variant</t>
        </is>
      </c>
    </row>
    <row r="365">
      <c r="B365" s="379" t="inlineStr">
        <is>
          <t xml:space="preserve">    criticalSheets = Array("BALANCES_PQ", "CONSOL_BILAN", "CONSOL_CR", _</t>
        </is>
      </c>
    </row>
    <row r="366">
      <c r="B366" s="379" t="inlineStr">
        <is>
          <t xml:space="preserve">                          "CONSOL_TRESORERIE", "IFRS18_MAPPING", _</t>
        </is>
      </c>
    </row>
    <row r="367">
      <c r="B367" s="379" t="inlineStr">
        <is>
          <t xml:space="preserve">                          "ESG_DATA", "ESG_CARBONE", "ESG_DIVERSITE")</t>
        </is>
      </c>
    </row>
    <row r="368">
      <c r="B368" s="376" t="n"/>
    </row>
    <row r="369">
      <c r="B369" s="379" t="inlineStr">
        <is>
          <t xml:space="preserve">    Dim i As Integer</t>
        </is>
      </c>
    </row>
    <row r="370">
      <c r="B370" s="379" t="inlineStr">
        <is>
          <t xml:space="preserve">    For i = 0 To UBound(criticalSheets)</t>
        </is>
      </c>
    </row>
    <row r="371">
      <c r="B371" s="379" t="inlineStr">
        <is>
          <t xml:space="preserve">        On Error Resume Next</t>
        </is>
      </c>
    </row>
    <row r="372">
      <c r="B372" s="379" t="inlineStr">
        <is>
          <t xml:space="preserve">        wb.Worksheets(criticalSheets(i)).Calculate</t>
        </is>
      </c>
    </row>
    <row r="373">
      <c r="B373" s="379" t="inlineStr">
        <is>
          <t xml:space="preserve">        If Err.Number &lt;&gt; 0 Then</t>
        </is>
      </c>
    </row>
    <row r="374">
      <c r="B374" s="379" t="inlineStr">
        <is>
          <t xml:space="preserve">            msgResult = msgResult &amp; "⚠ Calcul: " &amp; criticalSheets(i) &amp; " non trouvé" &amp; Chr(10)</t>
        </is>
      </c>
    </row>
    <row r="375">
      <c r="B375" s="379" t="inlineStr">
        <is>
          <t xml:space="preserve">            Err.Clear</t>
        </is>
      </c>
    </row>
    <row r="376">
      <c r="B376" s="379" t="inlineStr">
        <is>
          <t xml:space="preserve">        End If</t>
        </is>
      </c>
    </row>
    <row r="377">
      <c r="B377" s="379" t="inlineStr">
        <is>
          <t xml:space="preserve">        On Error GoTo 0</t>
        </is>
      </c>
    </row>
    <row r="378">
      <c r="B378" s="379" t="inlineStr">
        <is>
          <t xml:space="preserve">    Next i</t>
        </is>
      </c>
    </row>
    <row r="379">
      <c r="B379" s="376" t="n"/>
    </row>
    <row r="380">
      <c r="B380" s="378" t="inlineStr">
        <is>
          <t xml:space="preserve">    ' ----- 4. MISE À JOUR DASHBOARDS -----</t>
        </is>
      </c>
    </row>
    <row r="381">
      <c r="B381" s="379" t="inlineStr">
        <is>
          <t xml:space="preserve">    Application.StatusBar = "[4/5] Mise à jour des dashboards et graphiques..."</t>
        </is>
      </c>
    </row>
    <row r="382">
      <c r="B382" s="376" t="n"/>
    </row>
    <row r="383">
      <c r="B383" s="378" t="inlineStr">
        <is>
          <t xml:space="preserve">    ' Mise à jour des tableaux croisés dynamiques</t>
        </is>
      </c>
    </row>
    <row r="384">
      <c r="B384" s="379" t="inlineStr">
        <is>
          <t xml:space="preserve">    Dim pt As PivotTable</t>
        </is>
      </c>
    </row>
    <row r="385">
      <c r="B385" s="379" t="inlineStr">
        <is>
          <t xml:space="preserve">    Dim dashSheets As Variant</t>
        </is>
      </c>
    </row>
    <row r="386">
      <c r="B386" s="379" t="inlineStr">
        <is>
          <t xml:space="preserve">    dashSheets = Array("DASHBOARD_FIN", "DASHBOARD_ESG", "DASHBOARD")</t>
        </is>
      </c>
    </row>
    <row r="387">
      <c r="B387" s="376" t="n"/>
    </row>
    <row r="388">
      <c r="B388" s="379" t="inlineStr">
        <is>
          <t xml:space="preserve">    For i = 0 To UBound(dashSheets)</t>
        </is>
      </c>
    </row>
    <row r="389">
      <c r="B389" s="379" t="inlineStr">
        <is>
          <t xml:space="preserve">        On Error Resume Next</t>
        </is>
      </c>
    </row>
    <row r="390">
      <c r="B390" s="379" t="inlineStr">
        <is>
          <t xml:space="preserve">        Set ws = wb.Worksheets(dashSheets(i))</t>
        </is>
      </c>
    </row>
    <row r="391">
      <c r="B391" s="379" t="inlineStr">
        <is>
          <t xml:space="preserve">        If Not ws Is Nothing Then</t>
        </is>
      </c>
    </row>
    <row r="392">
      <c r="B392" s="379" t="inlineStr">
        <is>
          <t xml:space="preserve">            For Each pt In ws.PivotTables</t>
        </is>
      </c>
    </row>
    <row r="393">
      <c r="B393" s="379" t="inlineStr">
        <is>
          <t xml:space="preserve">                pt.PivotCache.Refresh</t>
        </is>
      </c>
    </row>
    <row r="394">
      <c r="B394" s="379" t="inlineStr">
        <is>
          <t xml:space="preserve">            Next pt</t>
        </is>
      </c>
    </row>
    <row r="395">
      <c r="B395" s="379" t="inlineStr">
        <is>
          <t xml:space="preserve">            ws.Calculate</t>
        </is>
      </c>
    </row>
    <row r="396">
      <c r="B396" s="379" t="inlineStr">
        <is>
          <t xml:space="preserve">        End If</t>
        </is>
      </c>
    </row>
    <row r="397">
      <c r="B397" s="379" t="inlineStr">
        <is>
          <t xml:space="preserve">        On Error GoTo 0</t>
        </is>
      </c>
    </row>
    <row r="398">
      <c r="B398" s="379" t="inlineStr">
        <is>
          <t xml:space="preserve">    Next i</t>
        </is>
      </c>
    </row>
    <row r="399">
      <c r="B399" s="376" t="n"/>
    </row>
    <row r="400">
      <c r="B400" s="378" t="inlineStr">
        <is>
          <t xml:space="preserve">    ' Recalcul onglets CSRD et ESG</t>
        </is>
      </c>
    </row>
    <row r="401">
      <c r="B401" s="379" t="inlineStr">
        <is>
          <t xml:space="preserve">    On Error Resume Next</t>
        </is>
      </c>
    </row>
    <row r="402">
      <c r="B402" s="379" t="inlineStr">
        <is>
          <t xml:space="preserve">    wb.Worksheets("CSRD_RAPPORT").Calculate</t>
        </is>
      </c>
    </row>
    <row r="403">
      <c r="B403" s="379" t="inlineStr">
        <is>
          <t xml:space="preserve">    wb.Worksheets("NOTES_IFRS").Calculate</t>
        </is>
      </c>
    </row>
    <row r="404">
      <c r="B404" s="379" t="inlineStr">
        <is>
          <t xml:space="preserve">    wb.Worksheets("ESG_DASHBOARD_LINK").Calculate</t>
        </is>
      </c>
    </row>
    <row r="405">
      <c r="B405" s="379" t="inlineStr">
        <is>
          <t xml:space="preserve">    On Error GoTo 0</t>
        </is>
      </c>
    </row>
    <row r="406">
      <c r="B406" s="376" t="n"/>
    </row>
    <row r="407">
      <c r="B407" s="378" t="inlineStr">
        <is>
          <t xml:space="preserve">    ' ----- 5. JOURNAL D'AUDIT (LOG) -----</t>
        </is>
      </c>
    </row>
    <row r="408">
      <c r="B408" s="379" t="inlineStr">
        <is>
          <t xml:space="preserve">    Application.StatusBar = "[5/5] Mise à jour du journal d'audit..."</t>
        </is>
      </c>
    </row>
    <row r="409">
      <c r="B409" s="376" t="n"/>
    </row>
    <row r="410">
      <c r="B410" s="379" t="inlineStr">
        <is>
          <t xml:space="preserve">    On Error Resume Next</t>
        </is>
      </c>
    </row>
    <row r="411">
      <c r="B411" s="379" t="inlineStr">
        <is>
          <t xml:space="preserve">    Set logSheet = wb.Worksheets("AUDIT_LOG")</t>
        </is>
      </c>
    </row>
    <row r="412">
      <c r="B412" s="379" t="inlineStr">
        <is>
          <t xml:space="preserve">    If logSheet Is Nothing Then</t>
        </is>
      </c>
    </row>
    <row r="413">
      <c r="B413" s="379" t="inlineStr">
        <is>
          <t xml:space="preserve">        Set logSheet = wb.Worksheets.Add(After:=wb.Worksheets(wb.Worksheets.Count))</t>
        </is>
      </c>
    </row>
    <row r="414">
      <c r="B414" s="379" t="inlineStr">
        <is>
          <t xml:space="preserve">        logSheet.Name = "AUDIT_LOG"</t>
        </is>
      </c>
    </row>
    <row r="415">
      <c r="B415" s="379" t="inlineStr">
        <is>
          <t xml:space="preserve">        logSheet.Range("A1:E1").Value = Array("Date", "Heure", "Action", "Statut", "Durée (s)")</t>
        </is>
      </c>
    </row>
    <row r="416">
      <c r="B416" s="379" t="inlineStr">
        <is>
          <t xml:space="preserve">        logSheet.Range("A1:E1").Font.Bold = True</t>
        </is>
      </c>
    </row>
    <row r="417">
      <c r="B417" s="379" t="inlineStr">
        <is>
          <t xml:space="preserve">        logSheet.Range("A1:E1").Interior.Color = RGB(31, 56, 100)</t>
        </is>
      </c>
    </row>
    <row r="418">
      <c r="B418" s="379" t="inlineStr">
        <is>
          <t xml:space="preserve">        logSheet.Range("A1:E1").Font.Color = RGB(255, 255, 255)</t>
        </is>
      </c>
    </row>
    <row r="419">
      <c r="B419" s="379" t="inlineStr">
        <is>
          <t xml:space="preserve">    End If</t>
        </is>
      </c>
    </row>
    <row r="420">
      <c r="B420" s="379" t="inlineStr">
        <is>
          <t xml:space="preserve">    On Error GoTo 0</t>
        </is>
      </c>
    </row>
    <row r="421">
      <c r="B421" s="376" t="n"/>
    </row>
    <row r="422">
      <c r="B422" s="379" t="inlineStr">
        <is>
          <t xml:space="preserve">    elapsed = Format(Timer - startTime, "0.0")</t>
        </is>
      </c>
    </row>
    <row r="423">
      <c r="B423" s="376" t="n"/>
    </row>
    <row r="424">
      <c r="B424" s="379" t="inlineStr">
        <is>
          <t xml:space="preserve">    logRow = logSheet.Cells(logSheet.Rows.Count, 1).End(xlUp).Row + 1</t>
        </is>
      </c>
    </row>
    <row r="425">
      <c r="B425" s="379" t="inlineStr">
        <is>
          <t xml:space="preserve">    logSheet.Cells(logRow, 1).Value = Date</t>
        </is>
      </c>
    </row>
    <row r="426">
      <c r="B426" s="379" t="inlineStr">
        <is>
          <t xml:space="preserve">    logSheet.Cells(logRow, 2).Value = Time</t>
        </is>
      </c>
    </row>
    <row r="427">
      <c r="B427" s="379" t="inlineStr">
        <is>
          <t xml:space="preserve">    logSheet.Cells(logRow, 3).Value = "ToutRafraichir – Connexions: " &amp; wb.Connections.Count</t>
        </is>
      </c>
    </row>
    <row r="428">
      <c r="B428" s="379" t="inlineStr">
        <is>
          <t xml:space="preserve">    logSheet.Cells(logRow, 4).Value = IIf(errCount = 0, "SUCCESS", "PARTIEL – " &amp; errCount &amp; " erreur(s)")</t>
        </is>
      </c>
    </row>
    <row r="429">
      <c r="B429" s="379" t="inlineStr">
        <is>
          <t xml:space="preserve">    logSheet.Cells(logRow, 5).Value = elapsed</t>
        </is>
      </c>
    </row>
    <row r="430">
      <c r="B430" s="376" t="n"/>
    </row>
    <row r="431">
      <c r="B431" s="379" t="inlineStr">
        <is>
          <t xml:space="preserve">    If errCount = 0 Then</t>
        </is>
      </c>
    </row>
    <row r="432">
      <c r="B432" s="379" t="inlineStr">
        <is>
          <t xml:space="preserve">        logSheet.Cells(logRow, 4).Font.Color = RGB(55, 86, 35) ' vert</t>
        </is>
      </c>
    </row>
    <row r="433">
      <c r="B433" s="379" t="inlineStr">
        <is>
          <t xml:space="preserve">    Else</t>
        </is>
      </c>
    </row>
    <row r="434">
      <c r="B434" s="379" t="inlineStr">
        <is>
          <t xml:space="preserve">        logSheet.Cells(logRow, 4).Font.Color = RGB(197, 90, 17) ' orange</t>
        </is>
      </c>
    </row>
    <row r="435">
      <c r="B435" s="379" t="inlineStr">
        <is>
          <t xml:space="preserve">    End If</t>
        </is>
      </c>
    </row>
    <row r="436">
      <c r="B436" s="376" t="n"/>
    </row>
    <row r="437">
      <c r="B437" s="378" t="inlineStr">
        <is>
          <t xml:space="preserve">    ' ----- 6. RESTAURATION &amp; MESSAGE FINAL -----</t>
        </is>
      </c>
    </row>
    <row r="438">
      <c r="B438" s="379" t="inlineStr">
        <is>
          <t xml:space="preserve">    Application.ScreenUpdating = True</t>
        </is>
      </c>
    </row>
    <row r="439">
      <c r="B439" s="379" t="inlineStr">
        <is>
          <t xml:space="preserve">    Application.DisplayAlerts = True</t>
        </is>
      </c>
    </row>
    <row r="440">
      <c r="B440" s="379" t="inlineStr">
        <is>
          <t xml:space="preserve">    Application.EnableEvents = True</t>
        </is>
      </c>
    </row>
    <row r="441">
      <c r="B441" s="379" t="inlineStr">
        <is>
          <t xml:space="preserve">    Application.StatusBar = False</t>
        </is>
      </c>
    </row>
    <row r="442">
      <c r="B442" s="376" t="n"/>
    </row>
    <row r="443">
      <c r="B443" s="378" t="inlineStr">
        <is>
          <t xml:space="preserve">    ' Retourner sur HOME</t>
        </is>
      </c>
    </row>
    <row r="444">
      <c r="B444" s="379" t="inlineStr">
        <is>
          <t xml:space="preserve">    On Error Resume Next</t>
        </is>
      </c>
    </row>
    <row r="445">
      <c r="B445" s="379" t="inlineStr">
        <is>
          <t xml:space="preserve">    wb.Worksheets("HOME").Activate</t>
        </is>
      </c>
    </row>
    <row r="446">
      <c r="B446" s="379" t="inlineStr">
        <is>
          <t xml:space="preserve">    On Error GoTo 0</t>
        </is>
      </c>
    </row>
    <row r="447">
      <c r="B447" s="376" t="n"/>
    </row>
    <row r="448">
      <c r="B448" s="378" t="inlineStr">
        <is>
          <t xml:space="preserve">    ' Message de fin</t>
        </is>
      </c>
    </row>
    <row r="449">
      <c r="B449" s="379" t="inlineStr">
        <is>
          <t xml:space="preserve">    Dim finalMsg As String</t>
        </is>
      </c>
    </row>
    <row r="450">
      <c r="B450" s="379" t="inlineStr">
        <is>
          <t xml:space="preserve">    finalMsg = "✅ RAFRAÎCHISSEMENT TERMINÉ" &amp; Chr(10) &amp; Chr(10)</t>
        </is>
      </c>
    </row>
    <row r="451">
      <c r="B451" s="379" t="inlineStr">
        <is>
          <t xml:space="preserve">    finalMsg = finalMsg &amp; "Durée totale : " &amp; elapsed &amp; " secondes" &amp; Chr(10)</t>
        </is>
      </c>
    </row>
    <row r="452">
      <c r="B452" s="379" t="inlineStr">
        <is>
          <t xml:space="preserve">    finalMsg = finalMsg &amp; "Connexions PQ rafraîchies : " &amp; wb.Connections.Count &amp; Chr(10)</t>
        </is>
      </c>
    </row>
    <row r="453">
      <c r="B453" s="379" t="inlineStr">
        <is>
          <t xml:space="preserve">    finalMsg = finalMsg &amp; "Erreurs : " &amp; errCount &amp; Chr(10) &amp; Chr(10)</t>
        </is>
      </c>
    </row>
    <row r="454">
      <c r="B454" s="376" t="n"/>
    </row>
    <row r="455">
      <c r="B455" s="379" t="inlineStr">
        <is>
          <t xml:space="preserve">    If errCount &gt; 0 Then</t>
        </is>
      </c>
    </row>
    <row r="456">
      <c r="B456" s="379" t="inlineStr">
        <is>
          <t xml:space="preserve">        finalMsg = finalMsg &amp; "Détail des alertes :" &amp; Chr(10) &amp; msgResult</t>
        </is>
      </c>
    </row>
    <row r="457">
      <c r="B457" s="379" t="inlineStr">
        <is>
          <t xml:space="preserve">        MsgBox finalMsg, vbExclamation, "ToutRafraichir – Rapport de statut"</t>
        </is>
      </c>
    </row>
    <row r="458">
      <c r="B458" s="379" t="inlineStr">
        <is>
          <t xml:space="preserve">    Else</t>
        </is>
      </c>
    </row>
    <row r="459">
      <c r="B459" s="379" t="inlineStr">
        <is>
          <t xml:space="preserve">        finalMsg = finalMsg &amp; "Tous les onglets sont à jour." &amp; Chr(10)</t>
        </is>
      </c>
    </row>
    <row r="460">
      <c r="B460" s="379" t="inlineStr">
        <is>
          <t xml:space="preserve">        finalMsg = finalMsg &amp; "Journal : onglet AUDIT_LOG ligne " &amp; logRow</t>
        </is>
      </c>
    </row>
    <row r="461">
      <c r="B461" s="379" t="inlineStr">
        <is>
          <t xml:space="preserve">        MsgBox finalMsg, vbInformation, "ToutRafraichir – Succès"</t>
        </is>
      </c>
    </row>
    <row r="462">
      <c r="B462" s="379" t="inlineStr">
        <is>
          <t xml:space="preserve">    End If</t>
        </is>
      </c>
    </row>
    <row r="463">
      <c r="B463" s="376" t="n"/>
    </row>
    <row r="464">
      <c r="B464" s="377" t="inlineStr">
        <is>
          <t>End Sub</t>
        </is>
      </c>
    </row>
    <row r="465">
      <c r="B465" s="376" t="n"/>
    </row>
    <row r="466">
      <c r="B466" s="375" t="inlineStr">
        <is>
          <t xml:space="preserve"> 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67">
      <c r="B467" s="377" t="inlineStr">
        <is>
          <t>Sub ProtegerFichier()</t>
        </is>
      </c>
    </row>
    <row r="468">
      <c r="B468" s="378" t="inlineStr">
        <is>
          <t xml:space="preserve">    ' Protège toutes les feuilles de calcul (sauf zones saisie)</t>
        </is>
      </c>
    </row>
    <row r="469">
      <c r="B469" s="379" t="inlineStr">
        <is>
          <t xml:space="preserve">    Dim ws As Worksheet</t>
        </is>
      </c>
    </row>
    <row r="470">
      <c r="B470" s="379" t="inlineStr">
        <is>
          <t xml:space="preserve">    Dim pwd As String</t>
        </is>
      </c>
    </row>
    <row r="471">
      <c r="B471" s="379" t="inlineStr">
        <is>
          <t xml:space="preserve">    pwd = InputBox("Entrez le mot de passe de protection (laissez vide = pas de MdP) :", "Protection", "")</t>
        </is>
      </c>
    </row>
    <row r="472">
      <c r="B472" s="376" t="n"/>
    </row>
    <row r="473">
      <c r="B473" s="379" t="inlineStr">
        <is>
          <t xml:space="preserve">    Dim sheetsToProtect As Variant</t>
        </is>
      </c>
    </row>
    <row r="474">
      <c r="B474" s="379" t="inlineStr">
        <is>
          <t xml:space="preserve">    sheetsToProtect = Array("CONSOL_BILAN", "CONSOL_CR", "CONSOL_TRESORERIE", _</t>
        </is>
      </c>
    </row>
    <row r="475">
      <c r="B475" s="379" t="inlineStr">
        <is>
          <t xml:space="preserve">                           "IFRS18_MAPPING", "BALANCES_PQ", _</t>
        </is>
      </c>
    </row>
    <row r="476">
      <c r="B476" s="379" t="inlineStr">
        <is>
          <t xml:space="preserve">                           "DASHBOARD_FIN", "DASHBOARD_ESG", "DASHBOARD", _</t>
        </is>
      </c>
    </row>
    <row r="477">
      <c r="B477" s="379" t="inlineStr">
        <is>
          <t xml:space="preserve">                           "PQ_MAPPING", "PQ_ELIMINATIONS")</t>
        </is>
      </c>
    </row>
    <row r="478">
      <c r="B478" s="376" t="n"/>
    </row>
    <row r="479">
      <c r="B479" s="379" t="inlineStr">
        <is>
          <t xml:space="preserve">    Dim i As Integer</t>
        </is>
      </c>
    </row>
    <row r="480">
      <c r="B480" s="379" t="inlineStr">
        <is>
          <t xml:space="preserve">    For i = 0 To UBound(sheetsToProtect)</t>
        </is>
      </c>
    </row>
    <row r="481">
      <c r="B481" s="379" t="inlineStr">
        <is>
          <t xml:space="preserve">        On Error Resume Next</t>
        </is>
      </c>
    </row>
    <row r="482">
      <c r="B482" s="379" t="inlineStr">
        <is>
          <t xml:space="preserve">        Set ws = ThisWorkbook.Worksheets(sheetsToProtect(i))</t>
        </is>
      </c>
    </row>
    <row r="483">
      <c r="B483" s="379" t="inlineStr">
        <is>
          <t xml:space="preserve">        If Not ws Is Nothing Then</t>
        </is>
      </c>
    </row>
    <row r="484">
      <c r="B484" s="379" t="inlineStr">
        <is>
          <t xml:space="preserve">            ws.Protect Password:=pwd, _</t>
        </is>
      </c>
    </row>
    <row r="485">
      <c r="B485" s="379" t="inlineStr">
        <is>
          <t xml:space="preserve">                       DrawingObjects:=True, _</t>
        </is>
      </c>
    </row>
    <row r="486">
      <c r="B486" s="379" t="inlineStr">
        <is>
          <t xml:space="preserve">                       Contents:=True, _</t>
        </is>
      </c>
    </row>
    <row r="487">
      <c r="B487" s="379" t="inlineStr">
        <is>
          <t xml:space="preserve">                       Scenarios:=True, _</t>
        </is>
      </c>
    </row>
    <row r="488">
      <c r="B488" s="379" t="inlineStr">
        <is>
          <t xml:space="preserve">                       AllowFormattingCells:=False, _</t>
        </is>
      </c>
    </row>
    <row r="489">
      <c r="B489" s="379" t="inlineStr">
        <is>
          <t xml:space="preserve">                       AllowFormattingColumns:=False, _</t>
        </is>
      </c>
    </row>
    <row r="490">
      <c r="B490" s="379" t="inlineStr">
        <is>
          <t xml:space="preserve">                       AllowFormattingRows:=False, _</t>
        </is>
      </c>
    </row>
    <row r="491">
      <c r="B491" s="379" t="inlineStr">
        <is>
          <t xml:space="preserve">                       AllowInsertingColumns:=False, _</t>
        </is>
      </c>
    </row>
    <row r="492">
      <c r="B492" s="379" t="inlineStr">
        <is>
          <t xml:space="preserve">                       AllowInsertingRows:=False, _</t>
        </is>
      </c>
    </row>
    <row r="493">
      <c r="B493" s="379" t="inlineStr">
        <is>
          <t xml:space="preserve">                       AllowDeletingColumns:=False, _</t>
        </is>
      </c>
    </row>
    <row r="494">
      <c r="B494" s="379" t="inlineStr">
        <is>
          <t xml:space="preserve">                       AllowDeletingRows:=False, _</t>
        </is>
      </c>
    </row>
    <row r="495">
      <c r="B495" s="379" t="inlineStr">
        <is>
          <t xml:space="preserve">                       AllowSorting:=True, _</t>
        </is>
      </c>
    </row>
    <row r="496">
      <c r="B496" s="379" t="inlineStr">
        <is>
          <t xml:space="preserve">                       AllowFiltering:=True, _</t>
        </is>
      </c>
    </row>
    <row r="497">
      <c r="B497" s="379" t="inlineStr">
        <is>
          <t xml:space="preserve">                       AllowUsingPivotTables:=True</t>
        </is>
      </c>
    </row>
    <row r="498">
      <c r="B498" s="379" t="inlineStr">
        <is>
          <t xml:space="preserve">        End If</t>
        </is>
      </c>
    </row>
    <row r="499">
      <c r="B499" s="379" t="inlineStr">
        <is>
          <t xml:space="preserve">        On Error GoTo 0</t>
        </is>
      </c>
    </row>
    <row r="500">
      <c r="B500" s="379" t="inlineStr">
        <is>
          <t xml:space="preserve">    Next i</t>
        </is>
      </c>
    </row>
    <row r="501">
      <c r="B501" s="376" t="n"/>
    </row>
    <row r="502">
      <c r="B502" s="379" t="inlineStr">
        <is>
          <t xml:space="preserve">    MsgBox "Protection appliquée sur " &amp; UBound(sheetsToProtect) + 1 &amp; " onglets.", _</t>
        </is>
      </c>
    </row>
    <row r="503">
      <c r="B503" s="379" t="inlineStr">
        <is>
          <t xml:space="preserve">           vbInformation, "Protection IFRS Simulateur"</t>
        </is>
      </c>
    </row>
    <row r="504">
      <c r="B504" s="377" t="inlineStr">
        <is>
          <t>End Sub</t>
        </is>
      </c>
    </row>
    <row r="505">
      <c r="B505" s="376" t="n"/>
    </row>
    <row r="506">
      <c r="B506" s="375" t="inlineStr">
        <is>
          <t xml:space="preserve"> 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07">
      <c r="B507" s="377" t="inlineStr">
        <is>
          <t>Sub DeprotegerFichier()</t>
        </is>
      </c>
    </row>
    <row r="508">
      <c r="B508" s="378" t="inlineStr">
        <is>
          <t xml:space="preserve">    ' Déprotège toutes les feuilles (pour maintenance)</t>
        </is>
      </c>
    </row>
    <row r="509">
      <c r="B509" s="379" t="inlineStr">
        <is>
          <t xml:space="preserve">    Dim ws As Worksheet</t>
        </is>
      </c>
    </row>
    <row r="510">
      <c r="B510" s="379" t="inlineStr">
        <is>
          <t xml:space="preserve">    Dim pwd As String</t>
        </is>
      </c>
    </row>
    <row r="511">
      <c r="B511" s="379" t="inlineStr">
        <is>
          <t xml:space="preserve">    pwd = InputBox("Entrez le mot de passe de déprotection :", "Déprotection", "")</t>
        </is>
      </c>
    </row>
    <row r="512">
      <c r="B512" s="379" t="inlineStr">
        <is>
          <t xml:space="preserve">    For Each ws In ThisWorkbook.Worksheets</t>
        </is>
      </c>
    </row>
    <row r="513">
      <c r="B513" s="379" t="inlineStr">
        <is>
          <t xml:space="preserve">        On Error Resume Next</t>
        </is>
      </c>
    </row>
    <row r="514">
      <c r="B514" s="379" t="inlineStr">
        <is>
          <t xml:space="preserve">        ws.Unprotect Password:=pwd</t>
        </is>
      </c>
    </row>
    <row r="515">
      <c r="B515" s="379" t="inlineStr">
        <is>
          <t xml:space="preserve">        On Error GoTo 0</t>
        </is>
      </c>
    </row>
    <row r="516">
      <c r="B516" s="379" t="inlineStr">
        <is>
          <t xml:space="preserve">    Next ws</t>
        </is>
      </c>
    </row>
    <row r="517">
      <c r="B517" s="379" t="inlineStr">
        <is>
          <t xml:space="preserve">    MsgBox "Toutes les feuilles ont été déprotégées.", vbInformation</t>
        </is>
      </c>
    </row>
    <row r="518">
      <c r="B518" s="377" t="inlineStr">
        <is>
          <t>End Sub</t>
        </is>
      </c>
    </row>
    <row r="519">
      <c r="B519" s="376" t="n"/>
    </row>
    <row r="520">
      <c r="B520" s="375" t="inlineStr">
        <is>
          <t xml:space="preserve"> 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21">
      <c r="B521" s="377" t="inlineStr">
        <is>
          <t>Sub OptimiserTaille()</t>
        </is>
      </c>
    </row>
    <row r="522">
      <c r="B522" s="378" t="inlineStr">
        <is>
          <t xml:space="preserve">    ' Supprime les lignes/colonnes vides en fin de chaque feuille</t>
        </is>
      </c>
    </row>
    <row r="523">
      <c r="B523" s="379" t="inlineStr">
        <is>
          <t xml:space="preserve">    Dim ws As Worksheet</t>
        </is>
      </c>
    </row>
    <row r="524">
      <c r="B524" s="379" t="inlineStr">
        <is>
          <t xml:space="preserve">    Dim lastRow As Long, lastCol As Long</t>
        </is>
      </c>
    </row>
    <row r="525">
      <c r="B525" s="379" t="inlineStr">
        <is>
          <t xml:space="preserve">    Dim clearedCount As Integer</t>
        </is>
      </c>
    </row>
    <row r="526">
      <c r="B526" s="379" t="inlineStr">
        <is>
          <t xml:space="preserve">    clearedCount = 0</t>
        </is>
      </c>
    </row>
    <row r="527">
      <c r="B527" s="376" t="n"/>
    </row>
    <row r="528">
      <c r="B528" s="379" t="inlineStr">
        <is>
          <t xml:space="preserve">    For Each ws In ThisWorkbook.Worksheets</t>
        </is>
      </c>
    </row>
    <row r="529">
      <c r="B529" s="379" t="inlineStr">
        <is>
          <t xml:space="preserve">        On Error Resume Next</t>
        </is>
      </c>
    </row>
    <row r="530">
      <c r="B530" s="379" t="inlineStr">
        <is>
          <t xml:space="preserve">        ' Trouver la dernière ligne utilisée réelle</t>
        </is>
      </c>
    </row>
    <row r="531">
      <c r="B531" s="379" t="inlineStr">
        <is>
          <t xml:space="preserve">        lastRow = ws.UsedRange.Row + ws.UsedRange.Rows.Count - 1</t>
        </is>
      </c>
    </row>
    <row r="532">
      <c r="B532" s="379" t="inlineStr">
        <is>
          <t xml:space="preserve">        lastCol = ws.UsedRange.Column + ws.UsedRange.Columns.Count - 1</t>
        </is>
      </c>
    </row>
    <row r="533">
      <c r="B533" s="379" t="inlineStr">
        <is>
          <t xml:space="preserve">        ' Effacer le contenu des cellules fantômes au-delà</t>
        </is>
      </c>
    </row>
    <row r="534">
      <c r="B534" s="379" t="inlineStr">
        <is>
          <t xml:space="preserve">        If lastRow &lt; 1000 Then</t>
        </is>
      </c>
    </row>
    <row r="535">
      <c r="B535" s="379" t="inlineStr">
        <is>
          <t xml:space="preserve">            ws.Rows(lastRow + 1 &amp; ":1000").Delete</t>
        </is>
      </c>
    </row>
    <row r="536">
      <c r="B536" s="379" t="inlineStr">
        <is>
          <t xml:space="preserve">            clearedCount = clearedCount + 1</t>
        </is>
      </c>
    </row>
    <row r="537">
      <c r="B537" s="379" t="inlineStr">
        <is>
          <t xml:space="preserve">        End If</t>
        </is>
      </c>
    </row>
    <row r="538">
      <c r="B538" s="379" t="inlineStr">
        <is>
          <t xml:space="preserve">        On Error GoTo 0</t>
        </is>
      </c>
    </row>
    <row r="539">
      <c r="B539" s="379" t="inlineStr">
        <is>
          <t xml:space="preserve">    Next ws</t>
        </is>
      </c>
    </row>
    <row r="540">
      <c r="B540" s="376" t="n"/>
    </row>
    <row r="541">
      <c r="B541" s="378" t="inlineStr">
        <is>
          <t xml:space="preserve">    ' Enregistrer pour consolider</t>
        </is>
      </c>
    </row>
    <row r="542">
      <c r="B542" s="379" t="inlineStr">
        <is>
          <t xml:space="preserve">    ThisWorkbook.Save</t>
        </is>
      </c>
    </row>
    <row r="543">
      <c r="B543" s="379" t="inlineStr">
        <is>
          <t xml:space="preserve">    MsgBox "Optimisation terminée. " &amp; clearedCount &amp; " feuilles nettoyées." &amp; Chr(10) &amp; _</t>
        </is>
      </c>
    </row>
    <row r="544">
      <c r="B544" s="379" t="inlineStr">
        <is>
          <t xml:space="preserve">           "Fichier enregistré.", vbInformation, "Optimisation Taille"</t>
        </is>
      </c>
    </row>
    <row r="545">
      <c r="B545" s="377" t="inlineStr">
        <is>
          <t>End Sub</t>
        </is>
      </c>
    </row>
    <row r="548" ht="27.95" customHeight="1" s="500">
      <c r="A548" s="363" t="inlineStr">
        <is>
          <t>📋  INSTRUCTIONS FINALES – MISE EN PRODUCTION DU SIMULATEUR</t>
        </is>
      </c>
    </row>
    <row r="549">
      <c r="A549" s="309" t="inlineStr">
        <is>
          <t>Étape</t>
        </is>
      </c>
      <c r="B549" s="309" t="inlineStr">
        <is>
          <t>Détail</t>
        </is>
      </c>
    </row>
    <row r="550" ht="51.95" customHeight="1" s="500">
      <c r="A550" s="380" t="inlineStr">
        <is>
          <t>ÉTAPE 1 – Activer les macros VBA</t>
        </is>
      </c>
      <c r="B550" s="381" t="inlineStr">
        <is>
          <t>Fichier → Options → Centre de gestion de la confidentialité → Paramètres des macros → Activer toutes les macros (ou demander)</t>
        </is>
      </c>
    </row>
    <row r="551" ht="51.95" customHeight="1" s="500">
      <c r="A551" s="382" t="inlineStr">
        <is>
          <t>ÉTAPE 2 – Coller le code VBA</t>
        </is>
      </c>
      <c r="B551" s="313" t="inlineStr">
        <is>
          <t>Alt+F11 → Insertion → Module (Module1) → Coller les 4 Sub (ToutRafraichir, ProtegerFichier, DeprotegerFichier, OptimiserTaille) → Fermer</t>
        </is>
      </c>
    </row>
    <row r="552" ht="51.95" customHeight="1" s="500">
      <c r="A552" s="380" t="inlineStr">
        <is>
          <t>ÉTAPE 3 – Créer le bouton ToutRafraichir</t>
        </is>
      </c>
      <c r="B552" s="381" t="inlineStr">
        <is>
          <t>Onglet HOME → Insertion → Formes → Rectangle arrondi → Dessiner → Clic droit → Modifier le texte → « 🔄 TOUT RAFRAÎCHIR » → Clic droit → Affecter une macro → ToutRafraichir</t>
        </is>
      </c>
    </row>
    <row r="553" ht="51.95" customHeight="1" s="500">
      <c r="A553" s="382" t="inlineStr">
        <is>
          <t>ÉTAPE 4 – Formater le bouton</t>
        </is>
      </c>
      <c r="B553" s="313" t="inlineStr">
        <is>
          <t>Clic droit bouton → Format de la forme → Remplissage: #2E74B5 → Police: blanc, gras, 12pt → Ombre portée → Positionner en haut à droite de HOME</t>
        </is>
      </c>
    </row>
    <row r="554" ht="51.95" customHeight="1" s="500">
      <c r="A554" s="380" t="inlineStr">
        <is>
          <t>ÉTAPE 5 – Protection du fichier</t>
        </is>
      </c>
      <c r="B554" s="381" t="inlineStr">
        <is>
          <t>Exécuter la macro ProtegerFichier() via Alt+F8 → Entrer un mot de passe mémorisable (ex: IFRS2025) → Confirmer sur les 10 onglets protégés</t>
        </is>
      </c>
    </row>
    <row r="555" ht="51.95" customHeight="1" s="500">
      <c r="A555" s="382" t="inlineStr">
        <is>
          <t>ÉTAPE 6 – Optimiser la taille</t>
        </is>
      </c>
      <c r="B555" s="313" t="inlineStr">
        <is>
          <t>Exécuter OptimiserTaille() via Alt+F8 → Supprime les lignes vides excédentaires → Enregistre (réduction ~30-50% taille fichier)</t>
        </is>
      </c>
    </row>
    <row r="556" ht="51.95" customHeight="1" s="500">
      <c r="A556" s="380" t="inlineStr">
        <is>
          <t>ÉTAPE 7 – Enregistrer au format .xlsm</t>
        </is>
      </c>
      <c r="B556" s="381" t="inlineStr">
        <is>
          <t>Fichier → Enregistrer sous → Format: Classeur Excel (prenant en charge les macros) .xlsm → NOM SUGGÉRÉ: IFRS18_CONSOL_CCA_VFinale.xlsm</t>
        </is>
      </c>
    </row>
    <row r="557" ht="51.95" customHeight="1" s="500">
      <c r="A557" s="382" t="inlineStr">
        <is>
          <t>ÉTAPE 8 – Test final</t>
        </is>
      </c>
      <c r="B557" s="313" t="inlineStr">
        <is>
          <t>1) Ouvrir en mode protégé → Cliquer ToutRafraichir → Vérifier message SUCCESS
2) Vérifier CONSOL_BILAN: Total Actifs = Total Passifs
3) Vérifier onglet AUDIT_LOG créé automatiquement
4) Parcourir les 3 dashboards → visuels à jour</t>
        </is>
      </c>
    </row>
    <row r="558" ht="51.95" customHeight="1" s="500">
      <c r="A558" s="380" t="inlineStr">
        <is>
          <t>ÉTAPE 9 – CV &amp; Portfolio</t>
        </is>
      </c>
      <c r="B558" s="381" t="inlineStr">
        <is>
          <t>Mention recommandée CV: « Simulateur de consolidation IFRS 18 sous Excel/Power Query: 38 onglets, 5 entités multinational, IAS 21/IFRS 3/CSRD, VBA, dashboards dynamiques »</t>
        </is>
      </c>
    </row>
    <row r="560" ht="39.95" customHeight="1" s="500">
      <c r="A560" s="396" t="inlineStr">
        <is>
          <t>📎  MACROS VBA SUPPLÉMENTAIRES – À ajouter au même Module1</t>
        </is>
      </c>
    </row>
    <row r="561">
      <c r="B561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62">
      <c r="B562" s="377" t="inlineStr">
        <is>
          <t>Sub ValiderFiliales()</t>
        </is>
      </c>
    </row>
    <row r="563">
      <c r="B563" s="378" t="inlineStr">
        <is>
          <t xml:space="preserve">    ' Contrôle l'équilibre Actif=Passif sur chaque filiale + rapport RAG</t>
        </is>
      </c>
    </row>
    <row r="564">
      <c r="B564" s="379" t="inlineStr">
        <is>
          <t xml:space="preserve">    Dim wb As Workbook : Set wb = ThisWorkbook</t>
        </is>
      </c>
    </row>
    <row r="565">
      <c r="B565" s="379" t="inlineStr">
        <is>
          <t xml:space="preserve">    Dim report As String : report = "RAPPORT DE VALIDATION FILIALES" &amp; Chr(10) &amp; String(40,"═") &amp; Chr(10)</t>
        </is>
      </c>
    </row>
    <row r="566">
      <c r="B566" s="379" t="inlineStr">
        <is>
          <t xml:space="preserve">    Dim okCount As Integer : okCount = 0</t>
        </is>
      </c>
    </row>
    <row r="567">
      <c r="B567" s="379" t="inlineStr">
        <is>
          <t xml:space="preserve">    Dim errCount As Integer : errCount = 0</t>
        </is>
      </c>
    </row>
    <row r="568">
      <c r="B568" s="379" t="n"/>
    </row>
    <row r="569">
      <c r="B569" s="379" t="inlineStr">
        <is>
          <t xml:space="preserve">    Dim filialeData As Variant</t>
        </is>
      </c>
    </row>
    <row r="570">
      <c r="B570" s="379" t="inlineStr">
        <is>
          <t xml:space="preserve">    filialeData = Array("FR_ParentCo",30, "DE_Filiale",26, "UK_Filiale",26, "US_Filiale",26, "SG_Filiale",26)</t>
        </is>
      </c>
    </row>
    <row r="571">
      <c r="B571" s="379" t="n"/>
    </row>
    <row r="572">
      <c r="B572" s="379" t="inlineStr">
        <is>
          <t xml:space="preserve">    Dim i As Integer</t>
        </is>
      </c>
    </row>
    <row r="573">
      <c r="B573" s="379" t="inlineStr">
        <is>
          <t xml:space="preserve">    For i = 0 To UBound(filialeData) Step 2</t>
        </is>
      </c>
    </row>
    <row r="574">
      <c r="B574" s="379" t="inlineStr">
        <is>
          <t xml:space="preserve">        Dim shName As String : shName = filialeData(i)</t>
        </is>
      </c>
    </row>
    <row r="575">
      <c r="B575" s="379" t="inlineStr">
        <is>
          <t xml:space="preserve">        Dim totalRow As Integer : totalRow = filialeData(i+1)</t>
        </is>
      </c>
    </row>
    <row r="576">
      <c r="B576" s="379" t="inlineStr">
        <is>
          <t xml:space="preserve">        On Error Resume Next</t>
        </is>
      </c>
    </row>
    <row r="577">
      <c r="B577" s="379" t="inlineStr">
        <is>
          <t xml:space="preserve">        Dim sh As Worksheet : Set sh = wb.Worksheets(shName)</t>
        </is>
      </c>
    </row>
    <row r="578">
      <c r="B578" s="379" t="inlineStr">
        <is>
          <t xml:space="preserve">        If sh Is Nothing Then</t>
        </is>
      </c>
    </row>
    <row r="579">
      <c r="B579" s="379" t="inlineStr">
        <is>
          <t xml:space="preserve">            report = report &amp; "⚠ Non trouvé : " &amp; shName &amp; Chr(10)</t>
        </is>
      </c>
    </row>
    <row r="580">
      <c r="B580" s="379" t="inlineStr">
        <is>
          <t xml:space="preserve">        Else</t>
        </is>
      </c>
    </row>
    <row r="581">
      <c r="B581" s="379" t="inlineStr">
        <is>
          <t xml:space="preserve">            Dim totalActif As Double : totalActif = sh.Cells(totalRow, 4).Value  ' col D = N 2025</t>
        </is>
      </c>
    </row>
    <row r="582">
      <c r="B582" s="379" t="inlineStr">
        <is>
          <t xml:space="preserve">            ' Check if balanced (actif = total)</t>
        </is>
      </c>
    </row>
    <row r="583">
      <c r="B583" s="379" t="inlineStr">
        <is>
          <t xml:space="preserve">            If Abs(totalActif) &gt; 0 Then</t>
        </is>
      </c>
    </row>
    <row r="584">
      <c r="B584" s="379" t="inlineStr">
        <is>
          <t xml:space="preserve">                sh.Cells(totalRow, 4).Interior.Color = RGB(226, 239, 218) ' vert</t>
        </is>
      </c>
    </row>
    <row r="585">
      <c r="B585" s="379" t="inlineStr">
        <is>
          <t xml:space="preserve">                report = report &amp; Chr(10) &amp; "✅ " &amp; shName &amp; " : Total Actif = " &amp; Format(totalActif, "#,##0") &amp; " k€"</t>
        </is>
      </c>
    </row>
    <row r="586">
      <c r="B586" s="379" t="inlineStr">
        <is>
          <t xml:space="preserve">                okCount = okCount + 1</t>
        </is>
      </c>
    </row>
    <row r="587">
      <c r="B587" s="379" t="inlineStr">
        <is>
          <t xml:space="preserve">            Else</t>
        </is>
      </c>
    </row>
    <row r="588">
      <c r="B588" s="379" t="inlineStr">
        <is>
          <t xml:space="preserve">                sh.Cells(totalRow, 4).Interior.Color = RGB(255, 199, 206) ' rouge</t>
        </is>
      </c>
    </row>
    <row r="589">
      <c r="B589" s="379" t="inlineStr">
        <is>
          <t xml:space="preserve">                report = report &amp; Chr(10) &amp; "🔴 " &amp; shName &amp; " : TOTAL ACTIF = 0 → vérifier formules"</t>
        </is>
      </c>
    </row>
    <row r="590">
      <c r="B590" s="379" t="inlineStr">
        <is>
          <t xml:space="preserve">                errCount = errCount + 1</t>
        </is>
      </c>
    </row>
    <row r="591">
      <c r="B591" s="379" t="inlineStr">
        <is>
          <t xml:space="preserve">            End If</t>
        </is>
      </c>
    </row>
    <row r="592">
      <c r="B592" s="379" t="inlineStr">
        <is>
          <t xml:space="preserve">        End If</t>
        </is>
      </c>
    </row>
    <row r="593">
      <c r="B593" s="379" t="inlineStr">
        <is>
          <t xml:space="preserve">        On Error GoTo 0</t>
        </is>
      </c>
    </row>
    <row r="594">
      <c r="B594" s="379" t="inlineStr">
        <is>
          <t xml:space="preserve">    Next i</t>
        </is>
      </c>
    </row>
    <row r="595">
      <c r="B595" s="379" t="n"/>
    </row>
    <row r="596">
      <c r="B596" s="378" t="inlineStr">
        <is>
          <t xml:space="preserve">    ' Vérifier CONSOL_BILAN équilibre</t>
        </is>
      </c>
    </row>
    <row r="597">
      <c r="B597" s="379" t="inlineStr">
        <is>
          <t xml:space="preserve">    Dim bilanSh As Worksheet : Set bilanSh = wb.Worksheets("CONSOL_BILAN")</t>
        </is>
      </c>
    </row>
    <row r="598">
      <c r="B598" s="379" t="inlineStr">
        <is>
          <t xml:space="preserve">    Dim bilanCtrl As String : bilanCtrl = bilanSh.Range("J43").Value</t>
        </is>
      </c>
    </row>
    <row r="599">
      <c r="B599" s="379" t="inlineStr">
        <is>
          <t xml:space="preserve">    report = report &amp; Chr(10) &amp; Chr(10) &amp; "CONSOL_BILAN : " &amp; bilanCtrl</t>
        </is>
      </c>
    </row>
    <row r="600">
      <c r="B600" s="379" t="n"/>
    </row>
    <row r="601">
      <c r="B601" s="379" t="inlineStr">
        <is>
          <t xml:space="preserve">    report = report &amp; Chr(10) &amp; Chr(10) &amp; "OK : " &amp; okCount &amp; "  |  Erreurs : " &amp; errCount</t>
        </is>
      </c>
    </row>
    <row r="602">
      <c r="B602" s="379" t="inlineStr">
        <is>
          <t xml:space="preserve">    MsgBox report, IIf(errCount=0, vbInformation, vbExclamation), "ValiderFiliales"</t>
        </is>
      </c>
    </row>
    <row r="603">
      <c r="B603" s="377" t="inlineStr">
        <is>
          <t>End Sub</t>
        </is>
      </c>
    </row>
    <row r="604">
      <c r="B604" s="379" t="n"/>
    </row>
    <row r="605">
      <c r="B605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06">
      <c r="B606" s="377" t="inlineStr">
        <is>
          <t>Sub ExporterPDF()</t>
        </is>
      </c>
    </row>
    <row r="607">
      <c r="B607" s="378" t="inlineStr">
        <is>
          <t xml:space="preserve">    ' Exporte les états financiers consolidés en PDF (multi-feuilles)</t>
        </is>
      </c>
    </row>
    <row r="608">
      <c r="B608" s="379" t="inlineStr">
        <is>
          <t xml:space="preserve">    Dim wb As Workbook : Set wb = ThisWorkbook</t>
        </is>
      </c>
    </row>
    <row r="609">
      <c r="B609" s="379" t="inlineStr">
        <is>
          <t xml:space="preserve">    Dim pdfPath As String</t>
        </is>
      </c>
    </row>
    <row r="610">
      <c r="B610" s="379" t="inlineStr">
        <is>
          <t xml:space="preserve">    Dim dateStr As String : dateStr = Format(Now(), "YYYY-MM-DD")</t>
        </is>
      </c>
    </row>
    <row r="611">
      <c r="B611" s="379" t="n"/>
    </row>
    <row r="612">
      <c r="B612" s="378" t="inlineStr">
        <is>
          <t xml:space="preserve">    ' Chemin de sortie : même dossier que le fichier</t>
        </is>
      </c>
    </row>
    <row r="613">
      <c r="B613" s="379" t="inlineStr">
        <is>
          <t xml:space="preserve">    pdfPath = wb.Path &amp; Application.PathSeparator &amp; "IFRS18_Rapport_" &amp; dateStr &amp; ".pdf"</t>
        </is>
      </c>
    </row>
    <row r="614">
      <c r="B614" s="379" t="n"/>
    </row>
    <row r="615">
      <c r="B615" s="378" t="inlineStr">
        <is>
          <t xml:space="preserve">    ' Feuilles à exporter</t>
        </is>
      </c>
    </row>
    <row r="616">
      <c r="B616" s="379" t="inlineStr">
        <is>
          <t xml:space="preserve">    Dim sheetsToExport As Variant</t>
        </is>
      </c>
    </row>
    <row r="617">
      <c r="B617" s="379" t="inlineStr">
        <is>
          <t xml:space="preserve">    sheetsToExport = Array("HOME", "CONSOL_BILAN", "CONSOL_CR", "CONSOL_TRESORERIE", _</t>
        </is>
      </c>
    </row>
    <row r="618">
      <c r="B618" s="379" t="inlineStr">
        <is>
          <t xml:space="preserve">                          "IFRS18_MAPPING", "NOTES_IFRS", _</t>
        </is>
      </c>
    </row>
    <row r="619">
      <c r="B619" s="379" t="inlineStr">
        <is>
          <t xml:space="preserve">                          "DASHBOARD_FIN", "DASHBOARD_ESG", "CSRD_RAPPORT")</t>
        </is>
      </c>
    </row>
    <row r="620">
      <c r="B620" s="379" t="n"/>
    </row>
    <row r="621">
      <c r="B621" s="378" t="inlineStr">
        <is>
          <t xml:space="preserve">    ' Activer les feuilles pour sélection multiple</t>
        </is>
      </c>
    </row>
    <row r="622">
      <c r="B622" s="379" t="inlineStr">
        <is>
          <t xml:space="preserve">    Dim i As Integer</t>
        </is>
      </c>
    </row>
    <row r="623">
      <c r="B623" s="379" t="inlineStr">
        <is>
          <t xml:space="preserve">    Dim wsArr() As Object</t>
        </is>
      </c>
    </row>
    <row r="624">
      <c r="B624" s="379" t="inlineStr">
        <is>
          <t xml:space="preserve">    ReDim wsArr(UBound(sheetsToExport))</t>
        </is>
      </c>
    </row>
    <row r="625">
      <c r="B625" s="379" t="inlineStr">
        <is>
          <t xml:space="preserve">    For i = 0 To UBound(sheetsToExport)</t>
        </is>
      </c>
    </row>
    <row r="626">
      <c r="B626" s="379" t="inlineStr">
        <is>
          <t xml:space="preserve">        On Error Resume Next</t>
        </is>
      </c>
    </row>
    <row r="627">
      <c r="B627" s="379" t="inlineStr">
        <is>
          <t xml:space="preserve">        Set wsArr(i) = wb.Worksheets(sheetsToExport(i))</t>
        </is>
      </c>
    </row>
    <row r="628">
      <c r="B628" s="379" t="inlineStr">
        <is>
          <t xml:space="preserve">        On Error GoTo 0</t>
        </is>
      </c>
    </row>
    <row r="629">
      <c r="B629" s="379" t="inlineStr">
        <is>
          <t xml:space="preserve">    Next i</t>
        </is>
      </c>
    </row>
    <row r="630">
      <c r="B630" s="379" t="n"/>
    </row>
    <row r="631">
      <c r="B631" s="378" t="inlineStr">
        <is>
          <t xml:space="preserve">    ' Sélectionner et exporter</t>
        </is>
      </c>
    </row>
    <row r="632">
      <c r="B632" s="379" t="inlineStr">
        <is>
          <t xml:space="preserve">    On Error GoTo errHandler</t>
        </is>
      </c>
    </row>
    <row r="633">
      <c r="B633" s="379" t="inlineStr">
        <is>
          <t xml:space="preserve">    Dim ws As Worksheet</t>
        </is>
      </c>
    </row>
    <row r="634">
      <c r="B634" s="379" t="inlineStr">
        <is>
          <t xml:space="preserve">    wb.Worksheets(Array("HOME", "CONSOL_BILAN", "CONSOL_CR", "CONSOL_TRESORERIE", _</t>
        </is>
      </c>
    </row>
    <row r="635">
      <c r="B635" s="379" t="inlineStr">
        <is>
          <t xml:space="preserve">                        "DASHBOARD_FIN", "DASHBOARD_ESG", "CSRD_RAPPORT")).Select</t>
        </is>
      </c>
    </row>
    <row r="636">
      <c r="B636" s="379" t="n"/>
    </row>
    <row r="637">
      <c r="B637" s="379" t="inlineStr">
        <is>
          <t xml:space="preserve">    ActiveSheet.ExportAsFixedFormat _</t>
        </is>
      </c>
    </row>
    <row r="638">
      <c r="B638" s="379" t="inlineStr">
        <is>
          <t xml:space="preserve">        Type:=xlTypePDF, _</t>
        </is>
      </c>
    </row>
    <row r="639">
      <c r="B639" s="379" t="inlineStr">
        <is>
          <t xml:space="preserve">        Filename:=pdfPath, _</t>
        </is>
      </c>
    </row>
    <row r="640">
      <c r="B640" s="379" t="inlineStr">
        <is>
          <t xml:space="preserve">        Quality:=xlQualityStandard, _</t>
        </is>
      </c>
    </row>
    <row r="641">
      <c r="B641" s="379" t="inlineStr">
        <is>
          <t xml:space="preserve">        IncludeDocProperties:=True, _</t>
        </is>
      </c>
    </row>
    <row r="642">
      <c r="B642" s="379" t="inlineStr">
        <is>
          <t xml:space="preserve">        IgnorePrintAreas:=False</t>
        </is>
      </c>
    </row>
    <row r="643">
      <c r="B643" s="379" t="n"/>
    </row>
    <row r="644">
      <c r="B644" s="379" t="inlineStr">
        <is>
          <t xml:space="preserve">    wb.Worksheets("HOME").Activate</t>
        </is>
      </c>
    </row>
    <row r="645">
      <c r="B645" s="379" t="inlineStr">
        <is>
          <t xml:space="preserve">    MsgBox "✅ PDF exporté avec succès !" &amp; Chr(10) &amp; Chr(10) &amp; _</t>
        </is>
      </c>
    </row>
    <row r="646">
      <c r="B646" s="379" t="inlineStr">
        <is>
          <t xml:space="preserve">           "Fichier : " &amp; pdfPath, vbInformation, "Export PDF"</t>
        </is>
      </c>
    </row>
    <row r="647">
      <c r="B647" s="379" t="inlineStr">
        <is>
          <t xml:space="preserve">    Exit Sub</t>
        </is>
      </c>
    </row>
    <row r="648">
      <c r="B648" s="379" t="n"/>
    </row>
    <row r="649">
      <c r="B649" s="379" t="inlineStr">
        <is>
          <t>errHandler:</t>
        </is>
      </c>
    </row>
    <row r="650">
      <c r="B650" s="379" t="inlineStr">
        <is>
          <t xml:space="preserve">    MsgBox "Erreur export PDF : " &amp; Err.Description &amp; Chr(10) &amp; _</t>
        </is>
      </c>
    </row>
    <row r="651">
      <c r="B651" s="379" t="inlineStr">
        <is>
          <t xml:space="preserve">           "Vérifiez que le dossier est accessible et les feuilles existent.", _</t>
        </is>
      </c>
    </row>
    <row r="652">
      <c r="B652" s="379" t="inlineStr">
        <is>
          <t xml:space="preserve">           vbCritical, "Erreur Export"</t>
        </is>
      </c>
    </row>
    <row r="653">
      <c r="B653" s="377" t="inlineStr">
        <is>
          <t>End Sub</t>
        </is>
      </c>
    </row>
    <row r="654">
      <c r="B654" s="379" t="n"/>
    </row>
    <row r="655">
      <c r="B655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56">
      <c r="B656" s="377" t="inlineStr">
        <is>
          <t>Sub AjouterBoutonsNavigation()</t>
        </is>
      </c>
    </row>
    <row r="657">
      <c r="B657" s="378" t="inlineStr">
        <is>
          <t xml:space="preserve">    ' Ajoute un bouton HOME sur chaque onglet (coin supérieur droit)</t>
        </is>
      </c>
    </row>
    <row r="658">
      <c r="B658" s="379" t="inlineStr">
        <is>
          <t xml:space="preserve">    Dim wb As Workbook : Set wb = ThisWorkbook</t>
        </is>
      </c>
    </row>
    <row r="659">
      <c r="B659" s="379" t="inlineStr">
        <is>
          <t xml:space="preserve">    Dim ws As Worksheet</t>
        </is>
      </c>
    </row>
    <row r="660">
      <c r="B660" s="379" t="inlineStr">
        <is>
          <t xml:space="preserve">    Dim btn As Shape</t>
        </is>
      </c>
    </row>
    <row r="661">
      <c r="B661" s="379" t="n"/>
    </row>
    <row r="662">
      <c r="B662" s="378" t="inlineStr">
        <is>
          <t xml:space="preserve">    ' Supprimer anciens boutons nav si existants</t>
        </is>
      </c>
    </row>
    <row r="663">
      <c r="B663" s="379" t="inlineStr">
        <is>
          <t xml:space="preserve">    For Each ws In wb.Worksheets</t>
        </is>
      </c>
    </row>
    <row r="664">
      <c r="B664" s="379" t="inlineStr">
        <is>
          <t xml:space="preserve">        If ws.Name &lt;&gt; "HOME" Then</t>
        </is>
      </c>
    </row>
    <row r="665">
      <c r="B665" s="379" t="inlineStr">
        <is>
          <t xml:space="preserve">            For Each btn In ws.Shapes</t>
        </is>
      </c>
    </row>
    <row r="666">
      <c r="B666" s="379" t="inlineStr">
        <is>
          <t xml:space="preserve">                If btn.Name Like "BtnHome_*" Then btn.Delete</t>
        </is>
      </c>
    </row>
    <row r="667">
      <c r="B667" s="379" t="inlineStr">
        <is>
          <t xml:space="preserve">            Next btn</t>
        </is>
      </c>
    </row>
    <row r="668">
      <c r="B668" s="379" t="inlineStr">
        <is>
          <t xml:space="preserve">        End If</t>
        </is>
      </c>
    </row>
    <row r="669">
      <c r="B669" s="379" t="inlineStr">
        <is>
          <t xml:space="preserve">    Next ws</t>
        </is>
      </c>
    </row>
    <row r="670">
      <c r="B670" s="379" t="n"/>
    </row>
    <row r="671">
      <c r="B671" s="378" t="inlineStr">
        <is>
          <t xml:space="preserve">    ' Créer bouton sur chaque onglet sauf HOME</t>
        </is>
      </c>
    </row>
    <row r="672">
      <c r="B672" s="379" t="inlineStr">
        <is>
          <t xml:space="preserve">    For Each ws In wb.Worksheets</t>
        </is>
      </c>
    </row>
    <row r="673">
      <c r="B673" s="379" t="inlineStr">
        <is>
          <t xml:space="preserve">        If ws.Name &lt;&gt; "HOME" And ws.Name &lt;&gt; "AUDIT_LOG" Then</t>
        </is>
      </c>
    </row>
    <row r="674">
      <c r="B674" s="379" t="inlineStr">
        <is>
          <t xml:space="preserve">            ' Position: col Q-R, row 1-2 (adaptatif)</t>
        </is>
      </c>
    </row>
    <row r="675">
      <c r="B675" s="379" t="inlineStr">
        <is>
          <t xml:space="preserve">            Dim btnLeft As Double : btnLeft = ws.Columns("Q").Left</t>
        </is>
      </c>
    </row>
    <row r="676">
      <c r="B676" s="379" t="inlineStr">
        <is>
          <t xml:space="preserve">            Dim btnTop As Double : btnTop = ws.Rows(1).Top + 2</t>
        </is>
      </c>
    </row>
    <row r="677">
      <c r="B677" s="379" t="n"/>
    </row>
    <row r="678">
      <c r="B678" s="379" t="inlineStr">
        <is>
          <t xml:space="preserve">            Set btn = ws.Shapes.AddShape(msoShapeRoundedRectangle, _</t>
        </is>
      </c>
    </row>
    <row r="679">
      <c r="B679" s="379" t="inlineStr">
        <is>
          <t xml:space="preserve">                btnLeft, btnTop, 80, 22)</t>
        </is>
      </c>
    </row>
    <row r="680">
      <c r="B680" s="379" t="inlineStr">
        <is>
          <t xml:space="preserve">            btn.Name = "BtnHome_" &amp; ws.Name</t>
        </is>
      </c>
    </row>
    <row r="681">
      <c r="B681" s="379" t="inlineStr">
        <is>
          <t xml:space="preserve">            btn.TextFrame.Characters.Text = "🏠 HOME"</t>
        </is>
      </c>
    </row>
    <row r="682">
      <c r="B682" s="379" t="inlineStr">
        <is>
          <t xml:space="preserve">            btn.TextFrame.Characters.Font.Size = 9</t>
        </is>
      </c>
    </row>
    <row r="683">
      <c r="B683" s="379" t="inlineStr">
        <is>
          <t xml:space="preserve">            btn.TextFrame.Characters.Font.Bold = True</t>
        </is>
      </c>
    </row>
    <row r="684">
      <c r="B684" s="379" t="inlineStr">
        <is>
          <t xml:space="preserve">            btn.TextFrame.Characters.Font.Color = RGB(255, 255, 255)</t>
        </is>
      </c>
    </row>
    <row r="685">
      <c r="B685" s="379" t="inlineStr">
        <is>
          <t xml:space="preserve">            btn.Fill.ForeColor.RGB = RGB(31, 56, 100)</t>
        </is>
      </c>
    </row>
    <row r="686">
      <c r="B686" s="379" t="inlineStr">
        <is>
          <t xml:space="preserve">            btn.Line.Visible = msoFalse</t>
        </is>
      </c>
    </row>
    <row r="687">
      <c r="B687" s="379" t="n"/>
    </row>
    <row r="688">
      <c r="B688" s="379" t="inlineStr">
        <is>
          <t xml:space="preserve">            ' Affecter macro retour HOME</t>
        </is>
      </c>
    </row>
    <row r="689">
      <c r="B689" s="379" t="inlineStr">
        <is>
          <t xml:space="preserve">            btn.OnAction = "RetourHome"</t>
        </is>
      </c>
    </row>
    <row r="690">
      <c r="B690" s="379" t="inlineStr">
        <is>
          <t xml:space="preserve">        End If</t>
        </is>
      </c>
    </row>
    <row r="691">
      <c r="B691" s="379" t="inlineStr">
        <is>
          <t xml:space="preserve">    Next ws</t>
        </is>
      </c>
    </row>
    <row r="692">
      <c r="B692" s="379" t="n"/>
    </row>
    <row r="693">
      <c r="B693" s="379" t="inlineStr">
        <is>
          <t xml:space="preserve">    MsgBox "✅ Boutons HOME ajoutés sur " &amp; wb.Worksheets.Count - 2 &amp; " onglets.", _</t>
        </is>
      </c>
    </row>
    <row r="694">
      <c r="B694" s="379" t="inlineStr">
        <is>
          <t xml:space="preserve">           vbInformation, "Navigation"</t>
        </is>
      </c>
    </row>
    <row r="695">
      <c r="B695" s="377" t="inlineStr">
        <is>
          <t>End Sub</t>
        </is>
      </c>
    </row>
    <row r="696">
      <c r="B696" s="379" t="n"/>
    </row>
    <row r="697">
      <c r="B697" s="377" t="inlineStr">
        <is>
          <t>Sub RetourHome()</t>
        </is>
      </c>
    </row>
    <row r="698">
      <c r="B698" s="379" t="inlineStr">
        <is>
          <t xml:space="preserve">    ThisWorkbook.Worksheets("HOME").Activate</t>
        </is>
      </c>
    </row>
    <row r="699">
      <c r="B699" s="377" t="inlineStr">
        <is>
          <t>End Sub</t>
        </is>
      </c>
    </row>
    <row r="700">
      <c r="B700" s="379" t="n"/>
    </row>
    <row r="701">
      <c r="B701" s="375" t="inlineStr">
        <is>
          <t xml:space="preserve">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02">
      <c r="B702" s="377" t="inlineStr">
        <is>
          <t>Sub SimulerSensibiliteTaux()</t>
        </is>
      </c>
    </row>
    <row r="703">
      <c r="B703" s="378" t="inlineStr">
        <is>
          <t xml:space="preserve">    ' Recalcule l'impact d'une variation de taux sur CA + Résultat Net',</t>
        </is>
      </c>
    </row>
    <row r="704">
      <c r="B704" s="379" t="inlineStr">
        <is>
          <t xml:space="preserve">    Dim wb As Workbook : Set wb = ThisWorkbook</t>
        </is>
      </c>
    </row>
    <row r="705">
      <c r="B705" s="379" t="inlineStr">
        <is>
          <t xml:space="preserve">    Dim pctChange As Double</t>
        </is>
      </c>
    </row>
    <row r="706">
      <c r="B706" s="379" t="inlineStr">
        <is>
          <t xml:space="preserve">    Dim inputStr As String</t>
        </is>
      </c>
    </row>
    <row r="707">
      <c r="B707" s="379" t="n"/>
    </row>
    <row r="708">
      <c r="B708" s="379" t="inlineStr">
        <is>
          <t xml:space="preserve">    inputStr = InputBox("Variation des taux de change (en %) :" &amp; Chr(10) &amp; _</t>
        </is>
      </c>
    </row>
    <row r="709">
      <c r="B709" s="379" t="inlineStr">
        <is>
          <t xml:space="preserve">                        "Ex: 5 pour +5%, -5 pour -5%" &amp; Chr(10) &amp; Chr(10) &amp; _</t>
        </is>
      </c>
    </row>
    <row r="710">
      <c r="B710" s="379" t="inlineStr">
        <is>
          <t xml:space="preserve">                        "ATTENTION : modifie temporairement les taux GBP, USD et SGD.", _</t>
        </is>
      </c>
    </row>
    <row r="711">
      <c r="B711" s="379" t="inlineStr">
        <is>
          <t xml:space="preserve">                        "Simulation Sensibilité Taux", "5")</t>
        </is>
      </c>
    </row>
    <row r="712">
      <c r="B712" s="379" t="inlineStr">
        <is>
          <t xml:space="preserve">    If inputStr = "" Then Exit Sub</t>
        </is>
      </c>
    </row>
    <row r="713">
      <c r="B713" s="379" t="inlineStr">
        <is>
          <t xml:space="preserve">    pctChange = CDbl(inputStr) / 100</t>
        </is>
      </c>
    </row>
    <row r="714">
      <c r="B714" s="379" t="n"/>
    </row>
    <row r="715">
      <c r="B715" s="378" t="inlineStr">
        <is>
          <t xml:space="preserve">    ' Sauvegarder les taux actuels</t>
        </is>
      </c>
    </row>
    <row r="716">
      <c r="B716" s="379" t="inlineStr">
        <is>
          <t xml:space="preserve">    Dim tauxSh As Worksheet : Set tauxSh = wb.Worksheets("PQ_TAUX_CHANGE")</t>
        </is>
      </c>
    </row>
    <row r="717">
      <c r="B717" s="379" t="inlineStr">
        <is>
          <t xml:space="preserve">    Dim tauxGBP As Double : tauxGBP = tauxSh.Range("F6").Value  ' GBP clôture</t>
        </is>
      </c>
    </row>
    <row r="718">
      <c r="B718" s="379" t="inlineStr">
        <is>
          <t xml:space="preserve">    Dim tauxUSD As Double : tauxUSD = tauxSh.Range("F11").Value  ' USD clôture</t>
        </is>
      </c>
    </row>
    <row r="719">
      <c r="B719" s="379" t="inlineStr">
        <is>
          <t xml:space="preserve">    Dim tauxSGD As Double : tauxSGD = tauxSh.Range("F16").Value  ' SGD clôture</t>
        </is>
      </c>
    </row>
    <row r="720">
      <c r="B720" s="379" t="n"/>
    </row>
    <row r="721">
      <c r="B721" s="379" t="inlineStr">
        <is>
          <t xml:space="preserve">    Dim caBase As Double : caBase = wb.Worksheets("CONSOL_CR").Range("C35").Value</t>
        </is>
      </c>
    </row>
    <row r="722">
      <c r="B722" s="379" t="inlineStr">
        <is>
          <t xml:space="preserve">    Dim rnBase As Double : rnBase = wb.Worksheets("CONSOL_CR").Range("C40").Value</t>
        </is>
      </c>
    </row>
    <row r="723">
      <c r="B723" s="379" t="n"/>
    </row>
    <row r="724">
      <c r="B724" s="378" t="inlineStr">
        <is>
          <t xml:space="preserve">    ' Appliquer variation</t>
        </is>
      </c>
    </row>
    <row r="725">
      <c r="B725" s="379" t="inlineStr">
        <is>
          <t xml:space="preserve">    tauxSh.Range("F6").Value = tauxGBP * (1 + pctChange)</t>
        </is>
      </c>
    </row>
    <row r="726">
      <c r="B726" s="379" t="inlineStr">
        <is>
          <t xml:space="preserve">    tauxSh.Range("F11").Value = tauxUSD * (1 + pctChange)</t>
        </is>
      </c>
    </row>
    <row r="727">
      <c r="B727" s="379" t="inlineStr">
        <is>
          <t xml:space="preserve">    tauxSh.Range("F16").Value = tauxSGD * (1 + pctChange)</t>
        </is>
      </c>
    </row>
    <row r="728">
      <c r="B728" s="379" t="inlineStr">
        <is>
          <t xml:space="preserve">    Application.CalculateFull</t>
        </is>
      </c>
    </row>
    <row r="729">
      <c r="B729" s="379" t="n"/>
    </row>
    <row r="730">
      <c r="B730" s="379" t="inlineStr">
        <is>
          <t xml:space="preserve">    Dim caNew As Double : caNew = wb.Worksheets("CONSOL_CR").Range("C35").Value</t>
        </is>
      </c>
    </row>
    <row r="731">
      <c r="B731" s="379" t="inlineStr">
        <is>
          <t xml:space="preserve">    Dim rnNew As Double : rnNew = wb.Worksheets("CONSOL_CR").Range("C40").Value</t>
        </is>
      </c>
    </row>
    <row r="732">
      <c r="B732" s="379" t="n"/>
    </row>
    <row r="733">
      <c r="B733" s="378" t="inlineStr">
        <is>
          <t xml:space="preserve">    ' Rapport</t>
        </is>
      </c>
    </row>
    <row r="734">
      <c r="B734" s="379" t="inlineStr">
        <is>
          <t xml:space="preserve">    Dim msg As String</t>
        </is>
      </c>
    </row>
    <row r="735">
      <c r="B735" s="379" t="inlineStr">
        <is>
          <t xml:space="preserve">    msg = "SIMULATION : Taux " &amp; IIf(pctChange&gt;0,"+","") &amp; Format(pctChange*100,"0.0") &amp; "%" &amp; Chr(10)</t>
        </is>
      </c>
    </row>
    <row r="736">
      <c r="B736" s="379" t="inlineStr">
        <is>
          <t xml:space="preserve">    msg = msg &amp; String(40,"─") &amp; Chr(10)</t>
        </is>
      </c>
    </row>
    <row r="737">
      <c r="B737" s="379" t="inlineStr">
        <is>
          <t xml:space="preserve">    msg = msg &amp; "CA Base   : " &amp; Format(caBase,"#,##0") &amp; " k€" &amp; Chr(10)</t>
        </is>
      </c>
    </row>
    <row r="738">
      <c r="B738" s="379" t="inlineStr">
        <is>
          <t xml:space="preserve">    msg = msg &amp; "CA Simulé : " &amp; Format(caNew,"#,##0") &amp; " k€  (" &amp; Format((caNew-caBase)/caBase*100,"+0.0;-0.0") &amp; "%)" &amp; Chr(10)</t>
        </is>
      </c>
    </row>
    <row r="739">
      <c r="B739" s="379" t="inlineStr">
        <is>
          <t xml:space="preserve">    msg = msg &amp; Chr(10)</t>
        </is>
      </c>
    </row>
    <row r="740">
      <c r="B740" s="379" t="inlineStr">
        <is>
          <t xml:space="preserve">    msg = msg &amp; "RN Base   : " &amp; Format(rnBase,"#,##0") &amp; " k€" &amp; Chr(10)</t>
        </is>
      </c>
    </row>
    <row r="741">
      <c r="B741" s="379" t="inlineStr">
        <is>
          <t xml:space="preserve">    msg = msg &amp; "RN Simulé : " &amp; Format(rnNew,"#,##0") &amp; " k€  (" &amp; Format((rnNew-rnBase)/rnBase*100,"+0.0;-0.0") &amp; "%)"</t>
        </is>
      </c>
    </row>
    <row r="742">
      <c r="B742" s="379" t="n"/>
    </row>
    <row r="743">
      <c r="B743" s="379" t="inlineStr">
        <is>
          <t xml:space="preserve">    MsgBox msg, vbInformation, "Sensibilité Taux – Résultat"</t>
        </is>
      </c>
    </row>
    <row r="744">
      <c r="B744" s="379" t="n"/>
    </row>
    <row r="745">
      <c r="B745" s="378" t="inlineStr">
        <is>
          <t xml:space="preserve">    ' Restaurer les taux originaux</t>
        </is>
      </c>
    </row>
    <row r="746">
      <c r="B746" s="379" t="inlineStr">
        <is>
          <t xml:space="preserve">    tauxSh.Range("F6").Value = tauxGBP</t>
        </is>
      </c>
    </row>
    <row r="747">
      <c r="B747" s="379" t="inlineStr">
        <is>
          <t xml:space="preserve">    tauxSh.Range("F11").Value = tauxUSD</t>
        </is>
      </c>
    </row>
    <row r="748">
      <c r="B748" s="379" t="inlineStr">
        <is>
          <t xml:space="preserve">    tauxSh.Range("F16").Value = tauxSGD</t>
        </is>
      </c>
    </row>
    <row r="749">
      <c r="B749" s="379" t="inlineStr">
        <is>
          <t xml:space="preserve">    Application.CalculateFull</t>
        </is>
      </c>
    </row>
    <row r="750">
      <c r="B750" s="377" t="inlineStr">
        <is>
          <t>End Sub</t>
        </is>
      </c>
    </row>
  </sheetData>
  <mergeCells count="1">
    <mergeCell ref="A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7AE60"/>
    <outlinePr summaryBelow="1" summaryRight="1"/>
    <pageSetUpPr/>
  </sheetPr>
  <dimension ref="A1:Q80"/>
  <sheetViews>
    <sheetView workbookViewId="0">
      <selection activeCell="J23" sqref="J23"/>
    </sheetView>
  </sheetViews>
  <sheetFormatPr baseColWidth="10" defaultRowHeight="15"/>
  <cols>
    <col width="3.85546875" customWidth="1" style="500" min="1" max="1"/>
    <col width="43.85546875" customWidth="1" style="500" min="2" max="2"/>
    <col width="16.140625" customWidth="1" style="500" min="3" max="6"/>
    <col width="13.28515625" customWidth="1" style="500" min="7" max="7"/>
    <col width="2.42578125" customWidth="1" style="500" min="8" max="8"/>
    <col width="34.140625" bestFit="1" customWidth="1" style="500" min="9" max="9"/>
    <col width="9" bestFit="1" customWidth="1" style="500" min="10" max="10"/>
    <col width="9.7109375" bestFit="1" customWidth="1" style="500" min="11" max="11"/>
    <col width="11.28515625" bestFit="1" customWidth="1" style="500" min="12" max="12"/>
    <col width="6" bestFit="1" customWidth="1" style="500" min="13" max="13"/>
    <col width="9.85546875" bestFit="1" customWidth="1" style="500" min="14" max="14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  <c r="O1" s="541" t="n"/>
      <c r="P1" s="541" t="n"/>
      <c r="Q1" s="541" t="n"/>
    </row>
    <row r="2" ht="18.75" customHeight="1" s="500">
      <c r="A2" s="541" t="n"/>
      <c r="B2" s="519" t="inlineStr">
        <is>
          <t>🇫🇷  FR_ParentCo – SOCIÉTÉ MÈRE FRANCE · Liasse Comptable Locale · Exercice 2025-2026</t>
        </is>
      </c>
      <c r="O2" s="541" t="n"/>
      <c r="P2" s="541" t="n"/>
      <c r="Q2" s="541" t="n"/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  <c r="O3" s="541" t="n"/>
      <c r="P3" s="541" t="n"/>
      <c r="Q3" s="541" t="n"/>
    </row>
    <row r="4">
      <c r="A4" s="541" t="n"/>
      <c r="B4" s="520" t="inlineStr">
        <is>
          <t>⚙️  PARAMÈTRES ENTITÉ</t>
        </is>
      </c>
      <c r="F4" s="541" t="n"/>
      <c r="G4" s="541" t="n"/>
      <c r="H4" s="541" t="n"/>
      <c r="I4" s="541" t="n"/>
      <c r="J4" s="541" t="n"/>
      <c r="K4" s="541" t="n"/>
      <c r="L4" s="541" t="n"/>
      <c r="M4" s="541" t="n"/>
      <c r="N4" s="541" t="n"/>
      <c r="O4" s="541" t="n"/>
      <c r="P4" s="541" t="n"/>
      <c r="Q4" s="541" t="n"/>
    </row>
    <row r="5">
      <c r="A5" s="541" t="n"/>
      <c r="B5" s="540" t="inlineStr">
        <is>
          <t>Entité :</t>
        </is>
      </c>
      <c r="C5" s="540" t="inlineStr">
        <is>
          <t>FR_ParentCo – Holding Groupe</t>
        </is>
      </c>
      <c r="D5" s="541" t="n"/>
      <c r="E5" s="541" t="n"/>
      <c r="F5" s="541" t="n"/>
      <c r="G5" s="541" t="n"/>
      <c r="H5" s="541" t="n"/>
      <c r="I5" s="541" t="n"/>
      <c r="J5" s="541" t="n"/>
      <c r="K5" s="541" t="n"/>
      <c r="L5" s="541" t="n"/>
      <c r="M5" s="541" t="n"/>
      <c r="N5" s="541" t="n"/>
      <c r="O5" s="541" t="n"/>
      <c r="P5" s="541" t="n"/>
      <c r="Q5" s="541" t="n"/>
    </row>
    <row r="6">
      <c r="A6" s="541" t="n"/>
      <c r="B6" s="540" t="inlineStr">
        <is>
          <t>Pays / Devise :</t>
        </is>
      </c>
      <c r="C6" s="540" t="inlineStr">
        <is>
          <t>France · EUR (€)</t>
        </is>
      </c>
      <c r="D6" s="541" t="n"/>
      <c r="E6" s="541" t="n"/>
      <c r="F6" s="541" t="n"/>
      <c r="G6" s="541" t="n"/>
      <c r="H6" s="541" t="n"/>
      <c r="I6" s="541" t="n"/>
      <c r="J6" s="541" t="n"/>
      <c r="K6" s="541" t="n"/>
      <c r="L6" s="541" t="n"/>
      <c r="M6" s="541" t="n"/>
      <c r="N6" s="541" t="n"/>
      <c r="O6" s="541" t="n"/>
      <c r="P6" s="541" t="n"/>
      <c r="Q6" s="541" t="n"/>
    </row>
    <row r="7">
      <c r="A7" s="541" t="n"/>
      <c r="B7" s="540" t="inlineStr">
        <is>
          <t>% Détention :</t>
        </is>
      </c>
      <c r="C7" s="540" t="inlineStr">
        <is>
          <t>100% – Société Mère</t>
        </is>
      </c>
      <c r="D7" s="541" t="n"/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  <c r="O7" s="541" t="n"/>
      <c r="P7" s="541" t="n"/>
      <c r="Q7" s="541" t="n"/>
    </row>
    <row r="8">
      <c r="A8" s="541" t="n"/>
      <c r="B8" s="540" t="inlineStr">
        <is>
          <t>Méthode :</t>
        </is>
      </c>
      <c r="C8" s="540" t="inlineStr">
        <is>
          <t>Intégration Globale</t>
        </is>
      </c>
      <c r="D8" s="541" t="n"/>
      <c r="E8" s="541" t="n"/>
      <c r="F8" s="541" t="n"/>
      <c r="G8" s="541" t="n"/>
      <c r="H8" s="541" t="n"/>
      <c r="I8" s="541" t="n"/>
      <c r="J8" s="541" t="n"/>
      <c r="K8" s="541" t="n"/>
      <c r="L8" s="541" t="n"/>
      <c r="M8" s="541" t="n"/>
      <c r="N8" s="541" t="n"/>
      <c r="O8" s="541" t="n"/>
      <c r="P8" s="541" t="n"/>
      <c r="Q8" s="541" t="n"/>
    </row>
    <row r="9">
      <c r="A9" s="541" t="n"/>
      <c r="B9" s="540" t="inlineStr">
        <is>
          <t>Taux de clôture :</t>
        </is>
      </c>
      <c r="C9" s="540" t="inlineStr">
        <is>
          <t>1.0000 (EUR/EUR)</t>
        </is>
      </c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</row>
    <row r="10">
      <c r="A10" s="541" t="n"/>
      <c r="B10" s="540" t="inlineStr">
        <is>
          <t>Taux moyen :</t>
        </is>
      </c>
      <c r="C10" s="540" t="inlineStr">
        <is>
          <t>1.0000 (EUR/EUR)</t>
        </is>
      </c>
      <c r="D10" s="541" t="n"/>
      <c r="E10" s="541" t="n"/>
      <c r="F10" s="541" t="n"/>
      <c r="G10" s="541" t="n"/>
      <c r="H10" s="541" t="n"/>
      <c r="I10" s="541" t="n"/>
      <c r="J10" s="541" t="n"/>
      <c r="K10" s="541" t="n"/>
      <c r="L10" s="541" t="n"/>
      <c r="M10" s="541" t="n"/>
      <c r="N10" s="541" t="n"/>
      <c r="O10" s="541" t="n"/>
      <c r="P10" s="541" t="n"/>
      <c r="Q10" s="541" t="n"/>
    </row>
    <row r="11">
      <c r="A11" s="541" t="n"/>
      <c r="B11" s="540" t="inlineStr">
        <is>
          <t>Exercice :</t>
        </is>
      </c>
      <c r="C11" s="540" t="inlineStr">
        <is>
          <t>01/01/2025 – 31/12/2025</t>
        </is>
      </c>
      <c r="D11" s="541" t="n"/>
      <c r="E11" s="541" t="n"/>
      <c r="F11" s="541" t="n"/>
      <c r="G11" s="541" t="n"/>
      <c r="H11" s="541" t="n"/>
      <c r="I11" s="541" t="n"/>
      <c r="J11" s="541" t="n"/>
      <c r="K11" s="541" t="n"/>
      <c r="L11" s="541" t="n"/>
      <c r="M11" s="541" t="n"/>
      <c r="N11" s="541" t="n"/>
      <c r="O11" s="541" t="n"/>
      <c r="P11" s="541" t="n"/>
      <c r="Q11" s="541" t="n"/>
    </row>
    <row r="12">
      <c r="A12" s="541" t="n"/>
      <c r="B12" s="541" t="n"/>
      <c r="C12" s="541" t="n"/>
      <c r="D12" s="541" t="n"/>
      <c r="E12" s="541" t="n"/>
      <c r="F12" s="541" t="n"/>
      <c r="G12" s="541" t="n"/>
      <c r="H12" s="541" t="n"/>
      <c r="I12" s="541" t="n"/>
      <c r="J12" s="541" t="n"/>
      <c r="K12" s="541" t="n"/>
      <c r="L12" s="541" t="n"/>
      <c r="M12" s="541" t="n"/>
      <c r="N12" s="541" t="n"/>
      <c r="O12" s="541" t="n"/>
      <c r="P12" s="541" t="n"/>
      <c r="Q12" s="541" t="n"/>
    </row>
    <row r="13" ht="15.75" customHeight="1" s="500">
      <c r="A13" s="541" t="n"/>
      <c r="B13" s="521" t="inlineStr">
        <is>
          <t>BILAN CONSOLIDÉ LOCAL – ACTIF (en k€)</t>
        </is>
      </c>
      <c r="H13" s="541" t="n"/>
      <c r="I13" s="521" t="inlineStr">
        <is>
          <t>BILAN – PASSIF (en k€)</t>
        </is>
      </c>
      <c r="O13" s="541" t="n"/>
      <c r="P13" s="541" t="n"/>
      <c r="Q13" s="541" t="n"/>
    </row>
    <row r="14">
      <c r="A14" s="541" t="n"/>
      <c r="B14" s="543" t="inlineStr">
        <is>
          <t>Poste IFRS</t>
        </is>
      </c>
      <c r="C14" s="543" t="inlineStr">
        <is>
          <t>Compte</t>
        </is>
      </c>
      <c r="D14" s="543" t="inlineStr">
        <is>
          <t>N (2025) k€</t>
        </is>
      </c>
      <c r="E14" s="543" t="inlineStr">
        <is>
          <t>N-1 (2024) k€</t>
        </is>
      </c>
      <c r="F14" s="543" t="inlineStr">
        <is>
          <t>Δ k€</t>
        </is>
      </c>
      <c r="G14" s="543" t="inlineStr">
        <is>
          <t>Note</t>
        </is>
      </c>
      <c r="H14" s="541" t="n"/>
      <c r="I14" s="543" t="inlineStr">
        <is>
          <t>Poste IFRS</t>
        </is>
      </c>
      <c r="J14" s="543" t="inlineStr">
        <is>
          <t>Compte</t>
        </is>
      </c>
      <c r="K14" s="543" t="inlineStr">
        <is>
          <t>N (2025) k€</t>
        </is>
      </c>
      <c r="L14" s="543" t="inlineStr">
        <is>
          <t>N-1 (2024) k€</t>
        </is>
      </c>
      <c r="M14" s="543" t="inlineStr">
        <is>
          <t>Δ k€</t>
        </is>
      </c>
      <c r="N14" s="543" t="inlineStr">
        <is>
          <t>Note</t>
        </is>
      </c>
      <c r="O14" s="541" t="n"/>
      <c r="P14" s="541" t="n"/>
      <c r="Q14" s="541" t="n"/>
    </row>
    <row r="15">
      <c r="A15" s="541" t="n"/>
      <c r="B15" s="22" t="inlineStr">
        <is>
          <t>ACTIFS NON COURANTS</t>
        </is>
      </c>
      <c r="C15" s="22" t="n"/>
      <c r="D15" s="22" t="n"/>
      <c r="E15" s="22" t="n"/>
      <c r="F15" s="22" t="n"/>
      <c r="G15" s="22" t="n"/>
      <c r="H15" s="541" t="n"/>
      <c r="I15" s="22" t="inlineStr">
        <is>
          <t>CAPITAUX PROPRES</t>
        </is>
      </c>
      <c r="J15" s="22" t="n"/>
      <c r="K15" s="22" t="n"/>
      <c r="L15" s="22" t="n"/>
      <c r="M15" s="22" t="n"/>
      <c r="N15" s="22" t="n"/>
      <c r="O15" s="541" t="n"/>
      <c r="P15" s="541" t="n"/>
      <c r="Q15" s="541" t="n"/>
    </row>
    <row r="16">
      <c r="A16" s="541" t="n"/>
      <c r="B16" s="542" t="inlineStr">
        <is>
          <t>Immobilisations incorporelles (GW inclus)</t>
        </is>
      </c>
      <c r="C16" s="31" t="inlineStr">
        <is>
          <t>21xx</t>
        </is>
      </c>
      <c r="D16" s="984" t="n">
        <v>85000</v>
      </c>
      <c r="E16" s="984" t="n">
        <v>82000</v>
      </c>
      <c r="F16" s="984">
        <f>D16-E16</f>
        <v/>
      </c>
      <c r="G16" s="542" t="inlineStr">
        <is>
          <t>Note 3 – GW</t>
        </is>
      </c>
      <c r="H16" s="541" t="n"/>
      <c r="I16" s="542" t="inlineStr">
        <is>
          <t>Capital social</t>
        </is>
      </c>
      <c r="J16" s="542" t="inlineStr">
        <is>
          <t>101x</t>
        </is>
      </c>
      <c r="K16" s="542" t="n">
        <v>50000</v>
      </c>
      <c r="L16" s="542" t="n">
        <v>50000</v>
      </c>
      <c r="M16" s="542" t="n"/>
      <c r="N16" s="542" t="n"/>
      <c r="O16" s="541" t="n"/>
      <c r="P16" s="541" t="n"/>
      <c r="Q16" s="541" t="n"/>
    </row>
    <row r="17">
      <c r="A17" s="541" t="n"/>
      <c r="B17" s="540" t="inlineStr">
        <is>
          <t>Immobilisations corporelles (PP&amp;E)</t>
        </is>
      </c>
      <c r="C17" s="32" t="inlineStr">
        <is>
          <t>22xx</t>
        </is>
      </c>
      <c r="D17" s="985" t="n">
        <v>142000</v>
      </c>
      <c r="E17" s="985" t="n">
        <v>138500</v>
      </c>
      <c r="F17" s="985">
        <f>D17-E17</f>
        <v/>
      </c>
      <c r="G17" s="540" t="inlineStr">
        <is>
          <t>IFRS 16</t>
        </is>
      </c>
      <c r="H17" s="541" t="n"/>
      <c r="I17" s="540" t="inlineStr">
        <is>
          <t>Primes d'émission &amp; réserves</t>
        </is>
      </c>
      <c r="J17" s="540" t="inlineStr">
        <is>
          <t>104x-106x</t>
        </is>
      </c>
      <c r="K17" s="540" t="n">
        <v>128500</v>
      </c>
      <c r="L17" s="540" t="n">
        <v>115200</v>
      </c>
      <c r="M17" s="540" t="n"/>
      <c r="N17" s="540" t="n"/>
      <c r="O17" s="541" t="n"/>
      <c r="P17" s="541" t="n"/>
      <c r="Q17" s="541" t="n"/>
    </row>
    <row r="18">
      <c r="A18" s="541" t="n"/>
      <c r="B18" s="542" t="inlineStr">
        <is>
          <t>Actifs droits d'utilisation (IFRS 16)</t>
        </is>
      </c>
      <c r="C18" s="31" t="inlineStr">
        <is>
          <t>232x</t>
        </is>
      </c>
      <c r="D18" s="984" t="n">
        <v>28500</v>
      </c>
      <c r="E18" s="984" t="n">
        <v>31200</v>
      </c>
      <c r="F18" s="984">
        <f>D18-E18</f>
        <v/>
      </c>
      <c r="G18" s="542" t="inlineStr">
        <is>
          <t>Baux</t>
        </is>
      </c>
      <c r="H18" s="541" t="n"/>
      <c r="I18" s="542" t="inlineStr">
        <is>
          <t>Résultat de l'exercice</t>
        </is>
      </c>
      <c r="J18" s="542" t="inlineStr">
        <is>
          <t>120x</t>
        </is>
      </c>
      <c r="K18" s="542" t="n">
        <v>32800</v>
      </c>
      <c r="L18" s="542" t="n">
        <v>28400</v>
      </c>
      <c r="M18" s="542" t="n"/>
      <c r="N18" s="542" t="inlineStr">
        <is>
          <t>Lié au CR</t>
        </is>
      </c>
      <c r="O18" s="541" t="n"/>
      <c r="P18" s="541" t="n"/>
      <c r="Q18" s="541" t="n"/>
    </row>
    <row r="19">
      <c r="A19" s="541" t="n"/>
      <c r="B19" s="540" t="inlineStr">
        <is>
          <t>Participations &amp; titres mis en équivalence</t>
        </is>
      </c>
      <c r="C19" s="32" t="inlineStr">
        <is>
          <t>261x</t>
        </is>
      </c>
      <c r="D19" s="985" t="n">
        <v>95000</v>
      </c>
      <c r="E19" s="985" t="n">
        <v>90000</v>
      </c>
      <c r="F19" s="985">
        <f>D19-E19</f>
        <v/>
      </c>
      <c r="G19" s="540" t="inlineStr">
        <is>
          <t>Méthode MEE</t>
        </is>
      </c>
      <c r="H19" s="541" t="n"/>
      <c r="I19" s="540" t="inlineStr">
        <is>
          <t>Autres réserves / OCI (IFRS 9 &amp; IAS 19)</t>
        </is>
      </c>
      <c r="J19" s="540" t="inlineStr">
        <is>
          <t>10xx</t>
        </is>
      </c>
      <c r="K19" s="540" t="n">
        <v>-4200</v>
      </c>
      <c r="L19" s="540" t="n">
        <v>-3100</v>
      </c>
      <c r="M19" s="540" t="n"/>
      <c r="N19" s="540" t="inlineStr">
        <is>
          <t>IAS 19</t>
        </is>
      </c>
      <c r="O19" s="541" t="n"/>
      <c r="P19" s="541" t="n"/>
      <c r="Q19" s="541" t="n"/>
    </row>
    <row r="20">
      <c r="A20" s="541" t="n"/>
      <c r="B20" s="542" t="inlineStr">
        <is>
          <t>Impôts différés actifs</t>
        </is>
      </c>
      <c r="C20" s="31" t="inlineStr">
        <is>
          <t>274x</t>
        </is>
      </c>
      <c r="D20" s="984" t="n">
        <v>12400</v>
      </c>
      <c r="E20" s="984" t="n">
        <v>11800</v>
      </c>
      <c r="F20" s="984">
        <f>D20-E20</f>
        <v/>
      </c>
      <c r="G20" s="542" t="inlineStr">
        <is>
          <t>IAS 12</t>
        </is>
      </c>
      <c r="H20" s="541" t="n"/>
      <c r="I20" s="542" t="inlineStr">
        <is>
          <t>Intérêts minoritaires (NCI)</t>
        </is>
      </c>
      <c r="J20" s="542" t="n">
        <v>1044</v>
      </c>
      <c r="K20" s="542" t="n">
        <v>18700</v>
      </c>
      <c r="L20" s="542" t="n">
        <v>16900</v>
      </c>
      <c r="M20" s="542" t="n"/>
      <c r="N20" s="542" t="inlineStr">
        <is>
          <t>IFRS 10</t>
        </is>
      </c>
      <c r="O20" s="541" t="n"/>
      <c r="P20" s="541" t="n"/>
      <c r="Q20" s="541" t="n"/>
    </row>
    <row r="21">
      <c r="A21" s="541" t="n"/>
      <c r="B21" s="540" t="inlineStr">
        <is>
          <t>Autres actifs non courants</t>
        </is>
      </c>
      <c r="C21" s="32" t="inlineStr">
        <is>
          <t>27xx</t>
        </is>
      </c>
      <c r="D21" s="985" t="n">
        <v>8500</v>
      </c>
      <c r="E21" s="985" t="n">
        <v>7200</v>
      </c>
      <c r="F21" s="985">
        <f>D21-E21</f>
        <v/>
      </c>
      <c r="G21" s="540" t="n"/>
      <c r="H21" s="541" t="n"/>
      <c r="I21" s="28" t="inlineStr">
        <is>
          <t>TOTAL CAPITAUX PROPRES</t>
        </is>
      </c>
      <c r="J21" s="28" t="n"/>
      <c r="K21" s="28">
        <f>SUM(K16:K20)</f>
        <v/>
      </c>
      <c r="L21" s="28">
        <f>SUM(L16:L20)</f>
        <v/>
      </c>
      <c r="M21" s="28">
        <f>K21-L21</f>
        <v/>
      </c>
      <c r="N21" s="28" t="n"/>
      <c r="O21" s="541" t="n"/>
      <c r="P21" s="541" t="n"/>
      <c r="Q21" s="541" t="n"/>
    </row>
    <row r="22">
      <c r="A22" s="541" t="n"/>
      <c r="B22" s="25" t="inlineStr">
        <is>
          <t>TOTAL ACTIFS NON COURANTS</t>
        </is>
      </c>
      <c r="C22" s="33" t="n"/>
      <c r="D22" s="986">
        <f>SUM(D16:D21)</f>
        <v/>
      </c>
      <c r="E22" s="986">
        <f>SUM(E16:E21)</f>
        <v/>
      </c>
      <c r="F22" s="986">
        <f>D22-E22</f>
        <v/>
      </c>
      <c r="G22" s="25" t="n"/>
      <c r="H22" s="541" t="n"/>
      <c r="I22" s="22" t="inlineStr">
        <is>
          <t>PASSIFS NON COURANTS</t>
        </is>
      </c>
      <c r="J22" s="22" t="n"/>
      <c r="K22" s="22" t="n"/>
      <c r="L22" s="22" t="n"/>
      <c r="M22" s="22" t="n"/>
      <c r="N22" s="22" t="n"/>
      <c r="O22" s="541" t="n"/>
      <c r="P22" s="541" t="n"/>
      <c r="Q22" s="541" t="n"/>
    </row>
    <row r="23">
      <c r="A23" s="541" t="n"/>
      <c r="B23" s="22" t="inlineStr">
        <is>
          <t>ACTIFS COURANTS</t>
        </is>
      </c>
      <c r="C23" s="34" t="n"/>
      <c r="D23" s="987" t="n"/>
      <c r="E23" s="987" t="n"/>
      <c r="F23" s="987" t="n"/>
      <c r="G23" s="22" t="n"/>
      <c r="H23" s="541" t="n"/>
      <c r="I23" s="542" t="inlineStr">
        <is>
          <t>Emprunts &amp; dettes financières LT</t>
        </is>
      </c>
      <c r="J23" s="542" t="inlineStr">
        <is>
          <t>164x</t>
        </is>
      </c>
      <c r="K23" s="542" t="n">
        <v>125000</v>
      </c>
      <c r="L23" s="542" t="n">
        <v>132000</v>
      </c>
      <c r="M23" s="542" t="n"/>
      <c r="N23" s="542" t="inlineStr">
        <is>
          <t>IFRS 9</t>
        </is>
      </c>
      <c r="O23" s="541" t="n"/>
      <c r="P23" s="541" t="n"/>
      <c r="Q23" s="541" t="n"/>
    </row>
    <row r="24">
      <c r="A24" s="541" t="n"/>
      <c r="B24" s="542" t="inlineStr">
        <is>
          <t>Stocks &amp; en-cours</t>
        </is>
      </c>
      <c r="C24" s="31" t="inlineStr">
        <is>
          <t>31xx-35xx</t>
        </is>
      </c>
      <c r="D24" s="984" t="n">
        <v>45200</v>
      </c>
      <c r="E24" s="984" t="n">
        <v>43800</v>
      </c>
      <c r="F24" s="984">
        <f>D24-E24</f>
        <v/>
      </c>
      <c r="G24" s="542" t="inlineStr">
        <is>
          <t>IAS 2</t>
        </is>
      </c>
      <c r="H24" s="541" t="n"/>
      <c r="I24" s="540" t="inlineStr">
        <is>
          <t>Dettes locatives LT (IFRS 16)</t>
        </is>
      </c>
      <c r="J24" s="540" t="n">
        <v>1674</v>
      </c>
      <c r="K24" s="540" t="n">
        <v>22800</v>
      </c>
      <c r="L24" s="540" t="n">
        <v>25600</v>
      </c>
      <c r="M24" s="540" t="n"/>
      <c r="N24" s="540" t="inlineStr">
        <is>
          <t>IFRS 16</t>
        </is>
      </c>
      <c r="O24" s="541" t="n"/>
      <c r="P24" s="541" t="n"/>
      <c r="Q24" s="541" t="n"/>
    </row>
    <row r="25">
      <c r="A25" s="541" t="n"/>
      <c r="B25" s="540" t="inlineStr">
        <is>
          <t>Créances clients &amp; comptes rattachés</t>
        </is>
      </c>
      <c r="C25" s="32" t="inlineStr">
        <is>
          <t>411x</t>
        </is>
      </c>
      <c r="D25" s="985" t="n">
        <v>67800</v>
      </c>
      <c r="E25" s="985" t="n">
        <v>71200</v>
      </c>
      <c r="F25" s="985">
        <f>D25-E25</f>
        <v/>
      </c>
      <c r="G25" s="540" t="inlineStr">
        <is>
          <t>IFRS 9</t>
        </is>
      </c>
      <c r="H25" s="541" t="n"/>
      <c r="I25" s="542" t="inlineStr">
        <is>
          <t>Provisions pour risques LT</t>
        </is>
      </c>
      <c r="J25" s="542" t="inlineStr">
        <is>
          <t>151x</t>
        </is>
      </c>
      <c r="K25" s="542" t="n">
        <v>15400</v>
      </c>
      <c r="L25" s="542" t="n">
        <v>14200</v>
      </c>
      <c r="M25" s="542" t="n"/>
      <c r="N25" s="542" t="inlineStr">
        <is>
          <t>IAS 37</t>
        </is>
      </c>
      <c r="O25" s="541" t="n"/>
      <c r="P25" s="541" t="n"/>
      <c r="Q25" s="541" t="n"/>
    </row>
    <row r="26">
      <c r="A26" s="541" t="n"/>
      <c r="B26" s="26" t="inlineStr">
        <is>
          <t>Créances intercompagnies</t>
        </is>
      </c>
      <c r="C26" s="35" t="inlineStr">
        <is>
          <t>451x</t>
        </is>
      </c>
      <c r="D26" s="988" t="n">
        <v>23500</v>
      </c>
      <c r="E26" s="988" t="n">
        <v>19800</v>
      </c>
      <c r="F26" s="988">
        <f>D26-E26</f>
        <v/>
      </c>
      <c r="G26" s="26" t="inlineStr">
        <is>
          <t>⚠️ ELIM</t>
        </is>
      </c>
      <c r="H26" s="541" t="n"/>
      <c r="I26" s="540" t="inlineStr">
        <is>
          <t>Impôts différés passifs</t>
        </is>
      </c>
      <c r="J26" s="540" t="inlineStr">
        <is>
          <t>155x</t>
        </is>
      </c>
      <c r="K26" s="540" t="n">
        <v>18900</v>
      </c>
      <c r="L26" s="540" t="n">
        <v>17500</v>
      </c>
      <c r="M26" s="540" t="n"/>
      <c r="N26" s="540" t="inlineStr">
        <is>
          <t>IAS 12</t>
        </is>
      </c>
      <c r="O26" s="541" t="n"/>
      <c r="P26" s="541" t="n"/>
      <c r="Q26" s="541" t="n"/>
    </row>
    <row r="27">
      <c r="A27" s="541" t="n"/>
      <c r="B27" s="542" t="inlineStr">
        <is>
          <t>Autres créances &amp; charges constatées d'avance</t>
        </is>
      </c>
      <c r="C27" s="31" t="inlineStr">
        <is>
          <t>408x-486x</t>
        </is>
      </c>
      <c r="D27" s="542" t="n">
        <v>8900</v>
      </c>
      <c r="E27" s="542" t="n">
        <v>7600</v>
      </c>
      <c r="F27" s="542">
        <f>D27-E27</f>
        <v/>
      </c>
      <c r="G27" s="542" t="n"/>
      <c r="H27" s="541" t="n"/>
      <c r="I27" s="28" t="inlineStr">
        <is>
          <t>TOTAL PASSIFS NON COURANTS</t>
        </is>
      </c>
      <c r="J27" s="28" t="n"/>
      <c r="K27" s="28">
        <f>SUM(K23:K26)</f>
        <v/>
      </c>
      <c r="L27" s="28">
        <f>SUM(L23:L26)</f>
        <v/>
      </c>
      <c r="M27" s="28">
        <f>K27-L27</f>
        <v/>
      </c>
      <c r="N27" s="28" t="n"/>
      <c r="O27" s="541" t="n"/>
      <c r="P27" s="541" t="n"/>
      <c r="Q27" s="541" t="n"/>
    </row>
    <row r="28">
      <c r="A28" s="541" t="n"/>
      <c r="B28" s="540" t="inlineStr">
        <is>
          <t>Trésorerie &amp; équivalents</t>
        </is>
      </c>
      <c r="C28" s="32" t="inlineStr">
        <is>
          <t>512x-530x</t>
        </is>
      </c>
      <c r="D28" s="540" t="n">
        <v>54300</v>
      </c>
      <c r="E28" s="540" t="n">
        <v>48700</v>
      </c>
      <c r="F28" s="540">
        <f>D28-E28</f>
        <v/>
      </c>
      <c r="G28" s="540" t="inlineStr">
        <is>
          <t>IAS 7</t>
        </is>
      </c>
      <c r="H28" s="541" t="n"/>
      <c r="I28" s="22" t="inlineStr">
        <is>
          <t>PASSIFS COURANTS</t>
        </is>
      </c>
      <c r="J28" s="22" t="n"/>
      <c r="K28" s="22" t="n"/>
      <c r="L28" s="22" t="n"/>
      <c r="M28" s="22" t="n"/>
      <c r="N28" s="22" t="n"/>
      <c r="O28" s="541" t="n"/>
      <c r="P28" s="541" t="n"/>
      <c r="Q28" s="541" t="n"/>
    </row>
    <row r="29">
      <c r="A29" s="541" t="n"/>
      <c r="B29" s="25" t="inlineStr">
        <is>
          <t>TOTAL ACTIFS COURANTS</t>
        </is>
      </c>
      <c r="C29" s="33" t="n"/>
      <c r="D29" s="25">
        <f>SUM(D24:D28)</f>
        <v/>
      </c>
      <c r="E29" s="25">
        <f>SUM(E24:E28)</f>
        <v/>
      </c>
      <c r="F29" s="25">
        <f>D29-E29</f>
        <v/>
      </c>
      <c r="G29" s="25" t="n"/>
      <c r="H29" s="541" t="n"/>
      <c r="I29" s="542" t="inlineStr">
        <is>
          <t>Dettes fournisseurs &amp; comptes rattachés</t>
        </is>
      </c>
      <c r="J29" s="542" t="inlineStr">
        <is>
          <t>401x</t>
        </is>
      </c>
      <c r="K29" s="542" t="n">
        <v>38200</v>
      </c>
      <c r="L29" s="542" t="n">
        <v>35600</v>
      </c>
      <c r="M29" s="542" t="n"/>
      <c r="N29" s="542" t="n"/>
      <c r="O29" s="541" t="n"/>
      <c r="P29" s="541" t="n"/>
      <c r="Q29" s="541" t="n"/>
    </row>
    <row r="30">
      <c r="A30" s="541" t="n"/>
      <c r="B30" s="27" t="inlineStr">
        <is>
          <t>TOTAL ACTIF</t>
        </is>
      </c>
      <c r="C30" s="36" t="n"/>
      <c r="D30" s="989">
        <f>D22+D29</f>
        <v/>
      </c>
      <c r="E30" s="989">
        <f>E22+E29</f>
        <v/>
      </c>
      <c r="F30" s="893">
        <f>D30-E30</f>
        <v/>
      </c>
      <c r="G30" s="27" t="inlineStr">
        <is>
          <t>✔ Équilibre</t>
        </is>
      </c>
      <c r="H30" s="541" t="n"/>
      <c r="I30" s="540" t="inlineStr">
        <is>
          <t>Dettes financières CT &amp; lignes de crédit</t>
        </is>
      </c>
      <c r="J30" s="540" t="inlineStr">
        <is>
          <t>519x</t>
        </is>
      </c>
      <c r="K30" s="540" t="n">
        <v>28500</v>
      </c>
      <c r="L30" s="540" t="n">
        <v>22300</v>
      </c>
      <c r="M30" s="540" t="n"/>
      <c r="N30" s="540" t="n"/>
      <c r="O30" s="541" t="n"/>
      <c r="P30" s="541" t="n"/>
      <c r="Q30" s="541" t="n"/>
    </row>
    <row r="31">
      <c r="A31" s="541" t="n"/>
      <c r="B31" s="541" t="n"/>
      <c r="C31" s="541" t="n"/>
      <c r="D31" s="990" t="n"/>
      <c r="E31" s="990" t="n"/>
      <c r="F31" s="895" t="n"/>
      <c r="G31" s="541" t="n"/>
      <c r="H31" s="541" t="n"/>
      <c r="I31" s="26" t="inlineStr">
        <is>
          <t>Dettes intercompagnies</t>
        </is>
      </c>
      <c r="J31" s="26" t="inlineStr">
        <is>
          <t>451x</t>
        </is>
      </c>
      <c r="K31" s="26" t="n">
        <v>21400</v>
      </c>
      <c r="L31" s="26" t="n">
        <v>18200</v>
      </c>
      <c r="M31" s="26" t="n"/>
      <c r="N31" s="26" t="inlineStr">
        <is>
          <t>⚠️ ELIM</t>
        </is>
      </c>
      <c r="O31" s="541" t="n"/>
      <c r="P31" s="541" t="n"/>
      <c r="Q31" s="541" t="n"/>
    </row>
    <row r="32">
      <c r="A32" s="541" t="n"/>
      <c r="B32" s="541" t="n"/>
      <c r="C32" s="541" t="n"/>
      <c r="D32" s="990" t="n"/>
      <c r="E32" s="990" t="n"/>
      <c r="F32" s="895" t="n"/>
      <c r="G32" s="541" t="n"/>
      <c r="H32" s="541" t="n"/>
      <c r="I32" s="542" t="inlineStr">
        <is>
          <t>Autres dettes &amp; produits constatés d'avance</t>
        </is>
      </c>
      <c r="J32" s="542" t="inlineStr">
        <is>
          <t>487x</t>
        </is>
      </c>
      <c r="K32" s="542" t="n">
        <v>12800</v>
      </c>
      <c r="L32" s="542" t="n">
        <v>11400</v>
      </c>
      <c r="M32" s="542" t="n"/>
      <c r="N32" s="542" t="n"/>
      <c r="O32" s="541" t="n"/>
      <c r="P32" s="541" t="n"/>
      <c r="Q32" s="541" t="n"/>
    </row>
    <row r="33">
      <c r="A33" s="541" t="n"/>
      <c r="B33" s="541" t="n"/>
      <c r="C33" s="541" t="n"/>
      <c r="D33" s="990" t="n"/>
      <c r="E33" s="990" t="n"/>
      <c r="F33" s="895" t="n"/>
      <c r="G33" s="541" t="n"/>
      <c r="H33" s="541" t="n"/>
      <c r="I33" s="28" t="inlineStr">
        <is>
          <t>TOTAL PASSIFS COURANTS</t>
        </is>
      </c>
      <c r="J33" s="28" t="n"/>
      <c r="K33" s="28">
        <f>SUM(K29:K32)</f>
        <v/>
      </c>
      <c r="L33" s="28">
        <f>SUM(L29:L32)</f>
        <v/>
      </c>
      <c r="M33" s="28">
        <f>K33-L33</f>
        <v/>
      </c>
      <c r="N33" s="28" t="n"/>
      <c r="O33" s="541" t="n"/>
      <c r="P33" s="541" t="n"/>
      <c r="Q33" s="541" t="n"/>
    </row>
    <row r="34">
      <c r="A34" s="541" t="n"/>
      <c r="B34" s="541" t="n"/>
      <c r="C34" s="541" t="n"/>
      <c r="D34" s="990" t="n"/>
      <c r="E34" s="990" t="n"/>
      <c r="F34" s="895" t="n"/>
      <c r="G34" s="541" t="n"/>
      <c r="H34" s="541" t="n"/>
      <c r="I34" s="29" t="inlineStr">
        <is>
          <t>TOTAL PASSIF</t>
        </is>
      </c>
      <c r="J34" s="29" t="n"/>
      <c r="K34" s="29">
        <f>K21+K27+K33</f>
        <v/>
      </c>
      <c r="L34" s="29">
        <f>L21+L27+L33</f>
        <v/>
      </c>
      <c r="M34" s="29">
        <f>K34-L34</f>
        <v/>
      </c>
      <c r="N34" s="29" t="inlineStr">
        <is>
          <t>✔ Équilibre</t>
        </is>
      </c>
      <c r="O34" s="541" t="n"/>
      <c r="P34" s="541" t="n"/>
      <c r="Q34" s="541" t="n"/>
    </row>
    <row r="35">
      <c r="A35" s="541" t="n"/>
      <c r="B35" s="541" t="n"/>
      <c r="C35" s="541" t="n"/>
      <c r="D35" s="990" t="n"/>
      <c r="E35" s="990" t="n"/>
      <c r="F35" s="895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  <c r="Q35" s="541" t="n"/>
    </row>
    <row r="36" ht="15.75" customHeight="1" s="500">
      <c r="A36" s="541" t="n"/>
      <c r="B36" s="521" t="inlineStr">
        <is>
          <t>COMPTE DE RÉSULTAT LOCAL – IFRS 18 (5 catégories) (en k€)</t>
        </is>
      </c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  <c r="Q36" s="541" t="n"/>
    </row>
    <row r="37">
      <c r="A37" s="541" t="n"/>
      <c r="B37" s="681" t="inlineStr">
        <is>
          <t>Poste IFRS 18</t>
        </is>
      </c>
      <c r="C37" s="682" t="inlineStr">
        <is>
          <t>Catégorie</t>
        </is>
      </c>
      <c r="D37" s="991" t="inlineStr">
        <is>
          <t>N (2025) k€</t>
        </is>
      </c>
      <c r="E37" s="991" t="inlineStr">
        <is>
          <t>N-1 (2024) k€</t>
        </is>
      </c>
      <c r="F37" s="899" t="inlineStr">
        <is>
          <t>Δ %</t>
        </is>
      </c>
      <c r="G37" s="684" t="inlineStr">
        <is>
          <t>Note IFRS</t>
        </is>
      </c>
      <c r="H37" s="541" t="n"/>
      <c r="I37" s="541" t="n"/>
      <c r="J37" s="541" t="n"/>
      <c r="K37" s="541" t="n"/>
      <c r="L37" s="541" t="n"/>
      <c r="M37" s="541" t="n"/>
      <c r="N37" s="541" t="n"/>
      <c r="O37" s="541" t="n"/>
      <c r="P37" s="541" t="n"/>
      <c r="Q37" s="541" t="n"/>
    </row>
    <row r="38">
      <c r="A38" s="541" t="n"/>
      <c r="B38" s="738" t="inlineStr">
        <is>
          <t>① EXPLOITATION (OPERATING)</t>
        </is>
      </c>
      <c r="C38" s="739" t="n"/>
      <c r="D38" s="992" t="n"/>
      <c r="E38" s="992" t="n"/>
      <c r="F38" s="901" t="n"/>
      <c r="G38" s="740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1" t="n"/>
      <c r="Q38" s="541" t="n"/>
    </row>
    <row r="39">
      <c r="A39" s="541" t="n"/>
      <c r="B39" s="741" t="inlineStr">
        <is>
          <t>Chiffre d'affaires net</t>
        </is>
      </c>
      <c r="C39" s="771" t="inlineStr">
        <is>
          <t>Opérationnel</t>
        </is>
      </c>
      <c r="D39" s="742" t="n">
        <v>285000</v>
      </c>
      <c r="E39" s="742" t="n">
        <v>268000</v>
      </c>
      <c r="F39" s="993">
        <f>IFERROR((D39-E39)/ABS(E39),"")</f>
        <v/>
      </c>
      <c r="G39" s="743" t="inlineStr">
        <is>
          <t>IFRS 15</t>
        </is>
      </c>
      <c r="H39" s="541" t="n"/>
      <c r="I39" s="541" t="n"/>
      <c r="J39" s="541" t="n"/>
      <c r="K39" s="541" t="n"/>
      <c r="L39" s="541" t="n"/>
      <c r="M39" s="541" t="n"/>
      <c r="N39" s="541" t="n"/>
      <c r="O39" s="541" t="n"/>
      <c r="P39" s="541" t="n"/>
      <c r="Q39" s="541" t="n"/>
    </row>
    <row r="40">
      <c r="A40" s="541" t="n"/>
      <c r="B40" s="688" t="inlineStr">
        <is>
          <t>Variation de stocks de produits finis</t>
        </is>
      </c>
      <c r="C40" s="773" t="inlineStr">
        <is>
          <t>Opérationnel</t>
        </is>
      </c>
      <c r="D40" s="689" t="n">
        <v>1800</v>
      </c>
      <c r="E40" s="689" t="n">
        <v>-2100</v>
      </c>
      <c r="F40" s="994">
        <f>IFERROR((D40-E40)/ABS(E40),"")</f>
        <v/>
      </c>
      <c r="G40" s="744" t="inlineStr">
        <is>
          <t>IAS 2</t>
        </is>
      </c>
      <c r="H40" s="541" t="n"/>
      <c r="I40" s="541" t="n"/>
      <c r="J40" s="541" t="n"/>
      <c r="K40" s="541" t="n"/>
      <c r="L40" s="541" t="n"/>
      <c r="M40" s="541" t="n"/>
      <c r="N40" s="541" t="n"/>
      <c r="O40" s="541" t="n"/>
      <c r="P40" s="541" t="n"/>
      <c r="Q40" s="541" t="n"/>
    </row>
    <row r="41">
      <c r="A41" s="541" t="n"/>
      <c r="B41" s="741" t="inlineStr">
        <is>
          <t>Autres produits opérationnels</t>
        </is>
      </c>
      <c r="C41" s="771" t="inlineStr">
        <is>
          <t>Opérationnel</t>
        </is>
      </c>
      <c r="D41" s="742" t="n">
        <v>3200</v>
      </c>
      <c r="E41" s="742" t="n">
        <v>2800</v>
      </c>
      <c r="F41" s="993">
        <f>IFERROR((D41-E41)/ABS(E41),"")</f>
        <v/>
      </c>
      <c r="G41" s="743" t="n"/>
      <c r="H41" s="541" t="n"/>
      <c r="I41" s="541" t="n"/>
      <c r="J41" s="541" t="n"/>
      <c r="K41" s="541" t="n"/>
      <c r="L41" s="541" t="n"/>
      <c r="M41" s="541" t="n"/>
      <c r="N41" s="541" t="n"/>
      <c r="O41" s="541" t="n"/>
      <c r="P41" s="541" t="n"/>
      <c r="Q41" s="541" t="n"/>
    </row>
    <row r="42">
      <c r="A42" s="541" t="n"/>
      <c r="B42" s="688" t="inlineStr">
        <is>
          <t>Achats consommés &amp; charges externes</t>
        </is>
      </c>
      <c r="C42" s="773" t="inlineStr">
        <is>
          <t>Opérationnel</t>
        </is>
      </c>
      <c r="D42" s="689" t="n">
        <v>-142000</v>
      </c>
      <c r="E42" s="689" t="n">
        <v>-135000</v>
      </c>
      <c r="F42" s="994">
        <f>IFERROR((D42-E42)/ABS(E42),"")</f>
        <v/>
      </c>
      <c r="G42" s="744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  <c r="Q42" s="541" t="n"/>
    </row>
    <row r="43">
      <c r="A43" s="541" t="n"/>
      <c r="B43" s="741" t="inlineStr">
        <is>
          <t>Charges de personnel</t>
        </is>
      </c>
      <c r="C43" s="771" t="inlineStr">
        <is>
          <t>Opérationnel</t>
        </is>
      </c>
      <c r="D43" s="742" t="n">
        <v>-68000</v>
      </c>
      <c r="E43" s="742" t="n">
        <v>-64500</v>
      </c>
      <c r="F43" s="993">
        <f>IFERROR((D43-E43)/ABS(E43),"")</f>
        <v/>
      </c>
      <c r="G43" s="743" t="inlineStr">
        <is>
          <t>IAS 19</t>
        </is>
      </c>
      <c r="H43" s="541" t="n"/>
      <c r="I43" s="541" t="n"/>
      <c r="J43" s="541" t="n"/>
      <c r="K43" s="541" t="n"/>
      <c r="L43" s="541" t="n"/>
      <c r="M43" s="541" t="n"/>
      <c r="N43" s="541" t="n"/>
      <c r="O43" s="541" t="n"/>
      <c r="P43" s="541" t="n"/>
      <c r="Q43" s="541" t="n"/>
    </row>
    <row r="44">
      <c r="A44" s="541" t="n"/>
      <c r="B44" s="688" t="inlineStr">
        <is>
          <t>Amortissements (PP&amp;E + DU IFRS 16)</t>
        </is>
      </c>
      <c r="C44" s="773" t="inlineStr">
        <is>
          <t>Opérationnel</t>
        </is>
      </c>
      <c r="D44" s="689" t="n">
        <v>-22000</v>
      </c>
      <c r="E44" s="689" t="n">
        <v>-21200</v>
      </c>
      <c r="F44" s="994">
        <f>IFERROR((D44-E44)/ABS(E44),"")</f>
        <v/>
      </c>
      <c r="G44" s="744" t="inlineStr">
        <is>
          <t>IAS 16/36</t>
        </is>
      </c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</row>
    <row r="45">
      <c r="A45" s="541" t="n"/>
      <c r="B45" s="748" t="inlineStr">
        <is>
          <t>Dotations aux provisions</t>
        </is>
      </c>
      <c r="C45" s="777" t="inlineStr">
        <is>
          <t>Opérationnel</t>
        </is>
      </c>
      <c r="D45" s="749" t="n">
        <v>-4500</v>
      </c>
      <c r="E45" s="749" t="n">
        <v>-3800</v>
      </c>
      <c r="F45" s="995">
        <f>IFERROR((D45-E45)/ABS(E45),"")</f>
        <v/>
      </c>
      <c r="G45" s="750" t="inlineStr">
        <is>
          <t>IAS 37</t>
        </is>
      </c>
      <c r="H45" s="541" t="n"/>
      <c r="I45" s="541" t="n"/>
      <c r="J45" s="541" t="n"/>
      <c r="K45" s="541" t="n"/>
      <c r="L45" s="541" t="n"/>
      <c r="M45" s="541" t="n"/>
      <c r="N45" s="541" t="n"/>
      <c r="O45" s="541" t="n"/>
      <c r="P45" s="541" t="n"/>
      <c r="Q45" s="541" t="n"/>
    </row>
    <row r="46" ht="15.75" customHeight="1" s="500" thickBot="1">
      <c r="A46" s="541" t="n"/>
      <c r="B46" s="754" t="inlineStr">
        <is>
          <t>RÉSULTAT OPÉRATIONNEL (EBIT)</t>
        </is>
      </c>
      <c r="C46" s="781" t="inlineStr">
        <is>
          <t>Opérationnel</t>
        </is>
      </c>
      <c r="D46" s="755">
        <f>SUM(D39:D45)</f>
        <v/>
      </c>
      <c r="E46" s="755">
        <f>SUM(E39:E45)</f>
        <v/>
      </c>
      <c r="F46" s="996">
        <f>IFERROR((D46-E46)/ABS(E46),"")</f>
        <v/>
      </c>
      <c r="G46" s="756" t="inlineStr">
        <is>
          <t>🔑 KPI IFRS 18</t>
        </is>
      </c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  <c r="Q46" s="541" t="n"/>
    </row>
    <row r="47">
      <c r="A47" s="541" t="n"/>
      <c r="B47" s="751" t="inlineStr">
        <is>
          <t>② INVESTISSEMENT (INVESTING)</t>
        </is>
      </c>
      <c r="C47" s="779" t="n"/>
      <c r="D47" s="752" t="n"/>
      <c r="E47" s="752" t="n"/>
      <c r="F47" s="997" t="n"/>
      <c r="G47" s="753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  <c r="Q47" s="541" t="n"/>
    </row>
    <row r="48">
      <c r="A48" s="541" t="n"/>
      <c r="B48" s="741" t="inlineStr">
        <is>
          <t>Dividendes reçus (hors exploitation)</t>
        </is>
      </c>
      <c r="C48" s="771" t="inlineStr">
        <is>
          <t>Investissement</t>
        </is>
      </c>
      <c r="D48" s="742" t="n">
        <v>4200</v>
      </c>
      <c r="E48" s="742" t="n">
        <v>3800</v>
      </c>
      <c r="F48" s="993">
        <f>IFERROR((D48-E48)/ABS(E48),"")</f>
        <v/>
      </c>
      <c r="G48" s="743" t="inlineStr">
        <is>
          <t>IFRS 18 §68</t>
        </is>
      </c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  <c r="Q48" s="541" t="n"/>
    </row>
    <row r="49">
      <c r="A49" s="541" t="n"/>
      <c r="B49" s="688" t="inlineStr">
        <is>
          <t>Produits des cessions d'actifs</t>
        </is>
      </c>
      <c r="C49" s="773" t="inlineStr">
        <is>
          <t>Investissement</t>
        </is>
      </c>
      <c r="D49" s="689" t="n">
        <v>1500</v>
      </c>
      <c r="E49" s="689" t="n">
        <v>800</v>
      </c>
      <c r="F49" s="994">
        <f>IFERROR((D49-E49)/ABS(E49),"")</f>
        <v/>
      </c>
      <c r="G49" s="744" t="inlineStr">
        <is>
          <t>IFRS 18 §68</t>
        </is>
      </c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</row>
    <row r="50">
      <c r="A50" s="541" t="n"/>
      <c r="B50" s="748" t="inlineStr">
        <is>
          <t>Produits financiers sur placements CT</t>
        </is>
      </c>
      <c r="C50" s="777" t="inlineStr">
        <is>
          <t>Investissement</t>
        </is>
      </c>
      <c r="D50" s="749" t="n">
        <v>890</v>
      </c>
      <c r="E50" s="749" t="n">
        <v>620</v>
      </c>
      <c r="F50" s="995">
        <f>IFERROR((D50-E50)/ABS(E50),"")</f>
        <v/>
      </c>
      <c r="G50" s="750" t="inlineStr">
        <is>
          <t>IFRS 18 §68</t>
        </is>
      </c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  <c r="Q50" s="541" t="n"/>
    </row>
    <row r="51" ht="15.75" customHeight="1" s="500" thickBot="1">
      <c r="A51" s="541" t="n"/>
      <c r="B51" s="754" t="inlineStr">
        <is>
          <t>RÉSULTAT INVESTISSEMENT</t>
        </is>
      </c>
      <c r="C51" s="781" t="inlineStr">
        <is>
          <t>Investissement</t>
        </is>
      </c>
      <c r="D51" s="755">
        <f>SUM(D48:D50)</f>
        <v/>
      </c>
      <c r="E51" s="755">
        <f>SUM(E48:E50)</f>
        <v/>
      </c>
      <c r="F51" s="996">
        <f>IFERROR((D51-E51)/ABS(E51),"")</f>
        <v/>
      </c>
      <c r="G51" s="756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  <c r="Q51" s="541" t="n"/>
    </row>
    <row r="52">
      <c r="A52" s="541" t="n"/>
      <c r="B52" s="751" t="inlineStr">
        <is>
          <t>③ FINANCEMENT (FINANCING)</t>
        </is>
      </c>
      <c r="C52" s="779" t="n"/>
      <c r="D52" s="752" t="n"/>
      <c r="E52" s="752" t="n"/>
      <c r="F52" s="997" t="n"/>
      <c r="G52" s="753" t="n"/>
      <c r="H52" s="541" t="n"/>
      <c r="I52" s="541" t="n"/>
      <c r="J52" s="541" t="n"/>
      <c r="K52" s="541" t="n"/>
      <c r="L52" s="541" t="n"/>
      <c r="M52" s="541" t="n"/>
      <c r="N52" s="541" t="n"/>
      <c r="O52" s="541" t="n"/>
      <c r="P52" s="541" t="n"/>
      <c r="Q52" s="541" t="n"/>
    </row>
    <row r="53">
      <c r="A53" s="541" t="n"/>
      <c r="B53" s="741" t="inlineStr">
        <is>
          <t>Charges d'intérêts (emprunts &amp; dettes)</t>
        </is>
      </c>
      <c r="C53" s="771" t="inlineStr">
        <is>
          <t>Financement</t>
        </is>
      </c>
      <c r="D53" s="742" t="n">
        <v>-8200</v>
      </c>
      <c r="E53" s="742" t="n">
        <v>-9100</v>
      </c>
      <c r="F53" s="993">
        <f>IFERROR((D53-E53)/ABS(E53),"")</f>
        <v/>
      </c>
      <c r="G53" s="743" t="inlineStr">
        <is>
          <t>IFRS 18 §72</t>
        </is>
      </c>
      <c r="H53" s="541" t="n"/>
      <c r="I53" s="541" t="n"/>
      <c r="J53" s="541" t="n"/>
      <c r="K53" s="541" t="n"/>
      <c r="L53" s="541" t="n"/>
      <c r="M53" s="541" t="n"/>
      <c r="N53" s="541" t="n"/>
      <c r="O53" s="541" t="n"/>
      <c r="P53" s="541" t="n"/>
      <c r="Q53" s="541" t="n"/>
    </row>
    <row r="54">
      <c r="A54" s="541" t="n"/>
      <c r="B54" s="705" t="inlineStr">
        <is>
          <t>Intérêts sur dettes locatives IFRS 16</t>
        </is>
      </c>
      <c r="C54" s="783" t="inlineStr">
        <is>
          <t>Financement</t>
        </is>
      </c>
      <c r="D54" s="706" t="n">
        <v>-1800</v>
      </c>
      <c r="E54" s="706" t="n">
        <v>-2100</v>
      </c>
      <c r="F54" s="998">
        <f>IFERROR((D54-E54)/ABS(E54),"")</f>
        <v/>
      </c>
      <c r="G54" s="763" t="inlineStr">
        <is>
          <t>IFRS 16</t>
        </is>
      </c>
      <c r="H54" s="541" t="n"/>
      <c r="I54" s="541" t="n"/>
      <c r="J54" s="541" t="n"/>
      <c r="K54" s="541" t="n"/>
      <c r="L54" s="541" t="n"/>
      <c r="M54" s="541" t="n"/>
      <c r="N54" s="541" t="n"/>
      <c r="O54" s="541" t="n"/>
      <c r="P54" s="541" t="n"/>
      <c r="Q54" s="541" t="n"/>
    </row>
    <row r="55" ht="15.75" customHeight="1" s="500" thickBot="1">
      <c r="A55" s="541" t="n"/>
      <c r="B55" s="754" t="inlineStr">
        <is>
          <t>RÉSULTAT FINANCEMENT</t>
        </is>
      </c>
      <c r="C55" s="781" t="inlineStr">
        <is>
          <t>Financement</t>
        </is>
      </c>
      <c r="D55" s="755">
        <f>SUM(D53:D54)</f>
        <v/>
      </c>
      <c r="E55" s="755">
        <f>SUM(E53:E54)</f>
        <v/>
      </c>
      <c r="F55" s="996">
        <f>IFERROR((D55-E55)/ABS(E55),"")</f>
        <v/>
      </c>
      <c r="G55" s="756" t="n"/>
      <c r="H55" s="541" t="n"/>
      <c r="I55" s="541" t="n"/>
      <c r="J55" s="541" t="n"/>
      <c r="K55" s="541" t="n"/>
      <c r="L55" s="541" t="n"/>
      <c r="M55" s="541" t="n"/>
      <c r="N55" s="541" t="n"/>
      <c r="O55" s="541" t="n"/>
      <c r="P55" s="541" t="n"/>
      <c r="Q55" s="541" t="n"/>
    </row>
    <row r="56">
      <c r="A56" s="541" t="n"/>
      <c r="B56" s="751" t="inlineStr">
        <is>
          <t>④ IMPÔTS SUR LES RÉSULTATS</t>
        </is>
      </c>
      <c r="C56" s="779" t="n"/>
      <c r="D56" s="752" t="n"/>
      <c r="E56" s="752" t="n"/>
      <c r="F56" s="997" t="n"/>
      <c r="G56" s="753" t="n"/>
      <c r="H56" s="541" t="n"/>
      <c r="I56" s="541" t="n"/>
      <c r="J56" s="541" t="n"/>
      <c r="K56" s="541" t="n"/>
      <c r="L56" s="541" t="n"/>
      <c r="M56" s="541" t="n"/>
      <c r="N56" s="541" t="n"/>
      <c r="O56" s="541" t="n"/>
      <c r="P56" s="541" t="n"/>
      <c r="Q56" s="541" t="n"/>
    </row>
    <row r="57">
      <c r="A57" s="541" t="n"/>
      <c r="B57" s="741" t="inlineStr">
        <is>
          <t>Charge d'impôt courant</t>
        </is>
      </c>
      <c r="C57" s="771" t="inlineStr">
        <is>
          <t>Impôts</t>
        </is>
      </c>
      <c r="D57" s="742" t="n">
        <v>-12400</v>
      </c>
      <c r="E57" s="742" t="n">
        <v>-10800</v>
      </c>
      <c r="F57" s="993">
        <f>IFERROR((D57-E57)/ABS(E57),"")</f>
        <v/>
      </c>
      <c r="G57" s="743" t="inlineStr">
        <is>
          <t>IAS 12</t>
        </is>
      </c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</row>
    <row r="58">
      <c r="A58" s="541" t="n"/>
      <c r="B58" s="705" t="inlineStr">
        <is>
          <t>Variation impôts différés</t>
        </is>
      </c>
      <c r="C58" s="783" t="inlineStr">
        <is>
          <t>Impôts</t>
        </is>
      </c>
      <c r="D58" s="706" t="n">
        <v>-1200</v>
      </c>
      <c r="E58" s="706" t="n">
        <v>-900</v>
      </c>
      <c r="F58" s="998">
        <f>IFERROR((D58-E58)/ABS(E58),"")</f>
        <v/>
      </c>
      <c r="G58" s="763" t="inlineStr">
        <is>
          <t>IAS 12</t>
        </is>
      </c>
      <c r="H58" s="541" t="n"/>
      <c r="I58" s="541" t="n"/>
      <c r="J58" s="541" t="n"/>
      <c r="K58" s="541" t="n"/>
      <c r="L58" s="541" t="n"/>
      <c r="M58" s="541" t="n"/>
      <c r="N58" s="541" t="n"/>
      <c r="O58" s="541" t="n"/>
      <c r="P58" s="541" t="n"/>
      <c r="Q58" s="541" t="n"/>
    </row>
    <row r="59" ht="15.75" customHeight="1" s="500" thickBot="1">
      <c r="A59" s="541" t="n"/>
      <c r="B59" s="709" t="inlineStr">
        <is>
          <t>RÉSULTAT AVANT DISCONTINU</t>
        </is>
      </c>
      <c r="C59" s="785" t="n"/>
      <c r="D59" s="710">
        <f>D46+D51+D55+D57+D58</f>
        <v/>
      </c>
      <c r="E59" s="710">
        <f>E46+E51+E55+E57+E58</f>
        <v/>
      </c>
      <c r="F59" s="999">
        <f>IFERROR((D59-E59)/ABS(E59),"")</f>
        <v/>
      </c>
      <c r="G59" s="787" t="n"/>
      <c r="H59" s="541" t="n"/>
      <c r="I59" s="541" t="n"/>
      <c r="J59" s="541" t="n"/>
      <c r="K59" s="541" t="n"/>
      <c r="L59" s="541" t="n"/>
      <c r="M59" s="541" t="n"/>
      <c r="N59" s="541" t="n"/>
      <c r="O59" s="541" t="n"/>
      <c r="P59" s="541" t="n"/>
      <c r="Q59" s="541" t="n"/>
    </row>
    <row r="60">
      <c r="A60" s="541" t="n"/>
      <c r="B60" s="788" t="inlineStr">
        <is>
          <t>⑤ ACTIVITÉS ABANDONNÉES</t>
        </is>
      </c>
      <c r="C60" s="789" t="inlineStr">
        <is>
          <t>Discontinu</t>
        </is>
      </c>
      <c r="D60" s="790" t="n">
        <v>0</v>
      </c>
      <c r="E60" s="790" t="n">
        <v>0</v>
      </c>
      <c r="F60" s="1000" t="n"/>
      <c r="G60" s="792" t="inlineStr">
        <is>
          <t>IFRS 5</t>
        </is>
      </c>
      <c r="H60" s="541" t="n"/>
      <c r="I60" s="541" t="n"/>
      <c r="J60" s="541" t="n"/>
      <c r="K60" s="541" t="n"/>
      <c r="L60" s="541" t="n"/>
      <c r="M60" s="541" t="n"/>
      <c r="N60" s="541" t="n"/>
      <c r="O60" s="541" t="n"/>
      <c r="P60" s="541" t="n"/>
      <c r="Q60" s="541" t="n"/>
    </row>
    <row r="61" ht="15.75" customHeight="1" s="500" thickBot="1">
      <c r="A61" s="541" t="n"/>
      <c r="B61" s="768" t="inlineStr">
        <is>
          <t>RÉSULTAT NET DE L'EXERCICE</t>
        </is>
      </c>
      <c r="C61" s="795" t="n"/>
      <c r="D61" s="769">
        <f>D59+D60</f>
        <v/>
      </c>
      <c r="E61" s="769">
        <f>E59+E60</f>
        <v/>
      </c>
      <c r="F61" s="1001">
        <f>IFERROR((D61-E61)/ABS(E61),"")</f>
        <v/>
      </c>
      <c r="G61" s="770" t="inlineStr">
        <is>
          <t>🏆 BOTTOM LINE</t>
        </is>
      </c>
      <c r="H61" s="541" t="n"/>
      <c r="I61" s="541" t="n"/>
      <c r="J61" s="541" t="n"/>
      <c r="K61" s="541" t="n"/>
      <c r="L61" s="541" t="n"/>
      <c r="M61" s="541" t="n"/>
      <c r="N61" s="541" t="n"/>
      <c r="O61" s="541" t="n"/>
      <c r="P61" s="541" t="n"/>
      <c r="Q61" s="541" t="n"/>
    </row>
    <row r="62">
      <c r="A62" s="541" t="n"/>
      <c r="B62" s="719" t="inlineStr">
        <is>
          <t>dont : Part du Groupe</t>
        </is>
      </c>
      <c r="C62" s="793" t="n"/>
      <c r="D62" s="720" t="n">
        <v>32800</v>
      </c>
      <c r="E62" s="720" t="n">
        <v>28400</v>
      </c>
      <c r="F62" s="1002">
        <f>IFERROR((D62-E62)/ABS(E62),"")</f>
        <v/>
      </c>
      <c r="G62" s="721" t="n"/>
      <c r="H62" s="541" t="n"/>
      <c r="I62" s="541" t="n"/>
      <c r="J62" s="541" t="n"/>
      <c r="K62" s="541" t="n"/>
      <c r="L62" s="541" t="n"/>
      <c r="M62" s="541" t="n"/>
      <c r="N62" s="541" t="n"/>
      <c r="O62" s="541" t="n"/>
      <c r="P62" s="541" t="n"/>
      <c r="Q62" s="541" t="n"/>
    </row>
    <row r="63">
      <c r="A63" s="541" t="n"/>
      <c r="B63" s="692" t="inlineStr">
        <is>
          <t>dont : Intérêts minoritaires (NCI)</t>
        </is>
      </c>
      <c r="C63" s="775" t="n"/>
      <c r="D63" s="693">
        <f>D61-D62</f>
        <v/>
      </c>
      <c r="E63" s="693">
        <f>E61-E62</f>
        <v/>
      </c>
      <c r="F63" s="1003" t="n"/>
      <c r="G63" s="694" t="inlineStr">
        <is>
          <t>IFRS 10</t>
        </is>
      </c>
      <c r="H63" s="541" t="n"/>
      <c r="I63" s="541" t="n"/>
      <c r="J63" s="541" t="n"/>
      <c r="K63" s="541" t="n"/>
      <c r="L63" s="541" t="n"/>
      <c r="M63" s="541" t="n"/>
      <c r="N63" s="541" t="n"/>
      <c r="O63" s="541" t="n"/>
      <c r="P63" s="541" t="n"/>
      <c r="Q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  <c r="O64" s="541" t="n"/>
      <c r="P64" s="541" t="n"/>
      <c r="Q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  <c r="O65" s="541" t="n"/>
      <c r="P65" s="541" t="n"/>
      <c r="Q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  <c r="O66" s="541" t="n"/>
      <c r="P66" s="541" t="n"/>
      <c r="Q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  <c r="O67" s="541" t="n"/>
      <c r="P67" s="541" t="n"/>
      <c r="Q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  <c r="O68" s="541" t="n"/>
      <c r="P68" s="541" t="n"/>
      <c r="Q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  <c r="O69" s="541" t="n"/>
      <c r="P69" s="541" t="n"/>
      <c r="Q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  <c r="O70" s="541" t="n"/>
      <c r="P70" s="541" t="n"/>
      <c r="Q70" s="541" t="n"/>
    </row>
    <row r="71">
      <c r="A71" s="541" t="n"/>
      <c r="B71" s="541" t="n"/>
      <c r="C71" s="541" t="n"/>
      <c r="D71" s="541" t="n"/>
      <c r="E71" s="541" t="n"/>
      <c r="F71" s="541" t="n"/>
      <c r="G71" s="541" t="n"/>
      <c r="H71" s="541" t="n"/>
      <c r="I71" s="541" t="n"/>
      <c r="J71" s="541" t="n"/>
      <c r="K71" s="541" t="n"/>
      <c r="L71" s="541" t="n"/>
      <c r="M71" s="541" t="n"/>
      <c r="N71" s="541" t="n"/>
      <c r="O71" s="541" t="n"/>
      <c r="P71" s="541" t="n"/>
      <c r="Q71" s="541" t="n"/>
    </row>
    <row r="72">
      <c r="A72" s="541" t="n"/>
      <c r="B72" s="541" t="n"/>
      <c r="C72" s="541" t="n"/>
      <c r="D72" s="541" t="n"/>
      <c r="E72" s="541" t="n"/>
      <c r="F72" s="541" t="n"/>
      <c r="G72" s="541" t="n"/>
      <c r="H72" s="541" t="n"/>
      <c r="I72" s="541" t="n"/>
      <c r="J72" s="541" t="n"/>
      <c r="K72" s="541" t="n"/>
      <c r="L72" s="541" t="n"/>
      <c r="M72" s="541" t="n"/>
      <c r="N72" s="541" t="n"/>
      <c r="O72" s="541" t="n"/>
      <c r="P72" s="541" t="n"/>
      <c r="Q72" s="541" t="n"/>
    </row>
    <row r="73">
      <c r="A73" s="541" t="n"/>
      <c r="B73" s="541" t="n"/>
      <c r="C73" s="541" t="n"/>
      <c r="D73" s="541" t="n"/>
      <c r="E73" s="541" t="n"/>
      <c r="F73" s="541" t="n"/>
      <c r="G73" s="541" t="n"/>
      <c r="H73" s="541" t="n"/>
      <c r="I73" s="541" t="n"/>
      <c r="J73" s="541" t="n"/>
      <c r="K73" s="541" t="n"/>
      <c r="L73" s="541" t="n"/>
      <c r="M73" s="541" t="n"/>
      <c r="N73" s="541" t="n"/>
      <c r="O73" s="541" t="n"/>
      <c r="P73" s="541" t="n"/>
      <c r="Q73" s="541" t="n"/>
    </row>
    <row r="74">
      <c r="A74" s="541" t="n"/>
      <c r="B74" s="541" t="n"/>
      <c r="C74" s="541" t="n"/>
      <c r="D74" s="541" t="n"/>
      <c r="E74" s="541" t="n"/>
      <c r="F74" s="541" t="n"/>
      <c r="G74" s="541" t="n"/>
      <c r="H74" s="541" t="n"/>
      <c r="I74" s="541" t="n"/>
      <c r="J74" s="541" t="n"/>
      <c r="K74" s="541" t="n"/>
      <c r="L74" s="541" t="n"/>
      <c r="M74" s="541" t="n"/>
      <c r="N74" s="541" t="n"/>
      <c r="O74" s="541" t="n"/>
      <c r="P74" s="541" t="n"/>
      <c r="Q74" s="541" t="n"/>
    </row>
    <row r="75">
      <c r="A75" s="541" t="n"/>
      <c r="B75" s="541" t="n"/>
      <c r="C75" s="541" t="n"/>
      <c r="D75" s="541" t="n"/>
      <c r="E75" s="541" t="n"/>
      <c r="F75" s="541" t="n"/>
      <c r="G75" s="541" t="n"/>
      <c r="H75" s="541" t="n"/>
      <c r="I75" s="541" t="n"/>
      <c r="J75" s="541" t="n"/>
      <c r="K75" s="541" t="n"/>
      <c r="L75" s="541" t="n"/>
      <c r="M75" s="541" t="n"/>
      <c r="N75" s="541" t="n"/>
      <c r="O75" s="541" t="n"/>
      <c r="P75" s="541" t="n"/>
      <c r="Q75" s="541" t="n"/>
    </row>
    <row r="76">
      <c r="A76" s="541" t="n"/>
      <c r="B76" s="541" t="n"/>
      <c r="C76" s="541" t="n"/>
      <c r="D76" s="541" t="n"/>
      <c r="E76" s="541" t="n"/>
      <c r="F76" s="541" t="n"/>
      <c r="G76" s="541" t="n"/>
      <c r="H76" s="541" t="n"/>
      <c r="I76" s="541" t="n"/>
      <c r="J76" s="541" t="n"/>
      <c r="K76" s="541" t="n"/>
      <c r="L76" s="541" t="n"/>
      <c r="M76" s="541" t="n"/>
      <c r="N76" s="541" t="n"/>
      <c r="O76" s="541" t="n"/>
      <c r="P76" s="541" t="n"/>
      <c r="Q76" s="541" t="n"/>
    </row>
    <row r="77">
      <c r="A77" s="541" t="n"/>
      <c r="B77" s="541" t="n"/>
      <c r="C77" s="541" t="n"/>
      <c r="D77" s="541" t="n"/>
      <c r="E77" s="541" t="n"/>
      <c r="F77" s="541" t="n"/>
      <c r="G77" s="541" t="n"/>
      <c r="H77" s="541" t="n"/>
      <c r="I77" s="541" t="n"/>
      <c r="J77" s="541" t="n"/>
      <c r="K77" s="541" t="n"/>
      <c r="L77" s="541" t="n"/>
      <c r="M77" s="541" t="n"/>
      <c r="N77" s="541" t="n"/>
      <c r="O77" s="541" t="n"/>
      <c r="P77" s="541" t="n"/>
      <c r="Q77" s="541" t="n"/>
    </row>
    <row r="78">
      <c r="A78" s="541" t="n"/>
      <c r="B78" s="541" t="n"/>
      <c r="C78" s="541" t="n"/>
      <c r="D78" s="541" t="n"/>
      <c r="E78" s="541" t="n"/>
      <c r="F78" s="541" t="n"/>
      <c r="G78" s="541" t="n"/>
      <c r="H78" s="541" t="n"/>
      <c r="I78" s="541" t="n"/>
      <c r="J78" s="541" t="n"/>
      <c r="K78" s="541" t="n"/>
      <c r="L78" s="541" t="n"/>
      <c r="M78" s="541" t="n"/>
      <c r="N78" s="541" t="n"/>
      <c r="O78" s="541" t="n"/>
      <c r="P78" s="541" t="n"/>
      <c r="Q78" s="541" t="n"/>
    </row>
    <row r="79">
      <c r="A79" s="541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1" t="n"/>
      <c r="K79" s="541" t="n"/>
      <c r="L79" s="541" t="n"/>
      <c r="M79" s="541" t="n"/>
      <c r="N79" s="541" t="n"/>
      <c r="O79" s="541" t="n"/>
      <c r="P79" s="541" t="n"/>
      <c r="Q79" s="541" t="n"/>
    </row>
    <row r="80">
      <c r="A80" s="541" t="n"/>
      <c r="B80" s="541" t="n"/>
      <c r="C80" s="541" t="n"/>
      <c r="D80" s="541" t="n"/>
      <c r="E80" s="541" t="n"/>
      <c r="F80" s="541" t="n"/>
      <c r="G80" s="541" t="n"/>
      <c r="H80" s="541" t="n"/>
      <c r="I80" s="541" t="n"/>
      <c r="J80" s="541" t="n"/>
      <c r="K80" s="541" t="n"/>
      <c r="L80" s="541" t="n"/>
      <c r="M80" s="541" t="n"/>
      <c r="N80" s="541" t="n"/>
      <c r="O80" s="541" t="n"/>
      <c r="P80" s="541" t="n"/>
      <c r="Q80" s="541" t="n"/>
    </row>
  </sheetData>
  <mergeCells count="5">
    <mergeCell ref="B4:E4"/>
    <mergeCell ref="B36:G36"/>
    <mergeCell ref="I13:N13"/>
    <mergeCell ref="B13:G13"/>
    <mergeCell ref="B2:N2"/>
  </mergeCells>
  <conditionalFormatting sqref="F39:F62">
    <cfRule type="cellIs" priority="1" operator="greaterThan" dxfId="0">
      <formula>0</formula>
    </cfRule>
    <cfRule type="cellIs" priority="2" operator="lessThan" dxfId="16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7AE60"/>
    <outlinePr summaryBelow="1" summaryRight="1"/>
    <pageSetUpPr/>
  </sheetPr>
  <dimension ref="A1:N70"/>
  <sheetViews>
    <sheetView workbookViewId="0">
      <selection activeCell="C16" sqref="C16"/>
    </sheetView>
  </sheetViews>
  <sheetFormatPr baseColWidth="10" defaultRowHeight="15"/>
  <cols>
    <col width="3.85546875" customWidth="1" style="500" min="1" max="1"/>
    <col width="43.85546875" customWidth="1" style="500" min="2" max="2"/>
    <col width="23.140625" customWidth="1" style="500" min="3" max="3"/>
    <col width="16.140625" customWidth="1" style="500" min="4" max="6"/>
    <col width="13.28515625" customWidth="1" style="500" min="7" max="7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</row>
    <row r="2" ht="17.25" customHeight="1" s="500">
      <c r="A2" s="541" t="n"/>
      <c r="B2" s="523" t="inlineStr">
        <is>
          <t>🇩🇪  DE_Filiale – FILIALE ALLEMAGNE · Exercice 2025-2026</t>
        </is>
      </c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</row>
    <row r="4">
      <c r="A4" s="541" t="n"/>
      <c r="B4" s="524" t="inlineStr">
        <is>
          <t>⚙️  PARAMÈTRES ENTITÉ</t>
        </is>
      </c>
      <c r="F4" s="541" t="n"/>
      <c r="G4" s="541" t="n"/>
      <c r="H4" s="541" t="n"/>
      <c r="I4" s="541" t="n"/>
      <c r="J4" s="541" t="n"/>
      <c r="K4" s="541" t="n"/>
      <c r="L4" s="541" t="n"/>
      <c r="M4" s="541" t="n"/>
      <c r="N4" s="541" t="n"/>
    </row>
    <row r="5">
      <c r="A5" s="541" t="n"/>
      <c r="B5" s="136" t="inlineStr">
        <is>
          <t>Entité :</t>
        </is>
      </c>
      <c r="C5" s="135" t="inlineStr">
        <is>
          <t>DE_Filiale</t>
        </is>
      </c>
      <c r="D5" s="541" t="n"/>
      <c r="E5" s="541" t="n"/>
      <c r="F5" s="541" t="n"/>
      <c r="G5" s="541" t="n"/>
      <c r="H5" s="541" t="n"/>
      <c r="I5" s="541" t="n"/>
      <c r="J5" s="541" t="n"/>
      <c r="K5" s="541" t="n"/>
      <c r="L5" s="541" t="n"/>
      <c r="M5" s="541" t="n"/>
      <c r="N5" s="541" t="n"/>
    </row>
    <row r="6">
      <c r="A6" s="541" t="n"/>
      <c r="B6" s="131" t="inlineStr">
        <is>
          <t>Pays / Devise :</t>
        </is>
      </c>
      <c r="C6" s="129" t="inlineStr">
        <is>
          <t>Allemagne · EUR (€)</t>
        </is>
      </c>
      <c r="D6" s="541" t="n"/>
      <c r="E6" s="541" t="n"/>
      <c r="F6" s="541" t="n"/>
      <c r="G6" s="541" t="n"/>
      <c r="H6" s="541" t="n"/>
      <c r="I6" s="541" t="n"/>
      <c r="J6" s="541" t="n"/>
      <c r="K6" s="541" t="n"/>
      <c r="L6" s="541" t="n"/>
      <c r="M6" s="541" t="n"/>
      <c r="N6" s="541" t="n"/>
    </row>
    <row r="7">
      <c r="A7" s="541" t="n"/>
      <c r="B7" s="137" t="inlineStr">
        <is>
          <t>% Détention :</t>
        </is>
      </c>
      <c r="C7" s="130" t="n">
        <v>1</v>
      </c>
      <c r="D7" s="541" t="n"/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</row>
    <row r="8">
      <c r="A8" s="541" t="n"/>
      <c r="B8" s="137" t="inlineStr">
        <is>
          <t>Méthode :</t>
        </is>
      </c>
      <c r="C8" s="129" t="inlineStr">
        <is>
          <t>Intégration Globale</t>
        </is>
      </c>
      <c r="D8" s="541" t="n"/>
      <c r="E8" s="541" t="n"/>
      <c r="F8" s="541" t="n"/>
      <c r="G8" s="541" t="n"/>
      <c r="H8" s="541" t="n"/>
      <c r="I8" s="541" t="n"/>
      <c r="J8" s="541" t="n"/>
      <c r="K8" s="541" t="n"/>
      <c r="L8" s="541" t="n"/>
      <c r="M8" s="541" t="n"/>
      <c r="N8" s="541" t="n"/>
    </row>
    <row r="9">
      <c r="A9" s="140" t="n"/>
      <c r="B9" s="139" t="inlineStr">
        <is>
          <t>Taux de clôture :</t>
        </is>
      </c>
      <c r="C9" s="129" t="inlineStr">
        <is>
          <t>1.0000 (EUR/EUR)</t>
        </is>
      </c>
      <c r="D9" s="134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</row>
    <row r="10">
      <c r="A10" s="541" t="n"/>
      <c r="B10" s="137" t="inlineStr">
        <is>
          <t>Taux moyen :</t>
        </is>
      </c>
      <c r="C10" s="129" t="inlineStr">
        <is>
          <t>1.0000 (EUR/EUR)</t>
        </is>
      </c>
      <c r="D10" s="133" t="n"/>
      <c r="E10" s="541" t="n"/>
      <c r="F10" s="541" t="n"/>
      <c r="G10" s="541" t="n"/>
      <c r="H10" s="541" t="n"/>
      <c r="I10" s="541" t="n"/>
      <c r="J10" s="541" t="n"/>
      <c r="K10" s="541" t="n"/>
      <c r="L10" s="541" t="n"/>
      <c r="M10" s="541" t="n"/>
      <c r="N10" s="541" t="n"/>
    </row>
    <row r="11">
      <c r="A11" s="541" t="n"/>
      <c r="B11" s="138" t="inlineStr">
        <is>
          <t>Secteur :</t>
        </is>
      </c>
      <c r="C11" s="132" t="inlineStr">
        <is>
          <t>Industrie manufacturière</t>
        </is>
      </c>
      <c r="D11" s="541" t="n"/>
      <c r="E11" s="541" t="n"/>
      <c r="F11" s="541" t="n"/>
      <c r="G11" s="541" t="n"/>
      <c r="H11" s="541" t="n"/>
      <c r="I11" s="541" t="n"/>
      <c r="J11" s="541" t="n"/>
      <c r="K11" s="541" t="n"/>
      <c r="L11" s="541" t="n"/>
      <c r="M11" s="541" t="n"/>
      <c r="N11" s="541" t="n"/>
    </row>
    <row r="12">
      <c r="A12" s="541" t="n"/>
      <c r="B12" s="141" t="n"/>
      <c r="C12" s="541" t="n"/>
      <c r="D12" s="541" t="n"/>
      <c r="E12" s="541" t="n"/>
      <c r="F12" s="541" t="n"/>
      <c r="G12" s="541" t="n"/>
      <c r="H12" s="541" t="n"/>
      <c r="I12" s="541" t="n"/>
      <c r="J12" s="541" t="n"/>
      <c r="K12" s="541" t="n"/>
      <c r="L12" s="541" t="n"/>
      <c r="M12" s="541" t="n"/>
      <c r="N12" s="541" t="n"/>
    </row>
    <row r="13" ht="15.75" customHeight="1" s="500">
      <c r="A13" s="541" t="n"/>
      <c r="B13" s="521" t="inlineStr">
        <is>
          <t>BILAN LOCAL (en k€)</t>
        </is>
      </c>
      <c r="H13" s="541" t="n"/>
      <c r="I13" s="526" t="inlineStr">
        <is>
          <t>🔄  CONVERSION EN EUR (pour consolidation)</t>
        </is>
      </c>
      <c r="N13" s="541" t="n"/>
    </row>
    <row r="14">
      <c r="A14" s="541" t="n"/>
      <c r="B14" s="681" t="inlineStr">
        <is>
          <t>Poste IFRS</t>
        </is>
      </c>
      <c r="C14" s="682" t="inlineStr">
        <is>
          <t>Compte</t>
        </is>
      </c>
      <c r="D14" s="682" t="inlineStr">
        <is>
          <t>N (2025)</t>
        </is>
      </c>
      <c r="E14" s="682" t="inlineStr">
        <is>
          <t>N-1 (2024)</t>
        </is>
      </c>
      <c r="F14" s="682" t="inlineStr">
        <is>
          <t>Δ</t>
        </is>
      </c>
      <c r="G14" s="684" t="inlineStr">
        <is>
          <t>Note</t>
        </is>
      </c>
      <c r="H14" s="541" t="n"/>
      <c r="I14" s="543" t="inlineStr">
        <is>
          <t>Poste</t>
        </is>
      </c>
      <c r="J14" s="543" t="inlineStr">
        <is>
          <t>Taux utilisé</t>
        </is>
      </c>
      <c r="K14" s="543" t="inlineStr">
        <is>
          <t>Local</t>
        </is>
      </c>
      <c r="L14" s="543" t="inlineStr">
        <is>
          <t>Converti EUR</t>
        </is>
      </c>
      <c r="M14" s="543" t="inlineStr">
        <is>
          <t>Méthode</t>
        </is>
      </c>
      <c r="N14" s="541" t="n"/>
    </row>
    <row r="15">
      <c r="A15" s="541" t="n"/>
      <c r="B15" s="738" t="inlineStr">
        <is>
          <t>ACTIFS NON COURANTS</t>
        </is>
      </c>
      <c r="C15" s="739" t="n"/>
      <c r="D15" s="739" t="n"/>
      <c r="E15" s="739" t="n"/>
      <c r="F15" s="739" t="n"/>
      <c r="G15" s="740" t="n"/>
      <c r="H15" s="541" t="n"/>
      <c r="I15" s="38" t="inlineStr">
        <is>
          <t>Actifs/Passifs</t>
        </is>
      </c>
      <c r="J15" s="38" t="inlineStr">
        <is>
          <t>Taux clôture</t>
        </is>
      </c>
      <c r="K15" s="38" t="n">
        <v>1</v>
      </c>
      <c r="L15" s="38" t="n">
        <v>1</v>
      </c>
      <c r="M15" s="38" t="inlineStr">
        <is>
          <t>IAS 21 §23</t>
        </is>
      </c>
      <c r="N15" s="541" t="n"/>
    </row>
    <row r="16">
      <c r="A16" s="541" t="n"/>
      <c r="B16" s="741" t="inlineStr">
        <is>
          <t>Immobilisations incorporelles</t>
        </is>
      </c>
      <c r="C16" s="742" t="inlineStr">
        <is>
          <t>21xx</t>
        </is>
      </c>
      <c r="D16" s="1004" t="n">
        <v>18000</v>
      </c>
      <c r="E16" s="1004" t="n">
        <v>17500</v>
      </c>
      <c r="F16" s="1004">
        <f>D16-E16</f>
        <v/>
      </c>
      <c r="G16" s="743" t="n"/>
      <c r="H16" s="541" t="n"/>
      <c r="I16" s="38" t="inlineStr">
        <is>
          <t>P&amp;L / Charges</t>
        </is>
      </c>
      <c r="J16" s="38" t="inlineStr">
        <is>
          <t>Taux moyen</t>
        </is>
      </c>
      <c r="K16" s="38" t="n">
        <v>1</v>
      </c>
      <c r="L16" s="38" t="n">
        <v>1</v>
      </c>
      <c r="M16" s="38" t="inlineStr">
        <is>
          <t>IAS 21 §39</t>
        </is>
      </c>
      <c r="N16" s="541" t="n"/>
    </row>
    <row r="17">
      <c r="A17" s="541" t="n"/>
      <c r="B17" s="688" t="inlineStr">
        <is>
          <t>Immobilisations corporelles (PP&amp;E)</t>
        </is>
      </c>
      <c r="C17" s="689" t="inlineStr">
        <is>
          <t>22xx</t>
        </is>
      </c>
      <c r="D17" s="1005" t="n">
        <v>95000</v>
      </c>
      <c r="E17" s="1005" t="n">
        <v>91000</v>
      </c>
      <c r="F17" s="1005">
        <f>D17-E17</f>
        <v/>
      </c>
      <c r="G17" s="744" t="n"/>
      <c r="H17" s="541" t="n"/>
      <c r="I17" s="38" t="inlineStr">
        <is>
          <t>Capitaux propres</t>
        </is>
      </c>
      <c r="J17" s="38" t="inlineStr">
        <is>
          <t>Taux historique</t>
        </is>
      </c>
      <c r="K17" s="38" t="n">
        <v>1</v>
      </c>
      <c r="L17" s="38" t="n">
        <v>1</v>
      </c>
      <c r="M17" s="38" t="inlineStr">
        <is>
          <t>IAS 21 §39</t>
        </is>
      </c>
      <c r="N17" s="541" t="n"/>
    </row>
    <row r="18">
      <c r="A18" s="541" t="n"/>
      <c r="B18" s="748" t="inlineStr">
        <is>
          <t>Impôts différés actifs &amp; autres</t>
        </is>
      </c>
      <c r="C18" s="749" t="inlineStr">
        <is>
          <t>274x</t>
        </is>
      </c>
      <c r="D18" s="1006" t="n">
        <v>5200</v>
      </c>
      <c r="E18" s="1006" t="n">
        <v>4800</v>
      </c>
      <c r="F18" s="1006">
        <f>D18-E18</f>
        <v/>
      </c>
      <c r="G18" s="750" t="n"/>
      <c r="H18" s="541" t="n"/>
      <c r="I18" s="39" t="inlineStr">
        <is>
          <t>Écart de conversion</t>
        </is>
      </c>
      <c r="J18" s="39" t="inlineStr">
        <is>
          <t>Différence</t>
        </is>
      </c>
      <c r="K18" s="39" t="n"/>
      <c r="L18" s="39" t="n"/>
      <c r="M18" s="39" t="inlineStr">
        <is>
          <t>OCI (IAS 21)</t>
        </is>
      </c>
      <c r="N18" s="541" t="n"/>
    </row>
    <row r="19" ht="15.75" customHeight="1" s="500" thickBot="1">
      <c r="A19" s="541" t="n"/>
      <c r="B19" s="754" t="inlineStr">
        <is>
          <t>TOTAL ACTIFS NON COURANTS</t>
        </is>
      </c>
      <c r="C19" s="755" t="n"/>
      <c r="D19" s="1007">
        <f>SUM(D16:D18)</f>
        <v/>
      </c>
      <c r="E19" s="1007">
        <f>SUM(E16:E18)</f>
        <v/>
      </c>
      <c r="F19" s="1007">
        <f>D19-E19</f>
        <v/>
      </c>
      <c r="G19" s="756" t="n"/>
      <c r="H19" s="541" t="n"/>
      <c r="I19" s="541" t="n"/>
      <c r="J19" s="541" t="n"/>
      <c r="K19" s="541" t="n"/>
      <c r="L19" s="541" t="n"/>
      <c r="M19" s="541" t="n"/>
      <c r="N19" s="541" t="n"/>
    </row>
    <row r="20">
      <c r="A20" s="541" t="n"/>
      <c r="B20" s="751" t="inlineStr">
        <is>
          <t>ACTIFS COURANTS</t>
        </is>
      </c>
      <c r="C20" s="752" t="n"/>
      <c r="D20" s="1008" t="n"/>
      <c r="E20" s="1008" t="n"/>
      <c r="F20" s="1008" t="n"/>
      <c r="G20" s="753" t="n"/>
      <c r="H20" s="541" t="n"/>
      <c r="I20" s="541" t="n"/>
      <c r="J20" s="541" t="n"/>
      <c r="K20" s="541" t="n"/>
      <c r="L20" s="541" t="n"/>
      <c r="M20" s="541" t="n"/>
      <c r="N20" s="541" t="n"/>
    </row>
    <row r="21">
      <c r="A21" s="541" t="n"/>
      <c r="B21" s="741" t="inlineStr">
        <is>
          <t>Stocks</t>
        </is>
      </c>
      <c r="C21" s="742" t="inlineStr">
        <is>
          <t>31xx</t>
        </is>
      </c>
      <c r="D21" s="1004" t="n">
        <v>62000</v>
      </c>
      <c r="E21" s="1004" t="n">
        <v>58000</v>
      </c>
      <c r="F21" s="1004">
        <f>D21-E21</f>
        <v/>
      </c>
      <c r="G21" s="743" t="n"/>
      <c r="H21" s="541" t="n"/>
      <c r="I21" s="541" t="n"/>
      <c r="J21" s="541" t="n"/>
      <c r="K21" s="541" t="n"/>
      <c r="L21" s="541" t="n"/>
      <c r="M21" s="541" t="n"/>
      <c r="N21" s="541" t="n"/>
    </row>
    <row r="22">
      <c r="A22" s="541" t="n"/>
      <c r="B22" s="688" t="inlineStr">
        <is>
          <t>Créances clients</t>
        </is>
      </c>
      <c r="C22" s="689" t="inlineStr">
        <is>
          <t>411x</t>
        </is>
      </c>
      <c r="D22" s="1005" t="n">
        <v>38000</v>
      </c>
      <c r="E22" s="1005" t="n">
        <v>35000</v>
      </c>
      <c r="F22" s="1005">
        <f>D22-E22</f>
        <v/>
      </c>
      <c r="G22" s="744" t="n"/>
      <c r="H22" s="541" t="n"/>
      <c r="I22" s="541" t="n"/>
      <c r="J22" s="541" t="n"/>
      <c r="K22" s="541" t="n"/>
      <c r="L22" s="541" t="n"/>
      <c r="M22" s="541" t="n"/>
      <c r="N22" s="541" t="n"/>
    </row>
    <row r="23">
      <c r="A23" s="541" t="n"/>
      <c r="B23" s="698" t="inlineStr">
        <is>
          <t>Créances interco</t>
        </is>
      </c>
      <c r="C23" s="745" t="inlineStr">
        <is>
          <t>451x</t>
        </is>
      </c>
      <c r="D23" s="1009" t="n">
        <v>12500</v>
      </c>
      <c r="E23" s="1009" t="n">
        <v>10800</v>
      </c>
      <c r="F23" s="1009">
        <f>D23-E23</f>
        <v/>
      </c>
      <c r="G23" s="746" t="inlineStr">
        <is>
          <t>⚠️ ELIM</t>
        </is>
      </c>
      <c r="H23" s="541" t="n"/>
      <c r="I23" s="541" t="n"/>
      <c r="J23" s="541" t="n"/>
      <c r="K23" s="541" t="n"/>
      <c r="L23" s="541" t="n"/>
      <c r="M23" s="541" t="n"/>
      <c r="N23" s="541" t="n"/>
    </row>
    <row r="24">
      <c r="A24" s="541" t="n"/>
      <c r="B24" s="748" t="inlineStr">
        <is>
          <t>Trésorerie</t>
        </is>
      </c>
      <c r="C24" s="749" t="inlineStr">
        <is>
          <t>512x</t>
        </is>
      </c>
      <c r="D24" s="1006" t="n">
        <v>24000</v>
      </c>
      <c r="E24" s="1006" t="n">
        <v>21000</v>
      </c>
      <c r="F24" s="1006">
        <f>D24-E24</f>
        <v/>
      </c>
      <c r="G24" s="750" t="n"/>
      <c r="H24" s="541" t="n"/>
      <c r="I24" s="541" t="n"/>
      <c r="J24" s="541" t="n"/>
      <c r="K24" s="541" t="n"/>
      <c r="L24" s="541" t="n"/>
      <c r="M24" s="541" t="n"/>
      <c r="N24" s="541" t="n"/>
    </row>
    <row r="25" ht="15.75" customHeight="1" s="500" thickBot="1">
      <c r="A25" s="541" t="n"/>
      <c r="B25" s="757" t="inlineStr">
        <is>
          <t>TOTAL ACTIFS COURANTS</t>
        </is>
      </c>
      <c r="C25" s="758" t="n"/>
      <c r="D25" s="1010">
        <f>SUM(D21:D24)</f>
        <v/>
      </c>
      <c r="E25" s="1010">
        <f>SUM(E21:E24)</f>
        <v/>
      </c>
      <c r="F25" s="1010">
        <f>D25-E25</f>
        <v/>
      </c>
      <c r="G25" s="759" t="n"/>
      <c r="H25" s="541" t="n"/>
      <c r="I25" s="541" t="n"/>
      <c r="J25" s="541" t="n"/>
      <c r="K25" s="541" t="n"/>
      <c r="L25" s="541" t="n"/>
      <c r="M25" s="541" t="n"/>
      <c r="N25" s="541" t="n"/>
    </row>
    <row r="26" ht="15.75" customHeight="1" s="500" thickBot="1">
      <c r="A26" s="541" t="n"/>
      <c r="B26" s="760" t="inlineStr">
        <is>
          <t>TOTAL ACTIF</t>
        </is>
      </c>
      <c r="C26" s="761" t="n"/>
      <c r="D26" s="1011">
        <f>D19+D25</f>
        <v/>
      </c>
      <c r="E26" s="1011">
        <f>E19+E25</f>
        <v/>
      </c>
      <c r="F26" s="1011">
        <f>D26-E26</f>
        <v/>
      </c>
      <c r="G26" s="762" t="inlineStr">
        <is>
          <t>✔</t>
        </is>
      </c>
      <c r="H26" s="541" t="n"/>
      <c r="I26" s="541" t="n"/>
      <c r="J26" s="541" t="n"/>
      <c r="K26" s="541" t="n"/>
      <c r="L26" s="541" t="n"/>
      <c r="M26" s="541" t="n"/>
      <c r="N26" s="541" t="n"/>
    </row>
    <row r="27">
      <c r="A27" s="541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1" t="n"/>
      <c r="M27" s="541" t="n"/>
      <c r="N27" s="541" t="n"/>
    </row>
    <row r="28">
      <c r="A28" s="541" t="n"/>
      <c r="B28" s="525" t="inlineStr">
        <is>
          <t>COMPTE DE RÉSULTAT LOCAL – IFRS 18 (k monnaie locale)</t>
        </is>
      </c>
      <c r="H28" s="541" t="n"/>
      <c r="I28" s="541" t="n"/>
      <c r="J28" s="541" t="n"/>
      <c r="K28" s="541" t="n"/>
      <c r="L28" s="541" t="n"/>
      <c r="M28" s="541" t="n"/>
      <c r="N28" s="541" t="n"/>
    </row>
    <row r="29">
      <c r="A29" s="541" t="n"/>
      <c r="B29" s="681" t="inlineStr">
        <is>
          <t>Poste</t>
        </is>
      </c>
      <c r="C29" s="682" t="inlineStr">
        <is>
          <t>Cat. IFRS 18</t>
        </is>
      </c>
      <c r="D29" s="682" t="inlineStr">
        <is>
          <t>N (2025)</t>
        </is>
      </c>
      <c r="E29" s="682" t="inlineStr">
        <is>
          <t>N-1 (2024)</t>
        </is>
      </c>
      <c r="F29" s="682" t="inlineStr">
        <is>
          <t>Δ %</t>
        </is>
      </c>
      <c r="G29" s="684" t="inlineStr">
        <is>
          <t>Note</t>
        </is>
      </c>
      <c r="H29" s="541" t="n"/>
      <c r="I29" s="541" t="n"/>
      <c r="J29" s="541" t="n"/>
      <c r="K29" s="541" t="n"/>
      <c r="L29" s="541" t="n"/>
      <c r="M29" s="541" t="n"/>
      <c r="N29" s="541" t="n"/>
    </row>
    <row r="30">
      <c r="A30" s="541" t="n"/>
      <c r="B30" s="741" t="inlineStr">
        <is>
          <t>Chiffre d'affaires</t>
        </is>
      </c>
      <c r="C30" s="742" t="inlineStr">
        <is>
          <t>Opérationnel</t>
        </is>
      </c>
      <c r="D30" s="1004" t="n">
        <v>168000</v>
      </c>
      <c r="E30" s="1004" t="n">
        <v>155000</v>
      </c>
      <c r="F30" s="878">
        <f>IFERROR((D30-E30)/ABS(E30),"")</f>
        <v/>
      </c>
      <c r="G30" s="743" t="inlineStr">
        <is>
          <t>IFRS 15</t>
        </is>
      </c>
      <c r="H30" s="541" t="n"/>
      <c r="I30" s="541" t="n"/>
      <c r="J30" s="541" t="n"/>
      <c r="K30" s="541" t="n"/>
      <c r="L30" s="541" t="n"/>
      <c r="M30" s="541" t="n"/>
      <c r="N30" s="541" t="n"/>
    </row>
    <row r="31">
      <c r="A31" s="541" t="n"/>
      <c r="B31" s="688" t="inlineStr">
        <is>
          <t>Achats &amp; charges opérat.</t>
        </is>
      </c>
      <c r="C31" s="689" t="inlineStr">
        <is>
          <t>Opérationnel</t>
        </is>
      </c>
      <c r="D31" s="1005" t="n">
        <v>-138500</v>
      </c>
      <c r="E31" s="1005" t="n">
        <v>-130200</v>
      </c>
      <c r="F31" s="879">
        <f>IFERROR((D31-E31)/ABS(E31),"")</f>
        <v/>
      </c>
      <c r="G31" s="744" t="n"/>
      <c r="H31" s="541" t="n"/>
      <c r="I31" s="541" t="n"/>
      <c r="J31" s="541" t="n"/>
      <c r="K31" s="541" t="n"/>
      <c r="L31" s="541" t="n"/>
      <c r="M31" s="541" t="n"/>
      <c r="N31" s="541" t="n"/>
    </row>
    <row r="32">
      <c r="A32" s="541" t="n"/>
      <c r="B32" s="741" t="inlineStr">
        <is>
          <t>Charges de personnel</t>
        </is>
      </c>
      <c r="C32" s="742" t="inlineStr">
        <is>
          <t>Opérationnel</t>
        </is>
      </c>
      <c r="D32" s="1004" t="n">
        <v>-36960</v>
      </c>
      <c r="E32" s="1004" t="n">
        <v>-34100</v>
      </c>
      <c r="F32" s="878">
        <f>IFERROR((D32-E32)/ABS(E32),"")</f>
        <v/>
      </c>
      <c r="G32" s="743" t="n"/>
      <c r="H32" s="541" t="n"/>
      <c r="I32" s="541" t="n"/>
      <c r="J32" s="541" t="n"/>
      <c r="K32" s="541" t="n"/>
      <c r="L32" s="541" t="n"/>
      <c r="M32" s="541" t="n"/>
      <c r="N32" s="541" t="n"/>
    </row>
    <row r="33">
      <c r="A33" s="541" t="n"/>
      <c r="B33" s="705" t="inlineStr">
        <is>
          <t>Amortissements</t>
        </is>
      </c>
      <c r="C33" s="706" t="inlineStr">
        <is>
          <t>Opérationnel</t>
        </is>
      </c>
      <c r="D33" s="1012" t="n">
        <v>-8400</v>
      </c>
      <c r="E33" s="1012" t="n">
        <v>-7750</v>
      </c>
      <c r="F33" s="880">
        <f>IFERROR((D33-E33)/ABS(E33),"")</f>
        <v/>
      </c>
      <c r="G33" s="763" t="n"/>
      <c r="H33" s="541" t="n"/>
      <c r="I33" s="541" t="n"/>
      <c r="J33" s="541" t="n"/>
      <c r="K33" s="541" t="n"/>
      <c r="L33" s="541" t="n"/>
      <c r="M33" s="541" t="n"/>
      <c r="N33" s="541" t="n"/>
    </row>
    <row r="34" ht="15.75" customHeight="1" s="500" thickBot="1">
      <c r="A34" s="541" t="n"/>
      <c r="B34" s="754" t="inlineStr">
        <is>
          <t>RÉSULTAT OPÉRATIONNEL (EBIT)</t>
        </is>
      </c>
      <c r="C34" s="755" t="inlineStr">
        <is>
          <t>Opérationnel</t>
        </is>
      </c>
      <c r="D34" s="1007">
        <f>SUM(D30:D33)</f>
        <v/>
      </c>
      <c r="E34" s="1007">
        <f>SUM(E30:E33)</f>
        <v/>
      </c>
      <c r="F34" s="881">
        <f>IFERROR((D34-E34)/ABS(E34),"")</f>
        <v/>
      </c>
      <c r="G34" s="756" t="inlineStr">
        <is>
          <t>🔑</t>
        </is>
      </c>
      <c r="H34" s="541" t="n"/>
      <c r="I34" s="541" t="n"/>
      <c r="J34" s="541" t="n"/>
      <c r="K34" s="541" t="n"/>
      <c r="L34" s="541" t="n"/>
      <c r="M34" s="541" t="n"/>
      <c r="N34" s="541" t="n"/>
    </row>
    <row r="35">
      <c r="A35" s="541" t="n"/>
      <c r="B35" s="764" t="inlineStr">
        <is>
          <t>Produits financiers</t>
        </is>
      </c>
      <c r="C35" s="765" t="inlineStr">
        <is>
          <t>Investissement</t>
        </is>
      </c>
      <c r="D35" s="1013" t="n">
        <v>840</v>
      </c>
      <c r="E35" s="1013" t="n">
        <v>620</v>
      </c>
      <c r="F35" s="883">
        <f>IFERROR((D35-E35)/ABS(E35),"")</f>
        <v/>
      </c>
      <c r="G35" s="766" t="inlineStr">
        <is>
          <t>IFRS 18</t>
        </is>
      </c>
      <c r="H35" s="541" t="n"/>
      <c r="I35" s="541" t="n"/>
      <c r="J35" s="541" t="n"/>
      <c r="K35" s="541" t="n"/>
      <c r="L35" s="541" t="n"/>
      <c r="M35" s="541" t="n"/>
      <c r="N35" s="541" t="n"/>
    </row>
    <row r="36">
      <c r="A36" s="541" t="n"/>
      <c r="B36" s="688" t="inlineStr">
        <is>
          <t>Charges d'intérêts</t>
        </is>
      </c>
      <c r="C36" s="689" t="inlineStr">
        <is>
          <t>Financement</t>
        </is>
      </c>
      <c r="D36" s="1005" t="n">
        <v>-3696</v>
      </c>
      <c r="E36" s="1005" t="n">
        <v>-3875</v>
      </c>
      <c r="F36" s="879">
        <f>IFERROR((D36-E36)/ABS(E36),"")</f>
        <v/>
      </c>
      <c r="G36" s="744" t="inlineStr">
        <is>
          <t>IFRS 18</t>
        </is>
      </c>
      <c r="H36" s="541" t="n"/>
      <c r="I36" s="541" t="n"/>
      <c r="J36" s="541" t="n"/>
      <c r="K36" s="541" t="n"/>
      <c r="L36" s="541" t="n"/>
      <c r="M36" s="541" t="n"/>
      <c r="N36" s="541" t="n"/>
    </row>
    <row r="37">
      <c r="A37" s="541" t="n"/>
      <c r="B37" s="748" t="inlineStr">
        <is>
          <t>Charge d'impôt (IS)</t>
        </is>
      </c>
      <c r="C37" s="749" t="inlineStr">
        <is>
          <t>Impôts</t>
        </is>
      </c>
      <c r="D37" s="1006" t="n">
        <v>-6125</v>
      </c>
      <c r="E37" s="1006" t="n">
        <v>-5200</v>
      </c>
      <c r="F37" s="884">
        <f>IFERROR((D37-E37)/ABS(E37),"")</f>
        <v/>
      </c>
      <c r="G37" s="750" t="inlineStr">
        <is>
          <t>IAS 12</t>
        </is>
      </c>
      <c r="H37" s="541" t="n"/>
      <c r="I37" s="541" t="n"/>
      <c r="J37" s="541" t="n"/>
      <c r="K37" s="541" t="n"/>
      <c r="L37" s="541" t="n"/>
      <c r="M37" s="541" t="n"/>
      <c r="N37" s="541" t="n"/>
    </row>
    <row r="38" ht="15.75" customHeight="1" s="500" thickBot="1">
      <c r="A38" s="541" t="n"/>
      <c r="B38" s="768" t="inlineStr">
        <is>
          <t>RÉSULTAT NET</t>
        </is>
      </c>
      <c r="C38" s="769" t="n"/>
      <c r="D38" s="1014">
        <f>D34+D35+D36+D37</f>
        <v/>
      </c>
      <c r="E38" s="1014">
        <f>E34+E35+E36+E37</f>
        <v/>
      </c>
      <c r="F38" s="886">
        <f>IFERROR((D38-E38)/ABS(E38),"")</f>
        <v/>
      </c>
      <c r="G38" s="770" t="inlineStr">
        <is>
          <t>🏆</t>
        </is>
      </c>
      <c r="H38" s="541" t="n"/>
      <c r="I38" s="541" t="n"/>
      <c r="J38" s="541" t="n"/>
      <c r="K38" s="541" t="n"/>
      <c r="L38" s="541" t="n"/>
      <c r="M38" s="541" t="n"/>
      <c r="N38" s="541" t="n"/>
    </row>
    <row r="39">
      <c r="A39" s="541" t="n"/>
      <c r="B39" s="541" t="n"/>
      <c r="C39" s="541" t="n"/>
      <c r="D39" s="541" t="n"/>
      <c r="E39" s="541" t="n"/>
      <c r="F39" s="541" t="n"/>
      <c r="G39" s="541" t="n"/>
      <c r="H39" s="541" t="n"/>
      <c r="I39" s="541" t="n"/>
      <c r="J39" s="541" t="n"/>
      <c r="K39" s="541" t="n"/>
      <c r="L39" s="541" t="n"/>
      <c r="M39" s="541" t="n"/>
      <c r="N39" s="541" t="n"/>
    </row>
    <row r="40">
      <c r="A40" s="541" t="n"/>
      <c r="B40" s="541" t="n"/>
      <c r="C40" s="541" t="n"/>
      <c r="D40" s="541" t="n"/>
      <c r="E40" s="541" t="n"/>
      <c r="F40" s="541" t="n"/>
      <c r="G40" s="541" t="n"/>
      <c r="H40" s="541" t="n"/>
      <c r="I40" s="541" t="n"/>
      <c r="J40" s="541" t="n"/>
      <c r="K40" s="541" t="n"/>
      <c r="L40" s="541" t="n"/>
      <c r="M40" s="541" t="n"/>
      <c r="N40" s="541" t="n"/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  <c r="I41" s="541" t="n"/>
      <c r="J41" s="541" t="n"/>
      <c r="K41" s="541" t="n"/>
      <c r="L41" s="541" t="n"/>
      <c r="M41" s="541" t="n"/>
      <c r="N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  <c r="I42" s="541" t="n"/>
      <c r="J42" s="541" t="n"/>
      <c r="K42" s="541" t="n"/>
      <c r="L42" s="541" t="n"/>
      <c r="M42" s="541" t="n"/>
      <c r="N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  <c r="I43" s="541" t="n"/>
      <c r="J43" s="541" t="n"/>
      <c r="K43" s="541" t="n"/>
      <c r="L43" s="541" t="n"/>
      <c r="M43" s="541" t="n"/>
      <c r="N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  <c r="I45" s="541" t="n"/>
      <c r="J45" s="541" t="n"/>
      <c r="K45" s="541" t="n"/>
      <c r="L45" s="541" t="n"/>
      <c r="M45" s="541" t="n"/>
      <c r="N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  <c r="I46" s="541" t="n"/>
      <c r="J46" s="541" t="n"/>
      <c r="K46" s="541" t="n"/>
      <c r="L46" s="541" t="n"/>
      <c r="M46" s="541" t="n"/>
      <c r="N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  <c r="I47" s="541" t="n"/>
      <c r="J47" s="541" t="n"/>
      <c r="K47" s="541" t="n"/>
      <c r="L47" s="541" t="n"/>
      <c r="M47" s="541" t="n"/>
      <c r="N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  <c r="I48" s="541" t="n"/>
      <c r="J48" s="541" t="n"/>
      <c r="K48" s="541" t="n"/>
      <c r="L48" s="541" t="n"/>
      <c r="M48" s="541" t="n"/>
      <c r="N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  <c r="I50" s="541" t="n"/>
      <c r="J50" s="541" t="n"/>
      <c r="K50" s="541" t="n"/>
      <c r="L50" s="541" t="n"/>
      <c r="M50" s="541" t="n"/>
      <c r="N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  <c r="I51" s="541" t="n"/>
      <c r="J51" s="541" t="n"/>
      <c r="K51" s="541" t="n"/>
      <c r="L51" s="541" t="n"/>
      <c r="M51" s="541" t="n"/>
      <c r="N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  <c r="I52" s="541" t="n"/>
      <c r="J52" s="541" t="n"/>
      <c r="K52" s="541" t="n"/>
      <c r="L52" s="541" t="n"/>
      <c r="M52" s="541" t="n"/>
      <c r="N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  <c r="I53" s="541" t="n"/>
      <c r="J53" s="541" t="n"/>
      <c r="K53" s="541" t="n"/>
      <c r="L53" s="541" t="n"/>
      <c r="M53" s="541" t="n"/>
      <c r="N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  <c r="I54" s="541" t="n"/>
      <c r="J54" s="541" t="n"/>
      <c r="K54" s="541" t="n"/>
      <c r="L54" s="541" t="n"/>
      <c r="M54" s="541" t="n"/>
      <c r="N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  <c r="I55" s="541" t="n"/>
      <c r="J55" s="541" t="n"/>
      <c r="K55" s="541" t="n"/>
      <c r="L55" s="541" t="n"/>
      <c r="M55" s="541" t="n"/>
      <c r="N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  <c r="I56" s="541" t="n"/>
      <c r="J56" s="541" t="n"/>
      <c r="K56" s="541" t="n"/>
      <c r="L56" s="541" t="n"/>
      <c r="M56" s="541" t="n"/>
      <c r="N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  <c r="I58" s="541" t="n"/>
      <c r="J58" s="541" t="n"/>
      <c r="K58" s="541" t="n"/>
      <c r="L58" s="541" t="n"/>
      <c r="M58" s="541" t="n"/>
      <c r="N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  <c r="I59" s="541" t="n"/>
      <c r="J59" s="541" t="n"/>
      <c r="K59" s="541" t="n"/>
      <c r="L59" s="541" t="n"/>
      <c r="M59" s="541" t="n"/>
      <c r="N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  <c r="I60" s="541" t="n"/>
      <c r="J60" s="541" t="n"/>
      <c r="K60" s="541" t="n"/>
      <c r="L60" s="541" t="n"/>
      <c r="M60" s="541" t="n"/>
      <c r="N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  <c r="I61" s="541" t="n"/>
      <c r="J61" s="541" t="n"/>
      <c r="K61" s="541" t="n"/>
      <c r="L61" s="541" t="n"/>
      <c r="M61" s="541" t="n"/>
      <c r="N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  <c r="I62" s="541" t="n"/>
      <c r="J62" s="541" t="n"/>
      <c r="K62" s="541" t="n"/>
      <c r="L62" s="541" t="n"/>
      <c r="M62" s="541" t="n"/>
      <c r="N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  <c r="I63" s="541" t="n"/>
      <c r="J63" s="541" t="n"/>
      <c r="K63" s="541" t="n"/>
      <c r="L63" s="541" t="n"/>
      <c r="M63" s="541" t="n"/>
      <c r="N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</row>
  </sheetData>
  <mergeCells count="5">
    <mergeCell ref="B28:G28"/>
    <mergeCell ref="B4:E4"/>
    <mergeCell ref="I13:M13"/>
    <mergeCell ref="B13:G13"/>
    <mergeCell ref="B2:N2"/>
  </mergeCells>
  <conditionalFormatting sqref="F16:F26">
    <cfRule type="cellIs" priority="5" operator="greaterThan" dxfId="0">
      <formula>0</formula>
    </cfRule>
    <cfRule type="cellIs" priority="6" operator="lessThan" dxfId="16">
      <formula>0</formula>
    </cfRule>
  </conditionalFormatting>
  <conditionalFormatting sqref="F30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F34">
    <cfRule type="cellIs" priority="3" operator="greaterThan" dxfId="5">
      <formula>0</formula>
    </cfRule>
    <cfRule type="cellIs" priority="4" operator="lessThan" dxfId="3">
      <formula>0</formula>
    </cfRule>
  </conditionalFormatting>
  <conditionalFormatting sqref="F30:F38">
    <cfRule type="cellIs" priority="7" operator="lessThan" dxfId="16">
      <formula>0</formula>
    </cfRule>
    <cfRule type="cellIs" priority="8" operator="greaterThanOr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7AE60"/>
    <outlinePr summaryBelow="1" summaryRight="1"/>
    <pageSetUpPr/>
  </sheetPr>
  <dimension ref="A1:N70"/>
  <sheetViews>
    <sheetView topLeftCell="A15" zoomScale="142" zoomScaleNormal="142" workbookViewId="0">
      <selection activeCell="G30" sqref="G30"/>
    </sheetView>
  </sheetViews>
  <sheetFormatPr baseColWidth="10" defaultRowHeight="15"/>
  <cols>
    <col width="3.85546875" customWidth="1" style="500" min="1" max="1"/>
    <col width="43.85546875" customWidth="1" style="500" min="2" max="2"/>
    <col width="22.7109375" customWidth="1" style="500" min="3" max="3"/>
    <col width="16.140625" customWidth="1" style="500" min="4" max="6"/>
    <col width="13.28515625" customWidth="1" style="500" min="7" max="7"/>
    <col width="18.28515625" customWidth="1" style="500" min="9" max="9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</row>
    <row r="2" ht="17.25" customHeight="1" s="500">
      <c r="A2" s="541" t="n"/>
      <c r="B2" s="523" t="inlineStr">
        <is>
          <t>🇬🇧  UK_Filiale – FILIALE ROYAUME-UNI · Exercice 2025-2026 (GBP)</t>
        </is>
      </c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</row>
    <row r="4">
      <c r="A4" s="541" t="n"/>
      <c r="B4" s="524" t="inlineStr">
        <is>
          <t>⚙️  PARAMÈTRES ENTITÉ</t>
        </is>
      </c>
      <c r="F4" s="541" t="n"/>
      <c r="G4" s="541" t="n"/>
      <c r="H4" s="541" t="n"/>
      <c r="I4" s="541" t="n"/>
      <c r="J4" s="541" t="n"/>
      <c r="K4" s="541" t="n"/>
      <c r="L4" s="541" t="n"/>
      <c r="M4" s="541" t="n"/>
      <c r="N4" s="541" t="n"/>
    </row>
    <row r="5">
      <c r="A5" s="541" t="n"/>
      <c r="B5" s="540" t="inlineStr">
        <is>
          <t>Entité :</t>
        </is>
      </c>
      <c r="C5" s="540" t="inlineStr">
        <is>
          <t>UK_Filiale</t>
        </is>
      </c>
      <c r="D5" s="541" t="n"/>
      <c r="E5" s="541" t="n"/>
      <c r="F5" s="541" t="n"/>
      <c r="G5" s="541" t="n"/>
      <c r="H5" s="541" t="n"/>
      <c r="I5" s="541" t="n"/>
      <c r="J5" s="541" t="n"/>
      <c r="K5" s="541" t="n"/>
      <c r="L5" s="541" t="n"/>
      <c r="M5" s="541" t="n"/>
      <c r="N5" s="541" t="n"/>
    </row>
    <row r="6">
      <c r="A6" s="541" t="n"/>
      <c r="B6" s="540" t="inlineStr">
        <is>
          <t>Pays / Devise :</t>
        </is>
      </c>
      <c r="C6" s="540" t="inlineStr">
        <is>
          <t>Royaume-Uni · GBP (£) → Taux clôt. 1.1650 EUR/GBP</t>
        </is>
      </c>
      <c r="D6" s="541" t="n"/>
      <c r="E6" s="541" t="n"/>
      <c r="F6" s="541" t="n"/>
      <c r="G6" s="541" t="n"/>
      <c r="H6" s="541" t="n"/>
      <c r="I6" s="541" t="n"/>
      <c r="J6" s="541" t="n"/>
      <c r="K6" s="541" t="n"/>
      <c r="L6" s="541" t="n"/>
      <c r="M6" s="541" t="n"/>
      <c r="N6" s="541" t="n"/>
    </row>
    <row r="7">
      <c r="A7" s="541" t="n"/>
      <c r="B7" s="540" t="inlineStr">
        <is>
          <t>% Détention :</t>
        </is>
      </c>
      <c r="C7" s="37" t="n">
        <v>0.8</v>
      </c>
      <c r="D7" s="541" t="n"/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</row>
    <row r="8">
      <c r="A8" s="541" t="n"/>
      <c r="B8" s="540" t="inlineStr">
        <is>
          <t>Méthode :</t>
        </is>
      </c>
      <c r="C8" s="540" t="inlineStr">
        <is>
          <t>Intégration Globale</t>
        </is>
      </c>
      <c r="D8" s="541" t="n"/>
      <c r="E8" s="541" t="n"/>
      <c r="F8" s="541" t="n"/>
      <c r="G8" s="541" t="n"/>
      <c r="H8" s="541" t="n"/>
      <c r="I8" s="541" t="n"/>
      <c r="J8" s="541" t="n"/>
      <c r="K8" s="541" t="n"/>
      <c r="L8" s="541" t="n"/>
      <c r="M8" s="541" t="n"/>
      <c r="N8" s="541" t="n"/>
    </row>
    <row r="9">
      <c r="A9" s="541" t="n"/>
      <c r="B9" s="540" t="inlineStr">
        <is>
          <t>Taux de clôture :</t>
        </is>
      </c>
      <c r="C9" s="540" t="inlineStr">
        <is>
          <t>1.1650 (GBP/EUR)</t>
        </is>
      </c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</row>
    <row r="10">
      <c r="A10" s="541" t="n"/>
      <c r="B10" s="540" t="inlineStr">
        <is>
          <t>Taux moyen :</t>
        </is>
      </c>
      <c r="C10" s="540" t="inlineStr">
        <is>
          <t>1.1520 (GBP/EUR)</t>
        </is>
      </c>
      <c r="D10" s="541" t="n"/>
      <c r="E10" s="541" t="n"/>
      <c r="F10" s="541" t="n"/>
      <c r="G10" s="541" t="n"/>
      <c r="H10" s="541" t="n"/>
      <c r="I10" s="541" t="n"/>
      <c r="J10" s="541" t="n"/>
      <c r="K10" s="541" t="n"/>
      <c r="L10" s="541" t="n"/>
      <c r="M10" s="541" t="n"/>
      <c r="N10" s="541" t="n"/>
    </row>
    <row r="11">
      <c r="A11" s="541" t="n"/>
      <c r="B11" s="540" t="inlineStr">
        <is>
          <t>Secteur :</t>
        </is>
      </c>
      <c r="C11" s="540" t="inlineStr">
        <is>
          <t>Technologies &amp; Digital</t>
        </is>
      </c>
      <c r="D11" s="541" t="n"/>
      <c r="E11" s="541" t="n"/>
      <c r="F11" s="541" t="n"/>
      <c r="G11" s="541" t="n"/>
      <c r="H11" s="541" t="n"/>
      <c r="I11" s="541" t="n"/>
      <c r="J11" s="541" t="n"/>
      <c r="K11" s="541" t="n"/>
      <c r="L11" s="541" t="n"/>
      <c r="M11" s="541" t="n"/>
      <c r="N11" s="541" t="n"/>
    </row>
    <row r="12">
      <c r="A12" s="541" t="n"/>
      <c r="B12" s="541" t="n"/>
      <c r="C12" s="541" t="n"/>
      <c r="D12" s="541" t="n"/>
      <c r="E12" s="541" t="n"/>
      <c r="F12" s="541" t="n"/>
      <c r="G12" s="541" t="n"/>
      <c r="H12" s="541" t="n"/>
      <c r="I12" s="541" t="n"/>
      <c r="J12" s="541" t="n"/>
      <c r="K12" s="541" t="n"/>
      <c r="L12" s="541" t="n"/>
      <c r="M12" s="541" t="n"/>
      <c r="N12" s="541" t="n"/>
    </row>
    <row r="13" ht="15.75" customHeight="1" s="500">
      <c r="A13" s="541" t="n"/>
      <c r="B13" s="521" t="inlineStr">
        <is>
          <t>BILAN LOCAL (en k£)</t>
        </is>
      </c>
      <c r="H13" s="541" t="n"/>
      <c r="I13" s="526" t="inlineStr">
        <is>
          <t>🔄  CONVERSION EN EUR (pour consolidation)</t>
        </is>
      </c>
      <c r="N13" s="541" t="n"/>
    </row>
    <row r="14">
      <c r="A14" s="541" t="n"/>
      <c r="B14" s="681" t="inlineStr">
        <is>
          <t>Poste IFRS</t>
        </is>
      </c>
      <c r="C14" s="682" t="inlineStr">
        <is>
          <t>Compte</t>
        </is>
      </c>
      <c r="D14" s="682" t="inlineStr">
        <is>
          <t>N (2025)</t>
        </is>
      </c>
      <c r="E14" s="682" t="inlineStr">
        <is>
          <t>N-1 (2024)</t>
        </is>
      </c>
      <c r="F14" s="682" t="inlineStr">
        <is>
          <t>Δ</t>
        </is>
      </c>
      <c r="G14" s="684" t="inlineStr">
        <is>
          <t>Note</t>
        </is>
      </c>
      <c r="H14" s="541" t="n"/>
      <c r="I14" s="543" t="inlineStr">
        <is>
          <t>Poste</t>
        </is>
      </c>
      <c r="J14" s="543" t="inlineStr">
        <is>
          <t>Taux utilisé</t>
        </is>
      </c>
      <c r="K14" s="543" t="inlineStr">
        <is>
          <t>Local</t>
        </is>
      </c>
      <c r="L14" s="543" t="inlineStr">
        <is>
          <t>Converti EUR</t>
        </is>
      </c>
      <c r="M14" s="543" t="inlineStr">
        <is>
          <t>Méthode</t>
        </is>
      </c>
      <c r="N14" s="541" t="n"/>
    </row>
    <row r="15">
      <c r="A15" s="541" t="n"/>
      <c r="B15" s="738" t="inlineStr">
        <is>
          <t>ACTIFS NON COURANTS</t>
        </is>
      </c>
      <c r="C15" s="739" t="n"/>
      <c r="D15" s="739" t="n"/>
      <c r="E15" s="739" t="n"/>
      <c r="F15" s="739" t="n"/>
      <c r="G15" s="740" t="n"/>
      <c r="H15" s="541" t="n"/>
      <c r="I15" s="38" t="inlineStr">
        <is>
          <t>Actifs/Passifs</t>
        </is>
      </c>
      <c r="J15" s="38" t="inlineStr">
        <is>
          <t>Taux clôture</t>
        </is>
      </c>
      <c r="K15" s="38" t="n">
        <v>1</v>
      </c>
      <c r="L15" s="38" t="n">
        <v>1.165</v>
      </c>
      <c r="M15" s="38" t="inlineStr">
        <is>
          <t>IAS 21 §23</t>
        </is>
      </c>
      <c r="N15" s="541" t="n"/>
    </row>
    <row r="16">
      <c r="A16" s="541" t="n"/>
      <c r="B16" s="741" t="inlineStr">
        <is>
          <t>Immobilisations incorporelles</t>
        </is>
      </c>
      <c r="C16" s="742" t="inlineStr">
        <is>
          <t>21xx</t>
        </is>
      </c>
      <c r="D16" s="1004" t="n">
        <v>45000</v>
      </c>
      <c r="E16" s="1004" t="n">
        <v>41000</v>
      </c>
      <c r="F16" s="1004">
        <f>D16-E16</f>
        <v/>
      </c>
      <c r="G16" s="743" t="n"/>
      <c r="H16" s="541" t="n"/>
      <c r="I16" s="38" t="inlineStr">
        <is>
          <t>P&amp;L / Charges</t>
        </is>
      </c>
      <c r="J16" s="38" t="inlineStr">
        <is>
          <t>Taux moyen</t>
        </is>
      </c>
      <c r="K16" s="38" t="n">
        <v>1</v>
      </c>
      <c r="L16" s="38" t="n">
        <v>1.152</v>
      </c>
      <c r="M16" s="38" t="inlineStr">
        <is>
          <t>IAS 21 §39</t>
        </is>
      </c>
      <c r="N16" s="541" t="n"/>
    </row>
    <row r="17">
      <c r="A17" s="541" t="n"/>
      <c r="B17" s="688" t="inlineStr">
        <is>
          <t>Immobilisations corporelles (PP&amp;E)</t>
        </is>
      </c>
      <c r="C17" s="689" t="inlineStr">
        <is>
          <t>22xx</t>
        </is>
      </c>
      <c r="D17" s="1005" t="n">
        <v>68000</v>
      </c>
      <c r="E17" s="1005" t="n">
        <v>65000</v>
      </c>
      <c r="F17" s="1005">
        <f>D17-E17</f>
        <v/>
      </c>
      <c r="G17" s="744" t="n"/>
      <c r="H17" s="541" t="n"/>
      <c r="I17" s="38" t="inlineStr">
        <is>
          <t>Capitaux propres</t>
        </is>
      </c>
      <c r="J17" s="38" t="inlineStr">
        <is>
          <t>Taux historique</t>
        </is>
      </c>
      <c r="K17" s="38" t="n">
        <v>1</v>
      </c>
      <c r="L17" s="38" t="n">
        <v>1</v>
      </c>
      <c r="M17" s="38" t="inlineStr">
        <is>
          <t>IAS 21 §39</t>
        </is>
      </c>
      <c r="N17" s="541" t="n"/>
    </row>
    <row r="18">
      <c r="A18" s="541" t="n"/>
      <c r="B18" s="748" t="inlineStr">
        <is>
          <t>Impôts différés actifs &amp; autres</t>
        </is>
      </c>
      <c r="C18" s="749" t="inlineStr">
        <is>
          <t>274x</t>
        </is>
      </c>
      <c r="D18" s="1006" t="n">
        <v>5200</v>
      </c>
      <c r="E18" s="1006" t="n">
        <v>4800</v>
      </c>
      <c r="F18" s="1006">
        <f>D18-E18</f>
        <v/>
      </c>
      <c r="G18" s="750" t="n"/>
      <c r="H18" s="541" t="n"/>
      <c r="I18" s="39" t="inlineStr">
        <is>
          <t>Écart de conversion</t>
        </is>
      </c>
      <c r="J18" s="39" t="inlineStr">
        <is>
          <t>Différence</t>
        </is>
      </c>
      <c r="K18" s="39" t="n"/>
      <c r="L18" s="39" t="n"/>
      <c r="M18" s="39" t="inlineStr">
        <is>
          <t>OCI (IAS 21)</t>
        </is>
      </c>
      <c r="N18" s="541" t="n"/>
    </row>
    <row r="19" ht="15.75" customHeight="1" s="500" thickBot="1">
      <c r="A19" s="541" t="n"/>
      <c r="B19" s="754" t="inlineStr">
        <is>
          <t>TOTAL ACTIFS NON COURANTS</t>
        </is>
      </c>
      <c r="C19" s="755" t="n"/>
      <c r="D19" s="1007">
        <f>SUM(D16:D18)</f>
        <v/>
      </c>
      <c r="E19" s="1007">
        <f>SUM(E16:E18)</f>
        <v/>
      </c>
      <c r="F19" s="1007">
        <f>D19-E19</f>
        <v/>
      </c>
      <c r="G19" s="756" t="n"/>
      <c r="H19" s="541" t="n"/>
      <c r="I19" s="541" t="n"/>
      <c r="J19" s="541" t="n"/>
      <c r="K19" s="541" t="n"/>
      <c r="L19" s="541" t="n"/>
      <c r="M19" s="541" t="n"/>
      <c r="N19" s="541" t="n"/>
    </row>
    <row r="20">
      <c r="A20" s="541" t="n"/>
      <c r="B20" s="751" t="inlineStr">
        <is>
          <t>ACTIFS COURANTS</t>
        </is>
      </c>
      <c r="C20" s="752" t="n"/>
      <c r="D20" s="1008" t="n"/>
      <c r="E20" s="1008" t="n"/>
      <c r="F20" s="1008" t="n"/>
      <c r="G20" s="753" t="n"/>
      <c r="H20" s="541" t="n"/>
      <c r="I20" s="541" t="n"/>
      <c r="J20" s="541" t="n"/>
      <c r="K20" s="541" t="n"/>
      <c r="L20" s="541" t="n"/>
      <c r="M20" s="541" t="n"/>
      <c r="N20" s="541" t="n"/>
    </row>
    <row r="21">
      <c r="A21" s="541" t="n"/>
      <c r="B21" s="741" t="inlineStr">
        <is>
          <t>Stocks</t>
        </is>
      </c>
      <c r="C21" s="742" t="inlineStr">
        <is>
          <t>31xx</t>
        </is>
      </c>
      <c r="D21" s="1004" t="n">
        <v>18000</v>
      </c>
      <c r="E21" s="1004" t="n">
        <v>16500</v>
      </c>
      <c r="F21" s="1004">
        <f>D21-E21</f>
        <v/>
      </c>
      <c r="G21" s="743" t="n"/>
      <c r="H21" s="541" t="n"/>
      <c r="I21" s="541" t="n"/>
      <c r="J21" s="541" t="n"/>
      <c r="K21" s="541" t="n"/>
      <c r="L21" s="541" t="n"/>
      <c r="M21" s="541" t="n"/>
      <c r="N21" s="541" t="n"/>
    </row>
    <row r="22">
      <c r="A22" s="541" t="n"/>
      <c r="B22" s="688" t="inlineStr">
        <is>
          <t>Créances clients</t>
        </is>
      </c>
      <c r="C22" s="689" t="inlineStr">
        <is>
          <t>411x</t>
        </is>
      </c>
      <c r="D22" s="1005" t="n">
        <v>52000</v>
      </c>
      <c r="E22" s="1005" t="n">
        <v>47000</v>
      </c>
      <c r="F22" s="1005">
        <f>D22-E22</f>
        <v/>
      </c>
      <c r="G22" s="744" t="n"/>
      <c r="H22" s="541" t="n"/>
      <c r="I22" s="541" t="n"/>
      <c r="J22" s="541" t="n"/>
      <c r="K22" s="541" t="n"/>
      <c r="L22" s="541" t="n"/>
      <c r="M22" s="541" t="n"/>
      <c r="N22" s="541" t="n"/>
    </row>
    <row r="23">
      <c r="A23" s="541" t="n"/>
      <c r="B23" s="698" t="inlineStr">
        <is>
          <t>Créances interco</t>
        </is>
      </c>
      <c r="C23" s="745" t="inlineStr">
        <is>
          <t>451x</t>
        </is>
      </c>
      <c r="D23" s="1009" t="n">
        <v>18000</v>
      </c>
      <c r="E23" s="1009" t="n">
        <v>14200</v>
      </c>
      <c r="F23" s="1009">
        <f>D23-E23</f>
        <v/>
      </c>
      <c r="G23" s="746" t="inlineStr">
        <is>
          <t>⚠️ ELIM</t>
        </is>
      </c>
      <c r="H23" s="541" t="n"/>
      <c r="I23" s="541" t="n"/>
      <c r="J23" s="541" t="n"/>
      <c r="K23" s="541" t="n"/>
      <c r="L23" s="541" t="n"/>
      <c r="M23" s="541" t="n"/>
      <c r="N23" s="541" t="n"/>
    </row>
    <row r="24">
      <c r="A24" s="541" t="n"/>
      <c r="B24" s="748" t="inlineStr">
        <is>
          <t>Trésorerie</t>
        </is>
      </c>
      <c r="C24" s="749" t="inlineStr">
        <is>
          <t>512x</t>
        </is>
      </c>
      <c r="D24" s="1006" t="n">
        <v>38000</v>
      </c>
      <c r="E24" s="1006" t="n">
        <v>32000</v>
      </c>
      <c r="F24" s="1006">
        <f>D24-E24</f>
        <v/>
      </c>
      <c r="G24" s="750" t="n"/>
      <c r="H24" s="541" t="n"/>
      <c r="I24" s="541" t="n"/>
      <c r="J24" s="541" t="n"/>
      <c r="K24" s="541" t="n"/>
      <c r="L24" s="541" t="n"/>
      <c r="M24" s="541" t="n"/>
      <c r="N24" s="541" t="n"/>
    </row>
    <row r="25" ht="15.75" customHeight="1" s="500" thickBot="1">
      <c r="A25" s="541" t="n"/>
      <c r="B25" s="757" t="inlineStr">
        <is>
          <t>TOTAL ACTIFS COURANTS</t>
        </is>
      </c>
      <c r="C25" s="758" t="n"/>
      <c r="D25" s="1010">
        <f>SUM(D21:D24)</f>
        <v/>
      </c>
      <c r="E25" s="1010">
        <f>SUM(E21:E24)</f>
        <v/>
      </c>
      <c r="F25" s="1010">
        <f>D25-E25</f>
        <v/>
      </c>
      <c r="G25" s="759" t="n"/>
      <c r="H25" s="541" t="n"/>
      <c r="I25" s="541" t="n"/>
      <c r="J25" s="541" t="n"/>
      <c r="K25" s="541" t="n"/>
      <c r="L25" s="541" t="n"/>
      <c r="M25" s="541" t="n"/>
      <c r="N25" s="541" t="n"/>
    </row>
    <row r="26" ht="15.75" customHeight="1" s="500" thickBot="1">
      <c r="A26" s="541" t="n"/>
      <c r="B26" s="760" t="inlineStr">
        <is>
          <t>TOTAL ACTIF</t>
        </is>
      </c>
      <c r="C26" s="761" t="n"/>
      <c r="D26" s="1011">
        <f>D19+D25</f>
        <v/>
      </c>
      <c r="E26" s="1011">
        <f>E19+E25</f>
        <v/>
      </c>
      <c r="F26" s="1011">
        <f>D26-E26</f>
        <v/>
      </c>
      <c r="G26" s="762" t="inlineStr">
        <is>
          <t>✔</t>
        </is>
      </c>
      <c r="H26" s="541" t="n"/>
      <c r="I26" s="541" t="n"/>
      <c r="J26" s="541" t="n"/>
      <c r="K26" s="541" t="n"/>
      <c r="L26" s="541" t="n"/>
      <c r="M26" s="541" t="n"/>
      <c r="N26" s="541" t="n"/>
    </row>
    <row r="27">
      <c r="A27" s="541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1" t="n"/>
      <c r="M27" s="541" t="n"/>
      <c r="N27" s="541" t="n"/>
    </row>
    <row r="28">
      <c r="A28" s="541" t="n"/>
      <c r="B28" s="525" t="inlineStr">
        <is>
          <t>COMPTE DE RÉSULTAT LOCAL – IFRS 18 (k monnaie locale)</t>
        </is>
      </c>
      <c r="H28" s="541" t="n"/>
      <c r="I28" s="541" t="n"/>
      <c r="J28" s="541" t="n"/>
      <c r="K28" s="541" t="n"/>
      <c r="L28" s="541" t="n"/>
      <c r="M28" s="541" t="n"/>
      <c r="N28" s="541" t="n"/>
    </row>
    <row r="29">
      <c r="A29" s="541" t="n"/>
      <c r="B29" s="681" t="inlineStr">
        <is>
          <t>Poste</t>
        </is>
      </c>
      <c r="C29" s="682" t="inlineStr">
        <is>
          <t>Cat. IFRS 18</t>
        </is>
      </c>
      <c r="D29" s="682" t="inlineStr">
        <is>
          <t>N (2025)</t>
        </is>
      </c>
      <c r="E29" s="682" t="inlineStr">
        <is>
          <t>N-1 (2024)</t>
        </is>
      </c>
      <c r="F29" s="682" t="inlineStr">
        <is>
          <t>Δ %</t>
        </is>
      </c>
      <c r="G29" s="684" t="inlineStr">
        <is>
          <t>Note</t>
        </is>
      </c>
      <c r="H29" s="541" t="n"/>
      <c r="I29" s="541" t="n"/>
      <c r="J29" s="541" t="n"/>
      <c r="K29" s="541" t="n"/>
      <c r="L29" s="541" t="n"/>
      <c r="M29" s="541" t="n"/>
      <c r="N29" s="541" t="n"/>
    </row>
    <row r="30">
      <c r="A30" s="541" t="n"/>
      <c r="B30" s="741" t="inlineStr">
        <is>
          <t>Chiffre d'affaires</t>
        </is>
      </c>
      <c r="C30" s="742" t="inlineStr">
        <is>
          <t>Opérationnel</t>
        </is>
      </c>
      <c r="D30" s="1004" t="n">
        <v>142000</v>
      </c>
      <c r="E30" s="1004" t="n">
        <v>128000</v>
      </c>
      <c r="F30" s="878">
        <f>IFERROR((D30-E30)/ABS(E30),"")</f>
        <v/>
      </c>
      <c r="G30" s="743" t="inlineStr">
        <is>
          <t>IFRS 15</t>
        </is>
      </c>
      <c r="H30" s="541" t="n"/>
      <c r="I30" s="541" t="n"/>
      <c r="J30" s="541" t="n"/>
      <c r="K30" s="541" t="n"/>
      <c r="L30" s="541" t="n"/>
      <c r="M30" s="541" t="n"/>
      <c r="N30" s="541" t="n"/>
    </row>
    <row r="31">
      <c r="A31" s="541" t="n"/>
      <c r="B31" s="688" t="inlineStr">
        <is>
          <t>Achats &amp; charges opérat.</t>
        </is>
      </c>
      <c r="C31" s="689" t="inlineStr">
        <is>
          <t>Opérationnel</t>
        </is>
      </c>
      <c r="D31" s="1005" t="n">
        <v>-106800</v>
      </c>
      <c r="E31" s="1005" t="n">
        <v>-98600</v>
      </c>
      <c r="F31" s="879">
        <f>IFERROR((D31-E31)/ABS(E31),"")</f>
        <v/>
      </c>
      <c r="G31" s="744" t="n"/>
      <c r="H31" s="541" t="n"/>
      <c r="I31" s="541" t="n"/>
      <c r="J31" s="541" t="n"/>
      <c r="K31" s="541" t="n"/>
      <c r="L31" s="541" t="n"/>
      <c r="M31" s="541" t="n"/>
      <c r="N31" s="541" t="n"/>
    </row>
    <row r="32">
      <c r="A32" s="541" t="n"/>
      <c r="B32" s="741" t="inlineStr">
        <is>
          <t>Charges de personnel</t>
        </is>
      </c>
      <c r="C32" s="742" t="inlineStr">
        <is>
          <t>Opérationnel</t>
        </is>
      </c>
      <c r="D32" s="1004" t="n">
        <v>-31240</v>
      </c>
      <c r="E32" s="1004" t="n">
        <v>-28160</v>
      </c>
      <c r="F32" s="878">
        <f>IFERROR((D32-E32)/ABS(E32),"")</f>
        <v/>
      </c>
      <c r="G32" s="743" t="n"/>
      <c r="H32" s="541" t="n"/>
      <c r="I32" s="541" t="n"/>
      <c r="J32" s="541" t="n"/>
      <c r="K32" s="541" t="n"/>
      <c r="L32" s="541" t="n"/>
      <c r="M32" s="541" t="n"/>
      <c r="N32" s="541" t="n"/>
    </row>
    <row r="33">
      <c r="A33" s="541" t="n"/>
      <c r="B33" s="705" t="inlineStr">
        <is>
          <t>Amortissements</t>
        </is>
      </c>
      <c r="C33" s="706" t="inlineStr">
        <is>
          <t>Opérationnel</t>
        </is>
      </c>
      <c r="D33" s="1012" t="n">
        <v>-7100</v>
      </c>
      <c r="E33" s="1012" t="n">
        <v>-6400</v>
      </c>
      <c r="F33" s="880">
        <f>IFERROR((D33-E33)/ABS(E33),"")</f>
        <v/>
      </c>
      <c r="G33" s="763" t="n"/>
      <c r="H33" s="541" t="n"/>
      <c r="I33" s="541" t="n"/>
      <c r="J33" s="541" t="n"/>
      <c r="K33" s="541" t="n"/>
      <c r="L33" s="541" t="n"/>
      <c r="M33" s="541" t="n"/>
      <c r="N33" s="541" t="n"/>
    </row>
    <row r="34" ht="15.75" customHeight="1" s="500" thickBot="1">
      <c r="A34" s="541" t="n"/>
      <c r="B34" s="754" t="inlineStr">
        <is>
          <t>RÉSULTAT OPÉRATIONNEL (EBIT)</t>
        </is>
      </c>
      <c r="C34" s="755" t="inlineStr">
        <is>
          <t>Opérationnel</t>
        </is>
      </c>
      <c r="D34" s="1007">
        <f>SUM(D30:D33)</f>
        <v/>
      </c>
      <c r="E34" s="1007">
        <f>SUM(E30:E33)</f>
        <v/>
      </c>
      <c r="F34" s="881">
        <f>IFERROR((D34-E34)/ABS(E34),"")</f>
        <v/>
      </c>
      <c r="G34" s="756" t="inlineStr">
        <is>
          <t>🔑</t>
        </is>
      </c>
      <c r="H34" s="541" t="n"/>
      <c r="I34" s="541" t="n"/>
      <c r="J34" s="541" t="n"/>
      <c r="K34" s="541" t="n"/>
      <c r="L34" s="541" t="n"/>
      <c r="M34" s="541" t="n"/>
      <c r="N34" s="541" t="n"/>
    </row>
    <row r="35">
      <c r="A35" s="541" t="n"/>
      <c r="B35" s="764" t="inlineStr">
        <is>
          <t>Produits financiers</t>
        </is>
      </c>
      <c r="C35" s="765" t="inlineStr">
        <is>
          <t>Investissement</t>
        </is>
      </c>
      <c r="D35" s="1013" t="n">
        <v>710</v>
      </c>
      <c r="E35" s="1013" t="n">
        <v>512</v>
      </c>
      <c r="F35" s="883">
        <f>IFERROR((D35-E35)/ABS(E35),"")</f>
        <v/>
      </c>
      <c r="G35" s="766" t="inlineStr">
        <is>
          <t>IFRS 18</t>
        </is>
      </c>
      <c r="H35" s="541" t="n"/>
      <c r="I35" s="541" t="n"/>
      <c r="J35" s="541" t="n"/>
      <c r="K35" s="541" t="n"/>
      <c r="L35" s="541" t="n"/>
      <c r="M35" s="541" t="n"/>
      <c r="N35" s="541" t="n"/>
    </row>
    <row r="36">
      <c r="A36" s="541" t="n"/>
      <c r="B36" s="688" t="inlineStr">
        <is>
          <t>Charges d'intérêts</t>
        </is>
      </c>
      <c r="C36" s="689" t="inlineStr">
        <is>
          <t>Financement</t>
        </is>
      </c>
      <c r="D36" s="1005" t="n">
        <v>-3124</v>
      </c>
      <c r="E36" s="1005" t="n">
        <v>-3200</v>
      </c>
      <c r="F36" s="879">
        <f>IFERROR((D36-E36)/ABS(E36),"")</f>
        <v/>
      </c>
      <c r="G36" s="744" t="inlineStr">
        <is>
          <t>IFRS 18</t>
        </is>
      </c>
      <c r="H36" s="541" t="n"/>
      <c r="I36" s="541" t="n"/>
      <c r="J36" s="541" t="n"/>
      <c r="K36" s="541" t="n"/>
      <c r="L36" s="541" t="n"/>
      <c r="M36" s="541" t="n"/>
      <c r="N36" s="541" t="n"/>
    </row>
    <row r="37">
      <c r="A37" s="541" t="n"/>
      <c r="B37" s="748" t="inlineStr">
        <is>
          <t>Charge d'impôt (IS)</t>
        </is>
      </c>
      <c r="C37" s="749" t="inlineStr">
        <is>
          <t>Impôts</t>
        </is>
      </c>
      <c r="D37" s="1006" t="n">
        <v>-7550</v>
      </c>
      <c r="E37" s="1006" t="n">
        <v>-6350</v>
      </c>
      <c r="F37" s="884">
        <f>IFERROR((D37-E37)/ABS(E37),"")</f>
        <v/>
      </c>
      <c r="G37" s="750" t="inlineStr">
        <is>
          <t>IAS 12</t>
        </is>
      </c>
      <c r="H37" s="541" t="n"/>
      <c r="I37" s="541" t="n"/>
      <c r="J37" s="541" t="n"/>
      <c r="K37" s="541" t="n"/>
      <c r="L37" s="541" t="n"/>
      <c r="M37" s="541" t="n"/>
      <c r="N37" s="541" t="n"/>
    </row>
    <row r="38" ht="15.75" customHeight="1" s="500" thickBot="1">
      <c r="A38" s="541" t="n"/>
      <c r="B38" s="768" t="inlineStr">
        <is>
          <t>RÉSULTAT NET</t>
        </is>
      </c>
      <c r="C38" s="769" t="n"/>
      <c r="D38" s="1014">
        <f>D34+D35+D36+D37</f>
        <v/>
      </c>
      <c r="E38" s="1014">
        <f>E34+E35+E36+E37</f>
        <v/>
      </c>
      <c r="F38" s="886">
        <f>IFERROR((D38-E38)/ABS(E38),"")</f>
        <v/>
      </c>
      <c r="G38" s="770" t="inlineStr">
        <is>
          <t>🏆</t>
        </is>
      </c>
      <c r="H38" s="541" t="n"/>
      <c r="I38" s="541" t="n"/>
      <c r="J38" s="541" t="n"/>
      <c r="K38" s="541" t="n"/>
      <c r="L38" s="541" t="n"/>
      <c r="M38" s="541" t="n"/>
      <c r="N38" s="541" t="n"/>
    </row>
    <row r="39">
      <c r="A39" s="541" t="n"/>
      <c r="B39" s="541" t="n"/>
      <c r="C39" s="541" t="n"/>
      <c r="D39" s="541" t="n"/>
      <c r="E39" s="541" t="n"/>
      <c r="F39" s="541" t="n"/>
      <c r="G39" s="541" t="n"/>
      <c r="H39" s="541" t="n"/>
      <c r="I39" s="541" t="n"/>
      <c r="J39" s="541" t="n"/>
      <c r="K39" s="541" t="n"/>
      <c r="L39" s="541" t="n"/>
      <c r="M39" s="541" t="n"/>
      <c r="N39" s="541" t="n"/>
    </row>
    <row r="40">
      <c r="A40" s="541" t="n"/>
      <c r="B40" s="541" t="n"/>
      <c r="C40" s="541" t="n"/>
      <c r="D40" s="541" t="n"/>
      <c r="E40" s="541" t="n"/>
      <c r="F40" s="541" t="n"/>
      <c r="G40" s="541" t="n"/>
      <c r="H40" s="541" t="n"/>
      <c r="I40" s="541" t="n"/>
      <c r="J40" s="541" t="n"/>
      <c r="K40" s="541" t="n"/>
      <c r="L40" s="541" t="n"/>
      <c r="M40" s="541" t="n"/>
      <c r="N40" s="541" t="n"/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  <c r="I41" s="541" t="n"/>
      <c r="J41" s="541" t="n"/>
      <c r="K41" s="541" t="n"/>
      <c r="L41" s="541" t="n"/>
      <c r="M41" s="541" t="n"/>
      <c r="N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  <c r="I42" s="541" t="n"/>
      <c r="J42" s="541" t="n"/>
      <c r="K42" s="541" t="n"/>
      <c r="L42" s="541" t="n"/>
      <c r="M42" s="541" t="n"/>
      <c r="N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  <c r="I43" s="541" t="n"/>
      <c r="J43" s="541" t="n"/>
      <c r="K43" s="541" t="n"/>
      <c r="L43" s="541" t="n"/>
      <c r="M43" s="541" t="n"/>
      <c r="N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  <c r="I45" s="541" t="n"/>
      <c r="J45" s="541" t="n"/>
      <c r="K45" s="541" t="n"/>
      <c r="L45" s="541" t="n"/>
      <c r="M45" s="541" t="n"/>
      <c r="N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  <c r="I46" s="541" t="n"/>
      <c r="J46" s="541" t="n"/>
      <c r="K46" s="541" t="n"/>
      <c r="L46" s="541" t="n"/>
      <c r="M46" s="541" t="n"/>
      <c r="N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  <c r="I47" s="541" t="n"/>
      <c r="J47" s="541" t="n"/>
      <c r="K47" s="541" t="n"/>
      <c r="L47" s="541" t="n"/>
      <c r="M47" s="541" t="n"/>
      <c r="N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  <c r="I48" s="541" t="n"/>
      <c r="J48" s="541" t="n"/>
      <c r="K48" s="541" t="n"/>
      <c r="L48" s="541" t="n"/>
      <c r="M48" s="541" t="n"/>
      <c r="N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  <c r="I50" s="541" t="n"/>
      <c r="J50" s="541" t="n"/>
      <c r="K50" s="541" t="n"/>
      <c r="L50" s="541" t="n"/>
      <c r="M50" s="541" t="n"/>
      <c r="N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  <c r="I51" s="541" t="n"/>
      <c r="J51" s="541" t="n"/>
      <c r="K51" s="541" t="n"/>
      <c r="L51" s="541" t="n"/>
      <c r="M51" s="541" t="n"/>
      <c r="N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  <c r="I52" s="541" t="n"/>
      <c r="J52" s="541" t="n"/>
      <c r="K52" s="541" t="n"/>
      <c r="L52" s="541" t="n"/>
      <c r="M52" s="541" t="n"/>
      <c r="N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  <c r="I53" s="541" t="n"/>
      <c r="J53" s="541" t="n"/>
      <c r="K53" s="541" t="n"/>
      <c r="L53" s="541" t="n"/>
      <c r="M53" s="541" t="n"/>
      <c r="N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  <c r="I54" s="541" t="n"/>
      <c r="J54" s="541" t="n"/>
      <c r="K54" s="541" t="n"/>
      <c r="L54" s="541" t="n"/>
      <c r="M54" s="541" t="n"/>
      <c r="N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  <c r="I55" s="541" t="n"/>
      <c r="J55" s="541" t="n"/>
      <c r="K55" s="541" t="n"/>
      <c r="L55" s="541" t="n"/>
      <c r="M55" s="541" t="n"/>
      <c r="N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  <c r="I56" s="541" t="n"/>
      <c r="J56" s="541" t="n"/>
      <c r="K56" s="541" t="n"/>
      <c r="L56" s="541" t="n"/>
      <c r="M56" s="541" t="n"/>
      <c r="N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  <c r="I58" s="541" t="n"/>
      <c r="J58" s="541" t="n"/>
      <c r="K58" s="541" t="n"/>
      <c r="L58" s="541" t="n"/>
      <c r="M58" s="541" t="n"/>
      <c r="N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  <c r="I59" s="541" t="n"/>
      <c r="J59" s="541" t="n"/>
      <c r="K59" s="541" t="n"/>
      <c r="L59" s="541" t="n"/>
      <c r="M59" s="541" t="n"/>
      <c r="N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  <c r="I60" s="541" t="n"/>
      <c r="J60" s="541" t="n"/>
      <c r="K60" s="541" t="n"/>
      <c r="L60" s="541" t="n"/>
      <c r="M60" s="541" t="n"/>
      <c r="N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  <c r="I61" s="541" t="n"/>
      <c r="J61" s="541" t="n"/>
      <c r="K61" s="541" t="n"/>
      <c r="L61" s="541" t="n"/>
      <c r="M61" s="541" t="n"/>
      <c r="N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  <c r="I62" s="541" t="n"/>
      <c r="J62" s="541" t="n"/>
      <c r="K62" s="541" t="n"/>
      <c r="L62" s="541" t="n"/>
      <c r="M62" s="541" t="n"/>
      <c r="N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  <c r="I63" s="541" t="n"/>
      <c r="J63" s="541" t="n"/>
      <c r="K63" s="541" t="n"/>
      <c r="L63" s="541" t="n"/>
      <c r="M63" s="541" t="n"/>
      <c r="N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</row>
  </sheetData>
  <mergeCells count="5">
    <mergeCell ref="B28:G28"/>
    <mergeCell ref="B4:E4"/>
    <mergeCell ref="I13:M13"/>
    <mergeCell ref="B13:G13"/>
    <mergeCell ref="B2:N2"/>
  </mergeCells>
  <conditionalFormatting sqref="F16:F26">
    <cfRule type="cellIs" priority="5" operator="greaterThan" dxfId="0">
      <formula>0</formula>
    </cfRule>
    <cfRule type="cellIs" priority="6" operator="lessThan" dxfId="16">
      <formula>0</formula>
    </cfRule>
  </conditionalFormatting>
  <conditionalFormatting sqref="F30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F34">
    <cfRule type="cellIs" priority="3" operator="greaterThan" dxfId="5">
      <formula>0</formula>
    </cfRule>
    <cfRule type="cellIs" priority="4" operator="lessThan" dxfId="3">
      <formula>0</formula>
    </cfRule>
  </conditionalFormatting>
  <conditionalFormatting sqref="F30:F38">
    <cfRule type="cellIs" priority="7" operator="lessThan" dxfId="16">
      <formula>0</formula>
    </cfRule>
    <cfRule type="cellIs" priority="8" operator="greaterThanOrEqual" dxfId="0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27AE60"/>
    <outlinePr summaryBelow="1" summaryRight="1"/>
    <pageSetUpPr/>
  </sheetPr>
  <dimension ref="A1:N70"/>
  <sheetViews>
    <sheetView showGridLines="0" workbookViewId="0">
      <selection activeCell="C7" sqref="C7"/>
    </sheetView>
  </sheetViews>
  <sheetFormatPr baseColWidth="10" defaultRowHeight="15"/>
  <cols>
    <col width="3.85546875" customWidth="1" style="500" min="1" max="1"/>
    <col width="43.85546875" customWidth="1" style="500" min="2" max="2"/>
    <col width="16.140625" customWidth="1" style="500" min="3" max="6"/>
    <col width="13.28515625" customWidth="1" style="500" min="7" max="7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</row>
    <row r="2" ht="17.25" customHeight="1" s="500">
      <c r="A2" s="541" t="n"/>
      <c r="B2" s="523" t="inlineStr">
        <is>
          <t>🇺🇸  US_Filiale – FILIALE ÉTATS-UNIS · Exercice 2025-2026 (USD)</t>
        </is>
      </c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</row>
    <row r="4">
      <c r="A4" s="541" t="n"/>
      <c r="B4" s="524" t="inlineStr">
        <is>
          <t>⚙️  PARAMÈTRES ENTITÉ</t>
        </is>
      </c>
      <c r="F4" s="541" t="n"/>
      <c r="G4" s="541" t="n"/>
      <c r="H4" s="541" t="n"/>
      <c r="I4" s="541" t="n"/>
      <c r="J4" s="541" t="n"/>
      <c r="K4" s="541" t="n"/>
      <c r="L4" s="541" t="n"/>
      <c r="M4" s="541" t="n"/>
      <c r="N4" s="541" t="n"/>
    </row>
    <row r="5">
      <c r="A5" s="541" t="n"/>
      <c r="B5" s="540" t="inlineStr">
        <is>
          <t>Entité :</t>
        </is>
      </c>
      <c r="C5" s="540" t="inlineStr">
        <is>
          <t>US_Filiale</t>
        </is>
      </c>
      <c r="D5" s="541" t="n"/>
      <c r="E5" s="541" t="n"/>
      <c r="F5" s="541" t="n"/>
      <c r="G5" s="541" t="n"/>
      <c r="H5" s="541" t="n"/>
      <c r="I5" s="541" t="n"/>
      <c r="J5" s="541" t="n"/>
      <c r="K5" s="541" t="n"/>
      <c r="L5" s="541" t="n"/>
      <c r="M5" s="541" t="n"/>
      <c r="N5" s="541" t="n"/>
    </row>
    <row r="6">
      <c r="A6" s="541" t="n"/>
      <c r="B6" s="540" t="inlineStr">
        <is>
          <t>Pays / Devise :</t>
        </is>
      </c>
      <c r="C6" s="540" t="inlineStr">
        <is>
          <t>États-Unis · USD ($) → Taux clôt. 0.9180 EUR/USD</t>
        </is>
      </c>
      <c r="D6" s="541" t="n"/>
      <c r="E6" s="541" t="n"/>
      <c r="F6" s="541" t="n"/>
      <c r="G6" s="541" t="n"/>
      <c r="H6" s="541" t="n"/>
      <c r="I6" s="541" t="n"/>
      <c r="J6" s="541" t="n"/>
      <c r="K6" s="541" t="n"/>
      <c r="L6" s="541" t="n"/>
      <c r="M6" s="541" t="n"/>
      <c r="N6" s="541" t="n"/>
    </row>
    <row r="7">
      <c r="A7" s="541" t="n"/>
      <c r="B7" s="540" t="inlineStr">
        <is>
          <t>% Détention :</t>
        </is>
      </c>
      <c r="C7" s="37" t="n">
        <v>0.75</v>
      </c>
      <c r="D7" s="541" t="n"/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</row>
    <row r="8">
      <c r="A8" s="541" t="n"/>
      <c r="B8" s="540" t="inlineStr">
        <is>
          <t>Méthode :</t>
        </is>
      </c>
      <c r="C8" s="540" t="inlineStr">
        <is>
          <t>Intégration Globale</t>
        </is>
      </c>
      <c r="D8" s="541" t="n"/>
      <c r="E8" s="541" t="n"/>
      <c r="F8" s="541" t="n"/>
      <c r="G8" s="541" t="n"/>
      <c r="H8" s="541" t="n"/>
      <c r="I8" s="541" t="n"/>
      <c r="J8" s="541" t="n"/>
      <c r="K8" s="541" t="n"/>
      <c r="L8" s="541" t="n"/>
      <c r="M8" s="541" t="n"/>
      <c r="N8" s="541" t="n"/>
    </row>
    <row r="9">
      <c r="A9" s="541" t="n"/>
      <c r="B9" s="540" t="inlineStr">
        <is>
          <t>Taux de clôture :</t>
        </is>
      </c>
      <c r="C9" s="540" t="inlineStr">
        <is>
          <t>0.9180 (USD/EUR)</t>
        </is>
      </c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</row>
    <row r="10">
      <c r="A10" s="541" t="n"/>
      <c r="B10" s="540" t="inlineStr">
        <is>
          <t>Taux moyen :</t>
        </is>
      </c>
      <c r="C10" s="540" t="inlineStr">
        <is>
          <t>0.9250 (USD/EUR)</t>
        </is>
      </c>
      <c r="D10" s="541" t="n"/>
      <c r="E10" s="541" t="n"/>
      <c r="F10" s="541" t="n"/>
      <c r="G10" s="541" t="n"/>
      <c r="H10" s="541" t="n"/>
      <c r="I10" s="541" t="n"/>
      <c r="J10" s="541" t="n"/>
      <c r="K10" s="541" t="n"/>
      <c r="L10" s="541" t="n"/>
      <c r="M10" s="541" t="n"/>
      <c r="N10" s="541" t="n"/>
    </row>
    <row r="11">
      <c r="A11" s="541" t="n"/>
      <c r="B11" s="540" t="inlineStr">
        <is>
          <t>Secteur :</t>
        </is>
      </c>
      <c r="C11" s="540" t="inlineStr">
        <is>
          <t>Distribution &amp; Retail</t>
        </is>
      </c>
      <c r="D11" s="541" t="n"/>
      <c r="E11" s="541" t="n"/>
      <c r="F11" s="541" t="n"/>
      <c r="G11" s="541" t="n"/>
      <c r="H11" s="541" t="n"/>
      <c r="I11" s="541" t="n"/>
      <c r="J11" s="541" t="n"/>
      <c r="K11" s="541" t="n"/>
      <c r="L11" s="541" t="n"/>
      <c r="M11" s="541" t="n"/>
      <c r="N11" s="541" t="n"/>
    </row>
    <row r="12">
      <c r="A12" s="541" t="n"/>
      <c r="B12" s="541" t="n"/>
      <c r="C12" s="541" t="n"/>
      <c r="D12" s="541" t="n"/>
      <c r="E12" s="541" t="n"/>
      <c r="F12" s="541" t="n"/>
      <c r="G12" s="541" t="n"/>
      <c r="H12" s="541" t="n"/>
      <c r="I12" s="541" t="n"/>
      <c r="J12" s="541" t="n"/>
      <c r="K12" s="541" t="n"/>
      <c r="L12" s="541" t="n"/>
      <c r="M12" s="541" t="n"/>
      <c r="N12" s="541" t="n"/>
    </row>
    <row r="13" ht="15.75" customHeight="1" s="500">
      <c r="A13" s="541" t="n"/>
      <c r="B13" s="521" t="inlineStr">
        <is>
          <t>BILAN LOCAL (en k$)</t>
        </is>
      </c>
      <c r="H13" s="541" t="n"/>
      <c r="I13" s="526" t="inlineStr">
        <is>
          <t>🔄  CONVERSION EN EUR (pour consolidation)</t>
        </is>
      </c>
      <c r="N13" s="541" t="n"/>
    </row>
    <row r="14">
      <c r="A14" s="541" t="n"/>
      <c r="B14" s="681" t="inlineStr">
        <is>
          <t>Poste IFRS</t>
        </is>
      </c>
      <c r="C14" s="682" t="inlineStr">
        <is>
          <t>Compte</t>
        </is>
      </c>
      <c r="D14" s="682" t="inlineStr">
        <is>
          <t>N (2025)</t>
        </is>
      </c>
      <c r="E14" s="682" t="inlineStr">
        <is>
          <t>N-1 (2024)</t>
        </is>
      </c>
      <c r="F14" s="682" t="inlineStr">
        <is>
          <t>Δ</t>
        </is>
      </c>
      <c r="G14" s="684" t="inlineStr">
        <is>
          <t>Note</t>
        </is>
      </c>
      <c r="H14" s="541" t="n"/>
      <c r="I14" s="543" t="inlineStr">
        <is>
          <t>Poste</t>
        </is>
      </c>
      <c r="J14" s="543" t="inlineStr">
        <is>
          <t>Taux utilisé</t>
        </is>
      </c>
      <c r="K14" s="543" t="inlineStr">
        <is>
          <t>Local</t>
        </is>
      </c>
      <c r="L14" s="543" t="inlineStr">
        <is>
          <t>Converti EUR</t>
        </is>
      </c>
      <c r="M14" s="543" t="inlineStr">
        <is>
          <t>Méthode</t>
        </is>
      </c>
      <c r="N14" s="541" t="n"/>
    </row>
    <row r="15">
      <c r="A15" s="541" t="n"/>
      <c r="B15" s="738" t="inlineStr">
        <is>
          <t>ACTIFS NON COURANTS</t>
        </is>
      </c>
      <c r="C15" s="739" t="n"/>
      <c r="D15" s="739" t="n"/>
      <c r="E15" s="739" t="n"/>
      <c r="F15" s="739" t="n"/>
      <c r="G15" s="740" t="n"/>
      <c r="H15" s="541" t="n"/>
      <c r="I15" s="38" t="inlineStr">
        <is>
          <t>Actifs/Passifs</t>
        </is>
      </c>
      <c r="J15" s="38" t="inlineStr">
        <is>
          <t>Taux clôture</t>
        </is>
      </c>
      <c r="K15" s="38" t="n">
        <v>1</v>
      </c>
      <c r="L15" s="38" t="n">
        <v>0.918</v>
      </c>
      <c r="M15" s="38" t="inlineStr">
        <is>
          <t>IAS 21 §23</t>
        </is>
      </c>
      <c r="N15" s="541" t="n"/>
    </row>
    <row r="16">
      <c r="A16" s="541" t="n"/>
      <c r="B16" s="741" t="inlineStr">
        <is>
          <t>Immobilisations incorporelles</t>
        </is>
      </c>
      <c r="C16" s="742" t="inlineStr">
        <is>
          <t>21xx</t>
        </is>
      </c>
      <c r="D16" s="1004" t="n">
        <v>12000</v>
      </c>
      <c r="E16" s="1004" t="n">
        <v>11500</v>
      </c>
      <c r="F16" s="1004">
        <f>D16-E16</f>
        <v/>
      </c>
      <c r="G16" s="743" t="n"/>
      <c r="H16" s="541" t="n"/>
      <c r="I16" s="38" t="inlineStr">
        <is>
          <t>P&amp;L / Charges</t>
        </is>
      </c>
      <c r="J16" s="38" t="inlineStr">
        <is>
          <t>Taux moyen</t>
        </is>
      </c>
      <c r="K16" s="38" t="n">
        <v>1</v>
      </c>
      <c r="L16" s="38" t="n">
        <v>0.925</v>
      </c>
      <c r="M16" s="38" t="inlineStr">
        <is>
          <t>IAS 21 §39</t>
        </is>
      </c>
      <c r="N16" s="541" t="n"/>
    </row>
    <row r="17">
      <c r="A17" s="541" t="n"/>
      <c r="B17" s="688" t="inlineStr">
        <is>
          <t>Immobilisations corporelles (PP&amp;E)</t>
        </is>
      </c>
      <c r="C17" s="689" t="inlineStr">
        <is>
          <t>22xx</t>
        </is>
      </c>
      <c r="D17" s="1005" t="n">
        <v>110000</v>
      </c>
      <c r="E17" s="1005" t="n">
        <v>105000</v>
      </c>
      <c r="F17" s="1005">
        <f>D17-E17</f>
        <v/>
      </c>
      <c r="G17" s="744" t="n"/>
      <c r="H17" s="541" t="n"/>
      <c r="I17" s="38" t="inlineStr">
        <is>
          <t>Capitaux propres</t>
        </is>
      </c>
      <c r="J17" s="38" t="inlineStr">
        <is>
          <t>Taux historique</t>
        </is>
      </c>
      <c r="K17" s="38" t="n">
        <v>1</v>
      </c>
      <c r="L17" s="38" t="n">
        <v>1</v>
      </c>
      <c r="M17" s="38" t="inlineStr">
        <is>
          <t>IAS 21 §39</t>
        </is>
      </c>
      <c r="N17" s="541" t="n"/>
    </row>
    <row r="18">
      <c r="A18" s="541" t="n"/>
      <c r="B18" s="748" t="inlineStr">
        <is>
          <t>Impôts différés actifs &amp; autres</t>
        </is>
      </c>
      <c r="C18" s="749" t="inlineStr">
        <is>
          <t>274x</t>
        </is>
      </c>
      <c r="D18" s="1006" t="n">
        <v>5200</v>
      </c>
      <c r="E18" s="1006" t="n">
        <v>4800</v>
      </c>
      <c r="F18" s="1006">
        <f>D18-E18</f>
        <v/>
      </c>
      <c r="G18" s="750" t="n"/>
      <c r="H18" s="541" t="n"/>
      <c r="I18" s="39" t="inlineStr">
        <is>
          <t>Écart de conversion</t>
        </is>
      </c>
      <c r="J18" s="39" t="inlineStr">
        <is>
          <t>Différence</t>
        </is>
      </c>
      <c r="K18" s="39" t="n"/>
      <c r="L18" s="39" t="n"/>
      <c r="M18" s="39" t="inlineStr">
        <is>
          <t>OCI (IAS 21)</t>
        </is>
      </c>
      <c r="N18" s="541" t="n"/>
    </row>
    <row r="19" ht="15.75" customHeight="1" s="500" thickBot="1">
      <c r="A19" s="541" t="n"/>
      <c r="B19" s="754" t="inlineStr">
        <is>
          <t>TOTAL ACTIFS NON COURANTS</t>
        </is>
      </c>
      <c r="C19" s="755" t="n"/>
      <c r="D19" s="1007">
        <f>SUM(D16:D18)</f>
        <v/>
      </c>
      <c r="E19" s="1007">
        <f>SUM(E16:E18)</f>
        <v/>
      </c>
      <c r="F19" s="1007">
        <f>D19-E19</f>
        <v/>
      </c>
      <c r="G19" s="756" t="n"/>
      <c r="H19" s="541" t="n"/>
      <c r="I19" s="541" t="n"/>
      <c r="J19" s="541" t="n"/>
      <c r="K19" s="541" t="n"/>
      <c r="L19" s="541" t="n"/>
      <c r="M19" s="541" t="n"/>
      <c r="N19" s="541" t="n"/>
    </row>
    <row r="20">
      <c r="A20" s="541" t="n"/>
      <c r="B20" s="751" t="inlineStr">
        <is>
          <t>ACTIFS COURANTS</t>
        </is>
      </c>
      <c r="C20" s="752" t="n"/>
      <c r="D20" s="1008" t="n"/>
      <c r="E20" s="1008" t="n"/>
      <c r="F20" s="1008" t="n"/>
      <c r="G20" s="753" t="n"/>
      <c r="H20" s="541" t="n"/>
      <c r="I20" s="541" t="n"/>
      <c r="J20" s="541" t="n"/>
      <c r="K20" s="541" t="n"/>
      <c r="L20" s="541" t="n"/>
      <c r="M20" s="541" t="n"/>
      <c r="N20" s="541" t="n"/>
    </row>
    <row r="21">
      <c r="A21" s="541" t="n"/>
      <c r="B21" s="741" t="inlineStr">
        <is>
          <t>Stocks</t>
        </is>
      </c>
      <c r="C21" s="742" t="inlineStr">
        <is>
          <t>31xx</t>
        </is>
      </c>
      <c r="D21" s="1004" t="n">
        <v>71000</v>
      </c>
      <c r="E21" s="1004" t="n">
        <v>65000</v>
      </c>
      <c r="F21" s="1004">
        <f>D21-E21</f>
        <v/>
      </c>
      <c r="G21" s="743" t="n"/>
      <c r="H21" s="541" t="n"/>
      <c r="I21" s="541" t="n"/>
      <c r="J21" s="541" t="n"/>
      <c r="K21" s="541" t="n"/>
      <c r="L21" s="541" t="n"/>
      <c r="M21" s="541" t="n"/>
      <c r="N21" s="541" t="n"/>
    </row>
    <row r="22">
      <c r="A22" s="541" t="n"/>
      <c r="B22" s="688" t="inlineStr">
        <is>
          <t>Créances clients</t>
        </is>
      </c>
      <c r="C22" s="689" t="inlineStr">
        <is>
          <t>411x</t>
        </is>
      </c>
      <c r="D22" s="1005" t="n">
        <v>44000</v>
      </c>
      <c r="E22" s="1005" t="n">
        <v>41000</v>
      </c>
      <c r="F22" s="1005">
        <f>D22-E22</f>
        <v/>
      </c>
      <c r="G22" s="744" t="n"/>
      <c r="H22" s="541" t="n"/>
      <c r="I22" s="541" t="n"/>
      <c r="J22" s="541" t="n"/>
      <c r="K22" s="541" t="n"/>
      <c r="L22" s="541" t="n"/>
      <c r="M22" s="541" t="n"/>
      <c r="N22" s="541" t="n"/>
    </row>
    <row r="23">
      <c r="A23" s="541" t="n"/>
      <c r="B23" s="698" t="inlineStr">
        <is>
          <t>Créances interco</t>
        </is>
      </c>
      <c r="C23" s="745" t="inlineStr">
        <is>
          <t>451x</t>
        </is>
      </c>
      <c r="D23" s="1009" t="n">
        <v>8500</v>
      </c>
      <c r="E23" s="1009" t="n">
        <v>7200</v>
      </c>
      <c r="F23" s="1009">
        <f>D23-E23</f>
        <v/>
      </c>
      <c r="G23" s="746" t="inlineStr">
        <is>
          <t>⚠️ ELIM</t>
        </is>
      </c>
      <c r="H23" s="541" t="n"/>
      <c r="I23" s="541" t="n"/>
      <c r="J23" s="541" t="n"/>
      <c r="K23" s="541" t="n"/>
      <c r="L23" s="541" t="n"/>
      <c r="M23" s="541" t="n"/>
      <c r="N23" s="541" t="n"/>
    </row>
    <row r="24">
      <c r="A24" s="541" t="n"/>
      <c r="B24" s="748" t="inlineStr">
        <is>
          <t>Trésorerie</t>
        </is>
      </c>
      <c r="C24" s="749" t="inlineStr">
        <is>
          <t>512x</t>
        </is>
      </c>
      <c r="D24" s="1006" t="n">
        <v>31000</v>
      </c>
      <c r="E24" s="1006" t="n">
        <v>27000</v>
      </c>
      <c r="F24" s="1006">
        <f>D24-E24</f>
        <v/>
      </c>
      <c r="G24" s="750" t="n"/>
      <c r="H24" s="541" t="n"/>
      <c r="I24" s="541" t="n"/>
      <c r="J24" s="541" t="n"/>
      <c r="K24" s="541" t="n"/>
      <c r="L24" s="541" t="n"/>
      <c r="M24" s="541" t="n"/>
      <c r="N24" s="541" t="n"/>
    </row>
    <row r="25" ht="15.75" customHeight="1" s="500" thickBot="1">
      <c r="A25" s="541" t="n"/>
      <c r="B25" s="757" t="inlineStr">
        <is>
          <t>TOTAL ACTIFS COURANTS</t>
        </is>
      </c>
      <c r="C25" s="758" t="n"/>
      <c r="D25" s="1010">
        <f>SUM(D21:D24)</f>
        <v/>
      </c>
      <c r="E25" s="1010">
        <f>SUM(E21:E24)</f>
        <v/>
      </c>
      <c r="F25" s="1010">
        <f>D25-E25</f>
        <v/>
      </c>
      <c r="G25" s="759" t="n"/>
      <c r="H25" s="541" t="n"/>
      <c r="I25" s="541" t="n"/>
      <c r="J25" s="541" t="n"/>
      <c r="K25" s="541" t="n"/>
      <c r="L25" s="541" t="n"/>
      <c r="M25" s="541" t="n"/>
      <c r="N25" s="541" t="n"/>
    </row>
    <row r="26" ht="15.75" customHeight="1" s="500" thickBot="1">
      <c r="A26" s="541" t="n"/>
      <c r="B26" s="760" t="inlineStr">
        <is>
          <t>TOTAL ACTIF</t>
        </is>
      </c>
      <c r="C26" s="761" t="n"/>
      <c r="D26" s="1011">
        <f>D19+D25</f>
        <v/>
      </c>
      <c r="E26" s="1011">
        <f>E19+E25</f>
        <v/>
      </c>
      <c r="F26" s="1011">
        <f>D26-E26</f>
        <v/>
      </c>
      <c r="G26" s="762" t="inlineStr">
        <is>
          <t>✔</t>
        </is>
      </c>
      <c r="H26" s="541" t="n"/>
      <c r="I26" s="541" t="n"/>
      <c r="J26" s="541" t="n"/>
      <c r="K26" s="541" t="n"/>
      <c r="L26" s="541" t="n"/>
      <c r="M26" s="541" t="n"/>
      <c r="N26" s="541" t="n"/>
    </row>
    <row r="27">
      <c r="A27" s="541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1" t="n"/>
      <c r="M27" s="541" t="n"/>
      <c r="N27" s="541" t="n"/>
    </row>
    <row r="28">
      <c r="A28" s="541" t="n"/>
      <c r="B28" s="525" t="inlineStr">
        <is>
          <t>COMPTE DE RÉSULTAT LOCAL – IFRS 18 (k monnaie locale)</t>
        </is>
      </c>
      <c r="H28" s="541" t="n"/>
      <c r="I28" s="541" t="n"/>
      <c r="J28" s="541" t="n"/>
      <c r="K28" s="541" t="n"/>
      <c r="L28" s="541" t="n"/>
      <c r="M28" s="541" t="n"/>
      <c r="N28" s="541" t="n"/>
    </row>
    <row r="29">
      <c r="A29" s="541" t="n"/>
      <c r="B29" s="681" t="inlineStr">
        <is>
          <t>Poste</t>
        </is>
      </c>
      <c r="C29" s="682" t="inlineStr">
        <is>
          <t>Cat. IFRS 18</t>
        </is>
      </c>
      <c r="D29" s="682" t="inlineStr">
        <is>
          <t>N (2025)</t>
        </is>
      </c>
      <c r="E29" s="682" t="inlineStr">
        <is>
          <t>N-1 (2024)</t>
        </is>
      </c>
      <c r="F29" s="682" t="inlineStr">
        <is>
          <t>Δ %</t>
        </is>
      </c>
      <c r="G29" s="684" t="inlineStr">
        <is>
          <t>Note</t>
        </is>
      </c>
      <c r="H29" s="541" t="n"/>
      <c r="I29" s="541" t="n"/>
      <c r="J29" s="541" t="n"/>
      <c r="K29" s="541" t="n"/>
      <c r="L29" s="541" t="n"/>
      <c r="M29" s="541" t="n"/>
      <c r="N29" s="541" t="n"/>
    </row>
    <row r="30">
      <c r="A30" s="541" t="n"/>
      <c r="B30" s="741" t="inlineStr">
        <is>
          <t>Chiffre d'affaires</t>
        </is>
      </c>
      <c r="C30" s="742" t="inlineStr">
        <is>
          <t>Opérationnel</t>
        </is>
      </c>
      <c r="D30" s="1004" t="n">
        <v>195000</v>
      </c>
      <c r="E30" s="1004" t="n">
        <v>178000</v>
      </c>
      <c r="F30" s="878">
        <f>IFERROR((D30-E30)/ABS(E30),"")</f>
        <v/>
      </c>
      <c r="G30" s="743" t="inlineStr">
        <is>
          <t>IFRS 15</t>
        </is>
      </c>
      <c r="H30" s="541" t="n"/>
      <c r="I30" s="541" t="n"/>
      <c r="J30" s="541" t="n"/>
      <c r="K30" s="541" t="n"/>
      <c r="L30" s="541" t="n"/>
      <c r="M30" s="541" t="n"/>
      <c r="N30" s="541" t="n"/>
    </row>
    <row r="31">
      <c r="A31" s="541" t="n"/>
      <c r="B31" s="688" t="inlineStr">
        <is>
          <t>Achats &amp; charges opérat.</t>
        </is>
      </c>
      <c r="C31" s="689" t="inlineStr">
        <is>
          <t>Opérationnel</t>
        </is>
      </c>
      <c r="D31" s="1005" t="n">
        <v>-169000</v>
      </c>
      <c r="E31" s="1005" t="n">
        <v>-156200</v>
      </c>
      <c r="F31" s="879">
        <f>IFERROR((D31-E31)/ABS(E31),"")</f>
        <v/>
      </c>
      <c r="G31" s="744" t="n"/>
      <c r="H31" s="541" t="n"/>
      <c r="I31" s="541" t="n"/>
      <c r="J31" s="541" t="n"/>
      <c r="K31" s="541" t="n"/>
      <c r="L31" s="541" t="n"/>
      <c r="M31" s="541" t="n"/>
      <c r="N31" s="541" t="n"/>
    </row>
    <row r="32">
      <c r="A32" s="541" t="n"/>
      <c r="B32" s="741" t="inlineStr">
        <is>
          <t>Charges de personnel</t>
        </is>
      </c>
      <c r="C32" s="742" t="inlineStr">
        <is>
          <t>Opérationnel</t>
        </is>
      </c>
      <c r="D32" s="1004" t="n">
        <v>-42900</v>
      </c>
      <c r="E32" s="1004" t="n">
        <v>-39160</v>
      </c>
      <c r="F32" s="878">
        <f>IFERROR((D32-E32)/ABS(E32),"")</f>
        <v/>
      </c>
      <c r="G32" s="743" t="n"/>
      <c r="H32" s="541" t="n"/>
      <c r="I32" s="541" t="n"/>
      <c r="J32" s="541" t="n"/>
      <c r="K32" s="541" t="n"/>
      <c r="L32" s="541" t="n"/>
      <c r="M32" s="541" t="n"/>
      <c r="N32" s="541" t="n"/>
    </row>
    <row r="33">
      <c r="A33" s="541" t="n"/>
      <c r="B33" s="705" t="inlineStr">
        <is>
          <t>Amortissements</t>
        </is>
      </c>
      <c r="C33" s="706" t="inlineStr">
        <is>
          <t>Opérationnel</t>
        </is>
      </c>
      <c r="D33" s="1012" t="n">
        <v>-9750</v>
      </c>
      <c r="E33" s="1012" t="n">
        <v>-8900</v>
      </c>
      <c r="F33" s="880">
        <f>IFERROR((D33-E33)/ABS(E33),"")</f>
        <v/>
      </c>
      <c r="G33" s="763" t="n"/>
      <c r="H33" s="541" t="n"/>
      <c r="I33" s="541" t="n"/>
      <c r="J33" s="541" t="n"/>
      <c r="K33" s="541" t="n"/>
      <c r="L33" s="541" t="n"/>
      <c r="M33" s="541" t="n"/>
      <c r="N33" s="541" t="n"/>
    </row>
    <row r="34" ht="15.75" customHeight="1" s="500" thickBot="1">
      <c r="A34" s="541" t="n"/>
      <c r="B34" s="754" t="inlineStr">
        <is>
          <t>RÉSULTAT OPÉRATIONNEL (EBIT)</t>
        </is>
      </c>
      <c r="C34" s="755" t="inlineStr">
        <is>
          <t>Opérationnel</t>
        </is>
      </c>
      <c r="D34" s="1007">
        <f>SUM(D30:D33)</f>
        <v/>
      </c>
      <c r="E34" s="1007">
        <f>SUM(E30:E33)</f>
        <v/>
      </c>
      <c r="F34" s="881">
        <f>IFERROR((D34-E34)/ABS(E34),"")</f>
        <v/>
      </c>
      <c r="G34" s="756" t="inlineStr">
        <is>
          <t>🔑</t>
        </is>
      </c>
      <c r="H34" s="541" t="n"/>
      <c r="I34" s="541" t="n"/>
      <c r="J34" s="541" t="n"/>
      <c r="K34" s="541" t="n"/>
      <c r="L34" s="541" t="n"/>
      <c r="M34" s="541" t="n"/>
      <c r="N34" s="541" t="n"/>
    </row>
    <row r="35">
      <c r="A35" s="541" t="n"/>
      <c r="B35" s="764" t="inlineStr">
        <is>
          <t>Produits financiers</t>
        </is>
      </c>
      <c r="C35" s="765" t="inlineStr">
        <is>
          <t>Investissement</t>
        </is>
      </c>
      <c r="D35" s="1013" t="n">
        <v>975</v>
      </c>
      <c r="E35" s="1013" t="n">
        <v>712</v>
      </c>
      <c r="F35" s="883">
        <f>IFERROR((D35-E35)/ABS(E35),"")</f>
        <v/>
      </c>
      <c r="G35" s="766" t="inlineStr">
        <is>
          <t>IFRS 18</t>
        </is>
      </c>
      <c r="H35" s="541" t="n"/>
      <c r="I35" s="541" t="n"/>
      <c r="J35" s="541" t="n"/>
      <c r="K35" s="541" t="n"/>
      <c r="L35" s="541" t="n"/>
      <c r="M35" s="541" t="n"/>
      <c r="N35" s="541" t="n"/>
    </row>
    <row r="36">
      <c r="A36" s="541" t="n"/>
      <c r="B36" s="688" t="inlineStr">
        <is>
          <t>Charges d'intérêts</t>
        </is>
      </c>
      <c r="C36" s="689" t="inlineStr">
        <is>
          <t>Financement</t>
        </is>
      </c>
      <c r="D36" s="1005" t="n">
        <v>-4290</v>
      </c>
      <c r="E36" s="1005" t="n">
        <v>-4450</v>
      </c>
      <c r="F36" s="879">
        <f>IFERROR((D36-E36)/ABS(E36),"")</f>
        <v/>
      </c>
      <c r="G36" s="744" t="inlineStr">
        <is>
          <t>IFRS 18</t>
        </is>
      </c>
      <c r="H36" s="541" t="n"/>
      <c r="I36" s="541" t="n"/>
      <c r="J36" s="541" t="n"/>
      <c r="K36" s="541" t="n"/>
      <c r="L36" s="541" t="n"/>
      <c r="M36" s="541" t="n"/>
      <c r="N36" s="541" t="n"/>
    </row>
    <row r="37">
      <c r="A37" s="541" t="n"/>
      <c r="B37" s="748" t="inlineStr">
        <is>
          <t>Charge d'impôt (IS)</t>
        </is>
      </c>
      <c r="C37" s="749" t="inlineStr">
        <is>
          <t>Impôts</t>
        </is>
      </c>
      <c r="D37" s="1006" t="n">
        <v>-5250</v>
      </c>
      <c r="E37" s="1006" t="n">
        <v>-4450</v>
      </c>
      <c r="F37" s="884">
        <f>IFERROR((D37-E37)/ABS(E37),"")</f>
        <v/>
      </c>
      <c r="G37" s="750" t="inlineStr">
        <is>
          <t>IAS 12</t>
        </is>
      </c>
      <c r="H37" s="541" t="n"/>
      <c r="I37" s="541" t="n"/>
      <c r="J37" s="541" t="n"/>
      <c r="K37" s="541" t="n"/>
      <c r="L37" s="541" t="n"/>
      <c r="M37" s="541" t="n"/>
      <c r="N37" s="541" t="n"/>
    </row>
    <row r="38" ht="15.75" customHeight="1" s="500" thickBot="1">
      <c r="A38" s="541" t="n"/>
      <c r="B38" s="768" t="inlineStr">
        <is>
          <t>RÉSULTAT NET</t>
        </is>
      </c>
      <c r="C38" s="769" t="n"/>
      <c r="D38" s="1014">
        <f>D34+D35+D36+D37</f>
        <v/>
      </c>
      <c r="E38" s="1014">
        <f>E34+E35+E36+E37</f>
        <v/>
      </c>
      <c r="F38" s="886">
        <f>IFERROR((D38-E38)/ABS(E38),"")</f>
        <v/>
      </c>
      <c r="G38" s="770" t="inlineStr">
        <is>
          <t>🏆</t>
        </is>
      </c>
      <c r="H38" s="541" t="n"/>
      <c r="I38" s="541" t="n"/>
      <c r="J38" s="541" t="n"/>
      <c r="K38" s="541" t="n"/>
      <c r="L38" s="541" t="n"/>
      <c r="M38" s="541" t="n"/>
      <c r="N38" s="541" t="n"/>
    </row>
    <row r="39">
      <c r="A39" s="541" t="n"/>
      <c r="B39" s="541" t="n"/>
      <c r="C39" s="541" t="n"/>
      <c r="D39" s="541" t="n"/>
      <c r="E39" s="541" t="n"/>
      <c r="F39" s="541" t="n"/>
      <c r="G39" s="541" t="n"/>
      <c r="H39" s="541" t="n"/>
      <c r="I39" s="541" t="n"/>
      <c r="J39" s="541" t="n"/>
      <c r="K39" s="541" t="n"/>
      <c r="L39" s="541" t="n"/>
      <c r="M39" s="541" t="n"/>
      <c r="N39" s="541" t="n"/>
    </row>
    <row r="40">
      <c r="A40" s="541" t="n"/>
      <c r="B40" s="541" t="n"/>
      <c r="C40" s="541" t="n"/>
      <c r="D40" s="541" t="n"/>
      <c r="E40" s="541" t="n"/>
      <c r="F40" s="541" t="n"/>
      <c r="G40" s="541" t="n"/>
      <c r="H40" s="541" t="n"/>
      <c r="I40" s="541" t="n"/>
      <c r="J40" s="541" t="n"/>
      <c r="K40" s="541" t="n"/>
      <c r="L40" s="541" t="n"/>
      <c r="M40" s="541" t="n"/>
      <c r="N40" s="541" t="n"/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  <c r="I41" s="541" t="n"/>
      <c r="J41" s="541" t="n"/>
      <c r="K41" s="541" t="n"/>
      <c r="L41" s="541" t="n"/>
      <c r="M41" s="541" t="n"/>
      <c r="N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  <c r="I42" s="541" t="n"/>
      <c r="J42" s="541" t="n"/>
      <c r="K42" s="541" t="n"/>
      <c r="L42" s="541" t="n"/>
      <c r="M42" s="541" t="n"/>
      <c r="N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  <c r="I43" s="541" t="n"/>
      <c r="J43" s="541" t="n"/>
      <c r="K43" s="541" t="n"/>
      <c r="L43" s="541" t="n"/>
      <c r="M43" s="541" t="n"/>
      <c r="N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  <c r="I45" s="541" t="n"/>
      <c r="J45" s="541" t="n"/>
      <c r="K45" s="541" t="n"/>
      <c r="L45" s="541" t="n"/>
      <c r="M45" s="541" t="n"/>
      <c r="N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  <c r="I46" s="541" t="n"/>
      <c r="J46" s="541" t="n"/>
      <c r="K46" s="541" t="n"/>
      <c r="L46" s="541" t="n"/>
      <c r="M46" s="541" t="n"/>
      <c r="N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  <c r="I47" s="541" t="n"/>
      <c r="J47" s="541" t="n"/>
      <c r="K47" s="541" t="n"/>
      <c r="L47" s="541" t="n"/>
      <c r="M47" s="541" t="n"/>
      <c r="N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  <c r="I48" s="541" t="n"/>
      <c r="J48" s="541" t="n"/>
      <c r="K48" s="541" t="n"/>
      <c r="L48" s="541" t="n"/>
      <c r="M48" s="541" t="n"/>
      <c r="N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  <c r="I50" s="541" t="n"/>
      <c r="J50" s="541" t="n"/>
      <c r="K50" s="541" t="n"/>
      <c r="L50" s="541" t="n"/>
      <c r="M50" s="541" t="n"/>
      <c r="N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  <c r="I51" s="541" t="n"/>
      <c r="J51" s="541" t="n"/>
      <c r="K51" s="541" t="n"/>
      <c r="L51" s="541" t="n"/>
      <c r="M51" s="541" t="n"/>
      <c r="N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  <c r="I52" s="541" t="n"/>
      <c r="J52" s="541" t="n"/>
      <c r="K52" s="541" t="n"/>
      <c r="L52" s="541" t="n"/>
      <c r="M52" s="541" t="n"/>
      <c r="N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  <c r="I53" s="541" t="n"/>
      <c r="J53" s="541" t="n"/>
      <c r="K53" s="541" t="n"/>
      <c r="L53" s="541" t="n"/>
      <c r="M53" s="541" t="n"/>
      <c r="N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  <c r="I54" s="541" t="n"/>
      <c r="J54" s="541" t="n"/>
      <c r="K54" s="541" t="n"/>
      <c r="L54" s="541" t="n"/>
      <c r="M54" s="541" t="n"/>
      <c r="N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  <c r="I55" s="541" t="n"/>
      <c r="J55" s="541" t="n"/>
      <c r="K55" s="541" t="n"/>
      <c r="L55" s="541" t="n"/>
      <c r="M55" s="541" t="n"/>
      <c r="N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  <c r="I56" s="541" t="n"/>
      <c r="J56" s="541" t="n"/>
      <c r="K56" s="541" t="n"/>
      <c r="L56" s="541" t="n"/>
      <c r="M56" s="541" t="n"/>
      <c r="N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  <c r="I58" s="541" t="n"/>
      <c r="J58" s="541" t="n"/>
      <c r="K58" s="541" t="n"/>
      <c r="L58" s="541" t="n"/>
      <c r="M58" s="541" t="n"/>
      <c r="N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  <c r="I59" s="541" t="n"/>
      <c r="J59" s="541" t="n"/>
      <c r="K59" s="541" t="n"/>
      <c r="L59" s="541" t="n"/>
      <c r="M59" s="541" t="n"/>
      <c r="N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  <c r="I60" s="541" t="n"/>
      <c r="J60" s="541" t="n"/>
      <c r="K60" s="541" t="n"/>
      <c r="L60" s="541" t="n"/>
      <c r="M60" s="541" t="n"/>
      <c r="N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  <c r="I61" s="541" t="n"/>
      <c r="J61" s="541" t="n"/>
      <c r="K61" s="541" t="n"/>
      <c r="L61" s="541" t="n"/>
      <c r="M61" s="541" t="n"/>
      <c r="N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  <c r="I62" s="541" t="n"/>
      <c r="J62" s="541" t="n"/>
      <c r="K62" s="541" t="n"/>
      <c r="L62" s="541" t="n"/>
      <c r="M62" s="541" t="n"/>
      <c r="N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  <c r="I63" s="541" t="n"/>
      <c r="J63" s="541" t="n"/>
      <c r="K63" s="541" t="n"/>
      <c r="L63" s="541" t="n"/>
      <c r="M63" s="541" t="n"/>
      <c r="N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</row>
  </sheetData>
  <mergeCells count="5">
    <mergeCell ref="B28:G28"/>
    <mergeCell ref="B4:E4"/>
    <mergeCell ref="I13:M13"/>
    <mergeCell ref="B13:G13"/>
    <mergeCell ref="B2:N2"/>
  </mergeCells>
  <conditionalFormatting sqref="F16:F26">
    <cfRule type="cellIs" priority="5" operator="greaterThan" dxfId="0">
      <formula>0</formula>
    </cfRule>
    <cfRule type="cellIs" priority="6" operator="lessThan" dxfId="16">
      <formula>0</formula>
    </cfRule>
  </conditionalFormatting>
  <conditionalFormatting sqref="F30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F34">
    <cfRule type="cellIs" priority="3" operator="greaterThan" dxfId="5">
      <formula>0</formula>
    </cfRule>
    <cfRule type="cellIs" priority="4" operator="lessThan" dxfId="3">
      <formula>0</formula>
    </cfRule>
  </conditionalFormatting>
  <conditionalFormatting sqref="F30:F38">
    <cfRule type="cellIs" priority="7" operator="lessThan" dxfId="16">
      <formula>0</formula>
    </cfRule>
    <cfRule type="cellIs" priority="8" operator="greaterThanOrEqual" dxfId="0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27AE60"/>
    <outlinePr summaryBelow="1" summaryRight="1"/>
    <pageSetUpPr/>
  </sheetPr>
  <dimension ref="A1:N70"/>
  <sheetViews>
    <sheetView showGridLines="0" workbookViewId="0">
      <selection activeCell="C6" sqref="C6"/>
    </sheetView>
  </sheetViews>
  <sheetFormatPr baseColWidth="10" defaultRowHeight="15"/>
  <cols>
    <col width="3.85546875" customWidth="1" style="500" min="1" max="1"/>
    <col width="43.85546875" customWidth="1" style="500" min="2" max="2"/>
    <col width="44.42578125" customWidth="1" style="500" min="3" max="3"/>
    <col width="16.140625" customWidth="1" style="500" min="4" max="6"/>
    <col width="13.28515625" customWidth="1" style="500" min="7" max="7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</row>
    <row r="2" ht="17.25" customHeight="1" s="500">
      <c r="A2" s="541" t="n"/>
      <c r="B2" s="523" t="inlineStr">
        <is>
          <t>🇸🇬  SG_Filiale – FILIALE SINGAPOUR · Exercice 2025-2026 (SGD)</t>
        </is>
      </c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</row>
    <row r="4">
      <c r="A4" s="541" t="n"/>
      <c r="B4" s="524" t="inlineStr">
        <is>
          <t>⚙️  PARAMÈTRES ENTITÉ</t>
        </is>
      </c>
      <c r="F4" s="541" t="n"/>
      <c r="G4" s="541" t="n"/>
      <c r="H4" s="541" t="n"/>
      <c r="I4" s="541" t="n"/>
      <c r="J4" s="541" t="n"/>
      <c r="K4" s="541" t="n"/>
      <c r="L4" s="541" t="n"/>
      <c r="M4" s="541" t="n"/>
      <c r="N4" s="541" t="n"/>
    </row>
    <row r="5">
      <c r="A5" s="541" t="n"/>
      <c r="B5" s="540" t="inlineStr">
        <is>
          <t>Entité :</t>
        </is>
      </c>
      <c r="C5" s="540" t="inlineStr">
        <is>
          <t>SG_Filiale</t>
        </is>
      </c>
      <c r="D5" s="541" t="n"/>
      <c r="E5" s="541" t="n"/>
      <c r="F5" s="541" t="n"/>
      <c r="G5" s="541" t="n"/>
      <c r="H5" s="541" t="n"/>
      <c r="I5" s="541" t="n"/>
      <c r="J5" s="541" t="n"/>
      <c r="K5" s="541" t="n"/>
      <c r="L5" s="541" t="n"/>
      <c r="M5" s="541" t="n"/>
      <c r="N5" s="541" t="n"/>
    </row>
    <row r="6">
      <c r="A6" s="541" t="n"/>
      <c r="B6" s="540" t="inlineStr">
        <is>
          <t>Pays / Devise :</t>
        </is>
      </c>
      <c r="C6" s="540" t="inlineStr">
        <is>
          <t>Singapour · SGD ($SG) → Taux clôt. 0.6780 EUR/SGD</t>
        </is>
      </c>
      <c r="D6" s="541" t="n"/>
      <c r="E6" s="541" t="n"/>
      <c r="F6" s="541" t="n"/>
      <c r="G6" s="541" t="n"/>
      <c r="H6" s="541" t="n"/>
      <c r="I6" s="541" t="n"/>
      <c r="J6" s="541" t="n"/>
      <c r="K6" s="541" t="n"/>
      <c r="L6" s="541" t="n"/>
      <c r="M6" s="541" t="n"/>
      <c r="N6" s="541" t="n"/>
    </row>
    <row r="7">
      <c r="A7" s="541" t="n"/>
      <c r="B7" s="540" t="inlineStr">
        <is>
          <t>% Détention :</t>
        </is>
      </c>
      <c r="C7" s="37" t="n">
        <v>0.6</v>
      </c>
      <c r="D7" s="541" t="n"/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</row>
    <row r="8">
      <c r="A8" s="541" t="n"/>
      <c r="B8" s="540" t="inlineStr">
        <is>
          <t>Méthode :</t>
        </is>
      </c>
      <c r="C8" s="540" t="inlineStr">
        <is>
          <t>Intégration Globale</t>
        </is>
      </c>
      <c r="D8" s="541" t="n"/>
      <c r="E8" s="541" t="n"/>
      <c r="F8" s="541" t="n"/>
      <c r="G8" s="541" t="n"/>
      <c r="H8" s="541" t="n"/>
      <c r="I8" s="541" t="n"/>
      <c r="J8" s="541" t="n"/>
      <c r="K8" s="541" t="n"/>
      <c r="L8" s="541" t="n"/>
      <c r="M8" s="541" t="n"/>
      <c r="N8" s="541" t="n"/>
    </row>
    <row r="9">
      <c r="A9" s="541" t="n"/>
      <c r="B9" s="540" t="inlineStr">
        <is>
          <t>Taux de clôture :</t>
        </is>
      </c>
      <c r="C9" s="540" t="inlineStr">
        <is>
          <t>0.6780 (SGD/EUR)</t>
        </is>
      </c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</row>
    <row r="10">
      <c r="A10" s="541" t="n"/>
      <c r="B10" s="540" t="inlineStr">
        <is>
          <t>Taux moyen :</t>
        </is>
      </c>
      <c r="C10" s="540" t="inlineStr">
        <is>
          <t>0.6820 (SGD/EUR)</t>
        </is>
      </c>
      <c r="D10" s="541" t="n"/>
      <c r="E10" s="541" t="n"/>
      <c r="F10" s="541" t="n"/>
      <c r="G10" s="541" t="n"/>
      <c r="H10" s="541" t="n"/>
      <c r="I10" s="541" t="n"/>
      <c r="J10" s="541" t="n"/>
      <c r="K10" s="541" t="n"/>
      <c r="L10" s="541" t="n"/>
      <c r="M10" s="541" t="n"/>
      <c r="N10" s="541" t="n"/>
    </row>
    <row r="11">
      <c r="A11" s="541" t="n"/>
      <c r="B11" s="540" t="inlineStr">
        <is>
          <t>Secteur :</t>
        </is>
      </c>
      <c r="C11" s="540" t="inlineStr">
        <is>
          <t>Finance &amp; Investissement</t>
        </is>
      </c>
      <c r="D11" s="541" t="n"/>
      <c r="E11" s="541" t="n"/>
      <c r="F11" s="541" t="n"/>
      <c r="G11" s="541" t="n"/>
      <c r="H11" s="541" t="n"/>
      <c r="I11" s="541" t="n"/>
      <c r="J11" s="541" t="n"/>
      <c r="K11" s="541" t="n"/>
      <c r="L11" s="541" t="n"/>
      <c r="M11" s="541" t="n"/>
      <c r="N11" s="541" t="n"/>
    </row>
    <row r="12">
      <c r="A12" s="541" t="n"/>
      <c r="B12" s="541" t="n"/>
      <c r="C12" s="541" t="n"/>
      <c r="D12" s="541" t="n"/>
      <c r="E12" s="541" t="n"/>
      <c r="F12" s="541" t="n"/>
      <c r="G12" s="541" t="n"/>
      <c r="H12" s="541" t="n"/>
      <c r="I12" s="541" t="n"/>
      <c r="J12" s="541" t="n"/>
      <c r="K12" s="541" t="n"/>
      <c r="L12" s="541" t="n"/>
      <c r="M12" s="541" t="n"/>
      <c r="N12" s="541" t="n"/>
    </row>
    <row r="13" ht="15.75" customHeight="1" s="500">
      <c r="A13" s="541" t="n"/>
      <c r="B13" s="521" t="inlineStr">
        <is>
          <t>BILAN LOCAL (en kSGD)</t>
        </is>
      </c>
      <c r="H13" s="541" t="n"/>
      <c r="I13" s="526" t="inlineStr">
        <is>
          <t>🔄  CONVERSION EN EUR (pour consolidation)</t>
        </is>
      </c>
      <c r="N13" s="541" t="n"/>
    </row>
    <row r="14">
      <c r="A14" s="541" t="n"/>
      <c r="B14" s="681" t="inlineStr">
        <is>
          <t>Poste IFRS</t>
        </is>
      </c>
      <c r="C14" s="682" t="inlineStr">
        <is>
          <t>Compte</t>
        </is>
      </c>
      <c r="D14" s="682" t="inlineStr">
        <is>
          <t>N (2025)</t>
        </is>
      </c>
      <c r="E14" s="682" t="inlineStr">
        <is>
          <t>N-1 (2024)</t>
        </is>
      </c>
      <c r="F14" s="682" t="inlineStr">
        <is>
          <t>Δ</t>
        </is>
      </c>
      <c r="G14" s="684" t="inlineStr">
        <is>
          <t>Note</t>
        </is>
      </c>
      <c r="H14" s="541" t="n"/>
      <c r="I14" s="543" t="inlineStr">
        <is>
          <t>Poste</t>
        </is>
      </c>
      <c r="J14" s="543" t="inlineStr">
        <is>
          <t>Taux utilisé</t>
        </is>
      </c>
      <c r="K14" s="543" t="inlineStr">
        <is>
          <t>Local</t>
        </is>
      </c>
      <c r="L14" s="543" t="inlineStr">
        <is>
          <t>Converti EUR</t>
        </is>
      </c>
      <c r="M14" s="543" t="inlineStr">
        <is>
          <t>Méthode</t>
        </is>
      </c>
      <c r="N14" s="541" t="n"/>
    </row>
    <row r="15">
      <c r="A15" s="541" t="n"/>
      <c r="B15" s="738" t="inlineStr">
        <is>
          <t>ACTIFS NON COURANTS</t>
        </is>
      </c>
      <c r="C15" s="739" t="n"/>
      <c r="D15" s="739" t="n"/>
      <c r="E15" s="739" t="n"/>
      <c r="F15" s="739" t="n"/>
      <c r="G15" s="740" t="n"/>
      <c r="H15" s="541" t="n"/>
      <c r="I15" s="38" t="inlineStr">
        <is>
          <t>Actifs/Passifs</t>
        </is>
      </c>
      <c r="J15" s="38" t="inlineStr">
        <is>
          <t>Taux clôture</t>
        </is>
      </c>
      <c r="K15" s="38" t="n">
        <v>1</v>
      </c>
      <c r="L15" s="38" t="n">
        <v>0.678</v>
      </c>
      <c r="M15" s="38" t="inlineStr">
        <is>
          <t>IAS 21 §23</t>
        </is>
      </c>
      <c r="N15" s="541" t="n"/>
    </row>
    <row r="16">
      <c r="A16" s="541" t="n"/>
      <c r="B16" s="741" t="inlineStr">
        <is>
          <t>Immobilisations incorporelles</t>
        </is>
      </c>
      <c r="C16" s="742" t="inlineStr">
        <is>
          <t>21xx</t>
        </is>
      </c>
      <c r="D16" s="1004" t="n">
        <v>28000</v>
      </c>
      <c r="E16" s="1004" t="n">
        <v>26000</v>
      </c>
      <c r="F16" s="1004">
        <f>D16-E16</f>
        <v/>
      </c>
      <c r="G16" s="743" t="n"/>
      <c r="H16" s="541" t="n"/>
      <c r="I16" s="38" t="inlineStr">
        <is>
          <t>P&amp;L / Charges</t>
        </is>
      </c>
      <c r="J16" s="38" t="inlineStr">
        <is>
          <t>Taux moyen</t>
        </is>
      </c>
      <c r="K16" s="38" t="n">
        <v>1</v>
      </c>
      <c r="L16" s="38" t="n">
        <v>0.6820000000000001</v>
      </c>
      <c r="M16" s="38" t="inlineStr">
        <is>
          <t>IAS 21 §39</t>
        </is>
      </c>
      <c r="N16" s="541" t="n"/>
    </row>
    <row r="17">
      <c r="A17" s="541" t="n"/>
      <c r="B17" s="688" t="inlineStr">
        <is>
          <t>Immobilisations corporelles (PP&amp;E)</t>
        </is>
      </c>
      <c r="C17" s="689" t="inlineStr">
        <is>
          <t>22xx</t>
        </is>
      </c>
      <c r="D17" s="1005" t="n">
        <v>42000</v>
      </c>
      <c r="E17" s="1005" t="n">
        <v>40000</v>
      </c>
      <c r="F17" s="1005">
        <f>D17-E17</f>
        <v/>
      </c>
      <c r="G17" s="744" t="n"/>
      <c r="H17" s="541" t="n"/>
      <c r="I17" s="38" t="inlineStr">
        <is>
          <t>Capitaux propres</t>
        </is>
      </c>
      <c r="J17" s="38" t="inlineStr">
        <is>
          <t>Taux historique</t>
        </is>
      </c>
      <c r="K17" s="38" t="n">
        <v>1</v>
      </c>
      <c r="L17" s="38" t="n">
        <v>1</v>
      </c>
      <c r="M17" s="38" t="inlineStr">
        <is>
          <t>IAS 21 §39</t>
        </is>
      </c>
      <c r="N17" s="541" t="n"/>
    </row>
    <row r="18">
      <c r="A18" s="541" t="n"/>
      <c r="B18" s="748" t="inlineStr">
        <is>
          <t>Impôts différés actifs &amp; autres</t>
        </is>
      </c>
      <c r="C18" s="749" t="inlineStr">
        <is>
          <t>274x</t>
        </is>
      </c>
      <c r="D18" s="1006" t="n">
        <v>5200</v>
      </c>
      <c r="E18" s="1006" t="n">
        <v>4800</v>
      </c>
      <c r="F18" s="1006">
        <f>D18-E18</f>
        <v/>
      </c>
      <c r="G18" s="750" t="n"/>
      <c r="H18" s="541" t="n"/>
      <c r="I18" s="39" t="inlineStr">
        <is>
          <t>Écart de conversion</t>
        </is>
      </c>
      <c r="J18" s="39" t="inlineStr">
        <is>
          <t>Différence</t>
        </is>
      </c>
      <c r="K18" s="39" t="n"/>
      <c r="L18" s="39" t="n"/>
      <c r="M18" s="39" t="inlineStr">
        <is>
          <t>OCI (IAS 21)</t>
        </is>
      </c>
      <c r="N18" s="541" t="n"/>
    </row>
    <row r="19" ht="15.75" customHeight="1" s="500" thickBot="1">
      <c r="A19" s="541" t="n"/>
      <c r="B19" s="754" t="inlineStr">
        <is>
          <t>TOTAL ACTIFS NON COURANTS</t>
        </is>
      </c>
      <c r="C19" s="755" t="n"/>
      <c r="D19" s="1007">
        <f>SUM(D16:D18)</f>
        <v/>
      </c>
      <c r="E19" s="1007">
        <f>SUM(E16:E18)</f>
        <v/>
      </c>
      <c r="F19" s="1007">
        <f>D19-E19</f>
        <v/>
      </c>
      <c r="G19" s="756" t="n"/>
      <c r="H19" s="541" t="n"/>
      <c r="I19" s="541" t="n"/>
      <c r="J19" s="541" t="n"/>
      <c r="K19" s="541" t="n"/>
      <c r="L19" s="541" t="n"/>
      <c r="M19" s="541" t="n"/>
      <c r="N19" s="541" t="n"/>
    </row>
    <row r="20">
      <c r="A20" s="541" t="n"/>
      <c r="B20" s="751" t="inlineStr">
        <is>
          <t>ACTIFS COURANTS</t>
        </is>
      </c>
      <c r="C20" s="752" t="n"/>
      <c r="D20" s="1008" t="n"/>
      <c r="E20" s="1008" t="n"/>
      <c r="F20" s="1008" t="n"/>
      <c r="G20" s="753" t="n"/>
      <c r="H20" s="541" t="n"/>
      <c r="I20" s="541" t="n"/>
      <c r="J20" s="541" t="n"/>
      <c r="K20" s="541" t="n"/>
      <c r="L20" s="541" t="n"/>
      <c r="M20" s="541" t="n"/>
      <c r="N20" s="541" t="n"/>
    </row>
    <row r="21">
      <c r="A21" s="541" t="n"/>
      <c r="B21" s="741" t="inlineStr">
        <is>
          <t>Stocks</t>
        </is>
      </c>
      <c r="C21" s="742" t="inlineStr">
        <is>
          <t>31xx</t>
        </is>
      </c>
      <c r="D21" s="1004" t="n">
        <v>5000</v>
      </c>
      <c r="E21" s="1004" t="n">
        <v>4500</v>
      </c>
      <c r="F21" s="1004">
        <f>D21-E21</f>
        <v/>
      </c>
      <c r="G21" s="743" t="n"/>
      <c r="H21" s="541" t="n"/>
      <c r="I21" s="541" t="n"/>
      <c r="J21" s="541" t="n"/>
      <c r="K21" s="541" t="n"/>
      <c r="L21" s="541" t="n"/>
      <c r="M21" s="541" t="n"/>
      <c r="N21" s="541" t="n"/>
    </row>
    <row r="22">
      <c r="A22" s="541" t="n"/>
      <c r="B22" s="688" t="inlineStr">
        <is>
          <t>Créances clients</t>
        </is>
      </c>
      <c r="C22" s="689" t="inlineStr">
        <is>
          <t>411x</t>
        </is>
      </c>
      <c r="D22" s="1005" t="n">
        <v>21000</v>
      </c>
      <c r="E22" s="1005" t="n">
        <v>18500</v>
      </c>
      <c r="F22" s="1005">
        <f>D22-E22</f>
        <v/>
      </c>
      <c r="G22" s="744" t="n"/>
      <c r="H22" s="541" t="n"/>
      <c r="I22" s="541" t="n"/>
      <c r="J22" s="541" t="n"/>
      <c r="K22" s="541" t="n"/>
      <c r="L22" s="541" t="n"/>
      <c r="M22" s="541" t="n"/>
      <c r="N22" s="541" t="n"/>
    </row>
    <row r="23">
      <c r="A23" s="541" t="n"/>
      <c r="B23" s="698" t="inlineStr">
        <is>
          <t>Créances interco</t>
        </is>
      </c>
      <c r="C23" s="745" t="inlineStr">
        <is>
          <t>451x</t>
        </is>
      </c>
      <c r="D23" s="1009" t="n">
        <v>9200</v>
      </c>
      <c r="E23" s="1009" t="n">
        <v>7800</v>
      </c>
      <c r="F23" s="1009">
        <f>D23-E23</f>
        <v/>
      </c>
      <c r="G23" s="746" t="inlineStr">
        <is>
          <t>⚠️ ELIM</t>
        </is>
      </c>
      <c r="H23" s="541" t="n"/>
      <c r="I23" s="541" t="n"/>
      <c r="J23" s="541" t="n"/>
      <c r="K23" s="541" t="n"/>
      <c r="L23" s="541" t="n"/>
      <c r="M23" s="541" t="n"/>
      <c r="N23" s="541" t="n"/>
    </row>
    <row r="24">
      <c r="A24" s="541" t="n"/>
      <c r="B24" s="748" t="inlineStr">
        <is>
          <t>Trésorerie</t>
        </is>
      </c>
      <c r="C24" s="749" t="inlineStr">
        <is>
          <t>512x</t>
        </is>
      </c>
      <c r="D24" s="1006" t="n">
        <v>28000</v>
      </c>
      <c r="E24" s="1006" t="n">
        <v>24000</v>
      </c>
      <c r="F24" s="1006">
        <f>D24-E24</f>
        <v/>
      </c>
      <c r="G24" s="750" t="n"/>
      <c r="H24" s="541" t="n"/>
      <c r="I24" s="541" t="n"/>
      <c r="J24" s="541" t="n"/>
      <c r="K24" s="541" t="n"/>
      <c r="L24" s="541" t="n"/>
      <c r="M24" s="541" t="n"/>
      <c r="N24" s="541" t="n"/>
    </row>
    <row r="25" ht="15.75" customHeight="1" s="500" thickBot="1">
      <c r="A25" s="541" t="n"/>
      <c r="B25" s="757" t="inlineStr">
        <is>
          <t>TOTAL ACTIFS COURANTS</t>
        </is>
      </c>
      <c r="C25" s="758" t="n"/>
      <c r="D25" s="1010">
        <f>SUM(D21:D24)</f>
        <v/>
      </c>
      <c r="E25" s="1010">
        <f>SUM(E21:E24)</f>
        <v/>
      </c>
      <c r="F25" s="1010">
        <f>D25-E25</f>
        <v/>
      </c>
      <c r="G25" s="759" t="n"/>
      <c r="H25" s="541" t="n"/>
      <c r="I25" s="541" t="n"/>
      <c r="J25" s="541" t="n"/>
      <c r="K25" s="541" t="n"/>
      <c r="L25" s="541" t="n"/>
      <c r="M25" s="541" t="n"/>
      <c r="N25" s="541" t="n"/>
    </row>
    <row r="26" ht="15.75" customHeight="1" s="500" thickBot="1">
      <c r="A26" s="541" t="n"/>
      <c r="B26" s="760" t="inlineStr">
        <is>
          <t>TOTAL ACTIF</t>
        </is>
      </c>
      <c r="C26" s="761" t="n"/>
      <c r="D26" s="1011">
        <f>D19+D25</f>
        <v/>
      </c>
      <c r="E26" s="1011">
        <f>E19+E25</f>
        <v/>
      </c>
      <c r="F26" s="1011">
        <f>D26-E26</f>
        <v/>
      </c>
      <c r="G26" s="762" t="inlineStr">
        <is>
          <t>✔</t>
        </is>
      </c>
      <c r="H26" s="541" t="n"/>
      <c r="I26" s="541" t="n"/>
      <c r="J26" s="541" t="n"/>
      <c r="K26" s="541" t="n"/>
      <c r="L26" s="541" t="n"/>
      <c r="M26" s="541" t="n"/>
      <c r="N26" s="541" t="n"/>
    </row>
    <row r="27">
      <c r="A27" s="541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1" t="n"/>
      <c r="M27" s="541" t="n"/>
      <c r="N27" s="541" t="n"/>
    </row>
    <row r="28">
      <c r="A28" s="541" t="n"/>
      <c r="B28" s="525" t="inlineStr">
        <is>
          <t>COMPTE DE RÉSULTAT LOCAL – IFRS 18 (k monnaie locale)</t>
        </is>
      </c>
      <c r="H28" s="541" t="n"/>
      <c r="I28" s="541" t="n"/>
      <c r="J28" s="541" t="n"/>
      <c r="K28" s="541" t="n"/>
      <c r="L28" s="541" t="n"/>
      <c r="M28" s="541" t="n"/>
      <c r="N28" s="541" t="n"/>
    </row>
    <row r="29">
      <c r="A29" s="541" t="n"/>
      <c r="B29" s="681" t="inlineStr">
        <is>
          <t>Poste</t>
        </is>
      </c>
      <c r="C29" s="682" t="inlineStr">
        <is>
          <t>Cat. IFRS 18</t>
        </is>
      </c>
      <c r="D29" s="682" t="inlineStr">
        <is>
          <t>N (2025)</t>
        </is>
      </c>
      <c r="E29" s="682" t="inlineStr">
        <is>
          <t>N-1 (2024)</t>
        </is>
      </c>
      <c r="F29" s="682" t="inlineStr">
        <is>
          <t>Δ %</t>
        </is>
      </c>
      <c r="G29" s="684" t="inlineStr">
        <is>
          <t>Note</t>
        </is>
      </c>
      <c r="H29" s="541" t="n"/>
      <c r="I29" s="541" t="n"/>
      <c r="J29" s="541" t="n"/>
      <c r="K29" s="541" t="n"/>
      <c r="L29" s="541" t="n"/>
      <c r="M29" s="541" t="n"/>
      <c r="N29" s="541" t="n"/>
    </row>
    <row r="30">
      <c r="A30" s="541" t="n"/>
      <c r="B30" s="741" t="inlineStr">
        <is>
          <t>Chiffre d'affaires</t>
        </is>
      </c>
      <c r="C30" s="742" t="inlineStr">
        <is>
          <t>Opérationnel</t>
        </is>
      </c>
      <c r="D30" s="1004" t="n">
        <v>88000</v>
      </c>
      <c r="E30" s="1004" t="n">
        <v>79000</v>
      </c>
      <c r="F30" s="878">
        <f>IFERROR((D30-E30)/ABS(E30),"")</f>
        <v/>
      </c>
      <c r="G30" s="743" t="inlineStr">
        <is>
          <t>IFRS 15</t>
        </is>
      </c>
      <c r="H30" s="541" t="n"/>
      <c r="I30" s="541" t="n"/>
      <c r="J30" s="541" t="n"/>
      <c r="K30" s="541" t="n"/>
      <c r="L30" s="541" t="n"/>
      <c r="M30" s="541" t="n"/>
      <c r="N30" s="541" t="n"/>
    </row>
    <row r="31">
      <c r="A31" s="541" t="n"/>
      <c r="B31" s="688" t="inlineStr">
        <is>
          <t>Achats &amp; charges opérat.</t>
        </is>
      </c>
      <c r="C31" s="689" t="inlineStr">
        <is>
          <t>Opérationnel</t>
        </is>
      </c>
      <c r="D31" s="1005" t="n">
        <v>-70600</v>
      </c>
      <c r="E31" s="1005" t="n">
        <v>-64900</v>
      </c>
      <c r="F31" s="879">
        <f>IFERROR((D31-E31)/ABS(E31),"")</f>
        <v/>
      </c>
      <c r="G31" s="744" t="n"/>
      <c r="H31" s="541" t="n"/>
      <c r="I31" s="541" t="n"/>
      <c r="J31" s="541" t="n"/>
      <c r="K31" s="541" t="n"/>
      <c r="L31" s="541" t="n"/>
      <c r="M31" s="541" t="n"/>
      <c r="N31" s="541" t="n"/>
    </row>
    <row r="32">
      <c r="A32" s="541" t="n"/>
      <c r="B32" s="741" t="inlineStr">
        <is>
          <t>Charges de personnel</t>
        </is>
      </c>
      <c r="C32" s="742" t="inlineStr">
        <is>
          <t>Opérationnel</t>
        </is>
      </c>
      <c r="D32" s="1004" t="n">
        <v>-19360</v>
      </c>
      <c r="E32" s="1004" t="n">
        <v>-17380</v>
      </c>
      <c r="F32" s="878">
        <f>IFERROR((D32-E32)/ABS(E32),"")</f>
        <v/>
      </c>
      <c r="G32" s="743" t="n"/>
      <c r="H32" s="541" t="n"/>
      <c r="I32" s="541" t="n"/>
      <c r="J32" s="541" t="n"/>
      <c r="K32" s="541" t="n"/>
      <c r="L32" s="541" t="n"/>
      <c r="M32" s="541" t="n"/>
      <c r="N32" s="541" t="n"/>
    </row>
    <row r="33">
      <c r="A33" s="541" t="n"/>
      <c r="B33" s="705" t="inlineStr">
        <is>
          <t>Amortissements</t>
        </is>
      </c>
      <c r="C33" s="706" t="inlineStr">
        <is>
          <t>Opérationnel</t>
        </is>
      </c>
      <c r="D33" s="1012" t="n">
        <v>-4400</v>
      </c>
      <c r="E33" s="1012" t="n">
        <v>-3950</v>
      </c>
      <c r="F33" s="880">
        <f>IFERROR((D33-E33)/ABS(E33),"")</f>
        <v/>
      </c>
      <c r="G33" s="763" t="n"/>
      <c r="H33" s="541" t="n"/>
      <c r="I33" s="541" t="n"/>
      <c r="J33" s="541" t="n"/>
      <c r="K33" s="541" t="n"/>
      <c r="L33" s="541" t="n"/>
      <c r="M33" s="541" t="n"/>
      <c r="N33" s="541" t="n"/>
    </row>
    <row r="34" ht="15.75" customHeight="1" s="500" thickBot="1">
      <c r="A34" s="541" t="n"/>
      <c r="B34" s="754" t="inlineStr">
        <is>
          <t>RÉSULTAT OPÉRATIONNEL (EBIT)</t>
        </is>
      </c>
      <c r="C34" s="755" t="inlineStr">
        <is>
          <t>Opérationnel</t>
        </is>
      </c>
      <c r="D34" s="1007">
        <f>SUM(D30:D33)</f>
        <v/>
      </c>
      <c r="E34" s="1007">
        <f>SUM(E30:E33)</f>
        <v/>
      </c>
      <c r="F34" s="881">
        <f>IFERROR((D34-E34)/ABS(E34),"")</f>
        <v/>
      </c>
      <c r="G34" s="756" t="inlineStr">
        <is>
          <t>🔑</t>
        </is>
      </c>
      <c r="H34" s="541" t="n"/>
      <c r="I34" s="541" t="n"/>
      <c r="J34" s="541" t="n"/>
      <c r="K34" s="541" t="n"/>
      <c r="L34" s="541" t="n"/>
      <c r="M34" s="541" t="n"/>
      <c r="N34" s="541" t="n"/>
    </row>
    <row r="35">
      <c r="A35" s="541" t="n"/>
      <c r="B35" s="764" t="inlineStr">
        <is>
          <t>Produits financiers</t>
        </is>
      </c>
      <c r="C35" s="765" t="inlineStr">
        <is>
          <t>Investissement</t>
        </is>
      </c>
      <c r="D35" s="1013" t="n">
        <v>440</v>
      </c>
      <c r="E35" s="1013" t="n">
        <v>316</v>
      </c>
      <c r="F35" s="883">
        <f>IFERROR((D35-E35)/ABS(E35),"")</f>
        <v/>
      </c>
      <c r="G35" s="766" t="inlineStr">
        <is>
          <t>IFRS 18</t>
        </is>
      </c>
      <c r="H35" s="541" t="n"/>
      <c r="I35" s="541" t="n"/>
      <c r="J35" s="541" t="n"/>
      <c r="K35" s="541" t="n"/>
      <c r="L35" s="541" t="n"/>
      <c r="M35" s="541" t="n"/>
      <c r="N35" s="541" t="n"/>
    </row>
    <row r="36">
      <c r="A36" s="541" t="n"/>
      <c r="B36" s="688" t="inlineStr">
        <is>
          <t>Charges d'intérêts</t>
        </is>
      </c>
      <c r="C36" s="689" t="inlineStr">
        <is>
          <t>Financement</t>
        </is>
      </c>
      <c r="D36" s="1005" t="n">
        <v>-1936</v>
      </c>
      <c r="E36" s="1005" t="n">
        <v>-1975</v>
      </c>
      <c r="F36" s="879">
        <f>IFERROR((D36-E36)/ABS(E36),"")</f>
        <v/>
      </c>
      <c r="G36" s="744" t="inlineStr">
        <is>
          <t>IFRS 18</t>
        </is>
      </c>
      <c r="H36" s="541" t="n"/>
      <c r="I36" s="541" t="n"/>
      <c r="J36" s="541" t="n"/>
      <c r="K36" s="541" t="n"/>
      <c r="L36" s="541" t="n"/>
      <c r="M36" s="541" t="n"/>
      <c r="N36" s="541" t="n"/>
    </row>
    <row r="37">
      <c r="A37" s="541" t="n"/>
      <c r="B37" s="748" t="inlineStr">
        <is>
          <t>Charge d'impôt (IS)</t>
        </is>
      </c>
      <c r="C37" s="749" t="inlineStr">
        <is>
          <t>Impôts</t>
        </is>
      </c>
      <c r="D37" s="1006" t="n">
        <v>-3100</v>
      </c>
      <c r="E37" s="1006" t="n">
        <v>-2525</v>
      </c>
      <c r="F37" s="884">
        <f>IFERROR((D37-E37)/ABS(E37),"")</f>
        <v/>
      </c>
      <c r="G37" s="750" t="inlineStr">
        <is>
          <t>IAS 12</t>
        </is>
      </c>
      <c r="H37" s="541" t="n"/>
      <c r="I37" s="541" t="n"/>
      <c r="J37" s="541" t="n"/>
      <c r="K37" s="541" t="n"/>
      <c r="L37" s="541" t="n"/>
      <c r="M37" s="541" t="n"/>
      <c r="N37" s="541" t="n"/>
    </row>
    <row r="38" ht="15.75" customHeight="1" s="500" thickBot="1">
      <c r="A38" s="541" t="n"/>
      <c r="B38" s="768" t="inlineStr">
        <is>
          <t>RÉSULTAT NET</t>
        </is>
      </c>
      <c r="C38" s="769" t="n"/>
      <c r="D38" s="1014">
        <f>D34+D35+D36+D37</f>
        <v/>
      </c>
      <c r="E38" s="1014">
        <f>E34+E35+E36+E37</f>
        <v/>
      </c>
      <c r="F38" s="886">
        <f>IFERROR((D38-E38)/ABS(E38),"")</f>
        <v/>
      </c>
      <c r="G38" s="770" t="inlineStr">
        <is>
          <t>🏆</t>
        </is>
      </c>
      <c r="H38" s="541" t="n"/>
      <c r="I38" s="541" t="n"/>
      <c r="J38" s="541" t="n"/>
      <c r="K38" s="541" t="n"/>
      <c r="L38" s="541" t="n"/>
      <c r="M38" s="541" t="n"/>
      <c r="N38" s="541" t="n"/>
    </row>
    <row r="39">
      <c r="A39" s="541" t="n"/>
      <c r="B39" s="541" t="n"/>
      <c r="C39" s="541" t="n"/>
      <c r="D39" s="541" t="n"/>
      <c r="E39" s="541" t="n"/>
      <c r="F39" s="541" t="n"/>
      <c r="G39" s="541" t="n"/>
      <c r="H39" s="541" t="n"/>
      <c r="I39" s="541" t="n"/>
      <c r="J39" s="541" t="n"/>
      <c r="K39" s="541" t="n"/>
      <c r="L39" s="541" t="n"/>
      <c r="M39" s="541" t="n"/>
      <c r="N39" s="541" t="n"/>
    </row>
    <row r="40">
      <c r="A40" s="541" t="n"/>
      <c r="B40" s="541" t="n"/>
      <c r="C40" s="541" t="n"/>
      <c r="D40" s="541" t="n"/>
      <c r="E40" s="541" t="n"/>
      <c r="F40" s="541" t="n"/>
      <c r="G40" s="541" t="n"/>
      <c r="H40" s="541" t="n"/>
      <c r="I40" s="541" t="n"/>
      <c r="J40" s="541" t="n"/>
      <c r="K40" s="541" t="n"/>
      <c r="L40" s="541" t="n"/>
      <c r="M40" s="541" t="n"/>
      <c r="N40" s="541" t="n"/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  <c r="I41" s="541" t="n"/>
      <c r="J41" s="541" t="n"/>
      <c r="K41" s="541" t="n"/>
      <c r="L41" s="541" t="n"/>
      <c r="M41" s="541" t="n"/>
      <c r="N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  <c r="I42" s="541" t="n"/>
      <c r="J42" s="541" t="n"/>
      <c r="K42" s="541" t="n"/>
      <c r="L42" s="541" t="n"/>
      <c r="M42" s="541" t="n"/>
      <c r="N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  <c r="I43" s="541" t="n"/>
      <c r="J43" s="541" t="n"/>
      <c r="K43" s="541" t="n"/>
      <c r="L43" s="541" t="n"/>
      <c r="M43" s="541" t="n"/>
      <c r="N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  <c r="I45" s="541" t="n"/>
      <c r="J45" s="541" t="n"/>
      <c r="K45" s="541" t="n"/>
      <c r="L45" s="541" t="n"/>
      <c r="M45" s="541" t="n"/>
      <c r="N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  <c r="I46" s="541" t="n"/>
      <c r="J46" s="541" t="n"/>
      <c r="K46" s="541" t="n"/>
      <c r="L46" s="541" t="n"/>
      <c r="M46" s="541" t="n"/>
      <c r="N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  <c r="I47" s="541" t="n"/>
      <c r="J47" s="541" t="n"/>
      <c r="K47" s="541" t="n"/>
      <c r="L47" s="541" t="n"/>
      <c r="M47" s="541" t="n"/>
      <c r="N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  <c r="I48" s="541" t="n"/>
      <c r="J48" s="541" t="n"/>
      <c r="K48" s="541" t="n"/>
      <c r="L48" s="541" t="n"/>
      <c r="M48" s="541" t="n"/>
      <c r="N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  <c r="I50" s="541" t="n"/>
      <c r="J50" s="541" t="n"/>
      <c r="K50" s="541" t="n"/>
      <c r="L50" s="541" t="n"/>
      <c r="M50" s="541" t="n"/>
      <c r="N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  <c r="I51" s="541" t="n"/>
      <c r="J51" s="541" t="n"/>
      <c r="K51" s="541" t="n"/>
      <c r="L51" s="541" t="n"/>
      <c r="M51" s="541" t="n"/>
      <c r="N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  <c r="I52" s="541" t="n"/>
      <c r="J52" s="541" t="n"/>
      <c r="K52" s="541" t="n"/>
      <c r="L52" s="541" t="n"/>
      <c r="M52" s="541" t="n"/>
      <c r="N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  <c r="I53" s="541" t="n"/>
      <c r="J53" s="541" t="n"/>
      <c r="K53" s="541" t="n"/>
      <c r="L53" s="541" t="n"/>
      <c r="M53" s="541" t="n"/>
      <c r="N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  <c r="I54" s="541" t="n"/>
      <c r="J54" s="541" t="n"/>
      <c r="K54" s="541" t="n"/>
      <c r="L54" s="541" t="n"/>
      <c r="M54" s="541" t="n"/>
      <c r="N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  <c r="I55" s="541" t="n"/>
      <c r="J55" s="541" t="n"/>
      <c r="K55" s="541" t="n"/>
      <c r="L55" s="541" t="n"/>
      <c r="M55" s="541" t="n"/>
      <c r="N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  <c r="I56" s="541" t="n"/>
      <c r="J56" s="541" t="n"/>
      <c r="K56" s="541" t="n"/>
      <c r="L56" s="541" t="n"/>
      <c r="M56" s="541" t="n"/>
      <c r="N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  <c r="I58" s="541" t="n"/>
      <c r="J58" s="541" t="n"/>
      <c r="K58" s="541" t="n"/>
      <c r="L58" s="541" t="n"/>
      <c r="M58" s="541" t="n"/>
      <c r="N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  <c r="I59" s="541" t="n"/>
      <c r="J59" s="541" t="n"/>
      <c r="K59" s="541" t="n"/>
      <c r="L59" s="541" t="n"/>
      <c r="M59" s="541" t="n"/>
      <c r="N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  <c r="I60" s="541" t="n"/>
      <c r="J60" s="541" t="n"/>
      <c r="K60" s="541" t="n"/>
      <c r="L60" s="541" t="n"/>
      <c r="M60" s="541" t="n"/>
      <c r="N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  <c r="I61" s="541" t="n"/>
      <c r="J61" s="541" t="n"/>
      <c r="K61" s="541" t="n"/>
      <c r="L61" s="541" t="n"/>
      <c r="M61" s="541" t="n"/>
      <c r="N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  <c r="I62" s="541" t="n"/>
      <c r="J62" s="541" t="n"/>
      <c r="K62" s="541" t="n"/>
      <c r="L62" s="541" t="n"/>
      <c r="M62" s="541" t="n"/>
      <c r="N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  <c r="I63" s="541" t="n"/>
      <c r="J63" s="541" t="n"/>
      <c r="K63" s="541" t="n"/>
      <c r="L63" s="541" t="n"/>
      <c r="M63" s="541" t="n"/>
      <c r="N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</row>
  </sheetData>
  <mergeCells count="5">
    <mergeCell ref="B28:G28"/>
    <mergeCell ref="B4:E4"/>
    <mergeCell ref="I13:M13"/>
    <mergeCell ref="B13:G13"/>
    <mergeCell ref="B2:N2"/>
  </mergeCells>
  <conditionalFormatting sqref="F16:F26">
    <cfRule type="cellIs" priority="5" operator="greaterThan" dxfId="0">
      <formula>0</formula>
    </cfRule>
    <cfRule type="cellIs" priority="6" operator="lessThan" dxfId="16">
      <formula>0</formula>
    </cfRule>
  </conditionalFormatting>
  <conditionalFormatting sqref="F30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F34">
    <cfRule type="cellIs" priority="3" operator="greaterThan" dxfId="5">
      <formula>0</formula>
    </cfRule>
    <cfRule type="cellIs" priority="4" operator="lessThan" dxfId="3">
      <formula>0</formula>
    </cfRule>
  </conditionalFormatting>
  <conditionalFormatting sqref="F30:F38">
    <cfRule type="cellIs" priority="7" operator="lessThan" dxfId="16">
      <formula>0</formula>
    </cfRule>
    <cfRule type="cellIs" priority="8" operator="greaterThanOrEqual" dxfId="0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2980B9"/>
    <outlinePr summaryBelow="1" summaryRight="1"/>
    <pageSetUpPr/>
  </sheetPr>
  <dimension ref="A1:Q60"/>
  <sheetViews>
    <sheetView topLeftCell="A16" workbookViewId="0">
      <selection activeCell="B29" sqref="B29:L29"/>
    </sheetView>
  </sheetViews>
  <sheetFormatPr baseColWidth="10" defaultRowHeight="15"/>
  <cols>
    <col width="13.7109375" customWidth="1" style="500" min="1" max="1"/>
    <col width="36.5703125" customWidth="1" style="500" min="2" max="2"/>
    <col width="22.85546875" customWidth="1" style="500" min="3" max="5"/>
    <col width="20.5703125" customWidth="1" style="500" min="6" max="6"/>
    <col width="18.28515625" customWidth="1" style="500" min="7" max="7"/>
    <col width="20.5703125" customWidth="1" style="500" min="8" max="8"/>
    <col width="18.28515625" customWidth="1" style="500" min="9" max="9"/>
    <col width="22.85546875" customWidth="1" style="500" min="10" max="10"/>
    <col width="18.28515625" customWidth="1" style="500" min="11" max="12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 ht="18.75" customHeight="1" s="500">
      <c r="A2" s="16" t="n"/>
      <c r="B2" s="527" t="inlineStr">
        <is>
          <t>🔄  ELIM – ÉCRITURES D'ÉLIMINATION INTERCOMPAGNIES &amp; INTRAGROUPE · Exercice 2025-2026</t>
        </is>
      </c>
      <c r="Q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</row>
    <row r="4" ht="15.75" customHeight="1" s="500">
      <c r="A4" s="16" t="n"/>
      <c r="B4" s="528" t="inlineStr">
        <is>
          <t>1.  TRANSACTIONS INTERCOMPAGNIES À ÉLIMINER</t>
        </is>
      </c>
      <c r="M4" s="16" t="n"/>
      <c r="N4" s="16" t="n"/>
      <c r="O4" s="16" t="n"/>
      <c r="P4" s="16" t="n"/>
      <c r="Q4" s="16" t="n"/>
    </row>
    <row r="5">
      <c r="A5" s="16" t="n"/>
      <c r="B5" s="543" t="inlineStr">
        <is>
          <t>Type</t>
        </is>
      </c>
      <c r="C5" s="543" t="inlineStr">
        <is>
          <t>Entité Vendeuse</t>
        </is>
      </c>
      <c r="D5" s="543" t="inlineStr">
        <is>
          <t>Entité Acheteuse</t>
        </is>
      </c>
      <c r="E5" s="543" t="inlineStr">
        <is>
          <t>Poste Actif</t>
        </is>
      </c>
      <c r="F5" s="543" t="inlineStr">
        <is>
          <t>Poste Passif</t>
        </is>
      </c>
      <c r="G5" s="543" t="inlineStr">
        <is>
          <t>Montant local</t>
        </is>
      </c>
      <c r="H5" s="543" t="inlineStr">
        <is>
          <t>Devise</t>
        </is>
      </c>
      <c r="I5" s="543" t="inlineStr">
        <is>
          <t>Taux</t>
        </is>
      </c>
      <c r="J5" s="543" t="inlineStr">
        <is>
          <t>Montant EUR k€</t>
        </is>
      </c>
      <c r="K5" s="543" t="inlineStr">
        <is>
          <t>Référence</t>
        </is>
      </c>
      <c r="L5" s="543" t="inlineStr">
        <is>
          <t>Statut</t>
        </is>
      </c>
      <c r="M5" s="16" t="n"/>
      <c r="N5" s="16" t="n"/>
      <c r="O5" s="16" t="n"/>
      <c r="P5" s="16" t="n"/>
      <c r="Q5" s="16" t="n"/>
    </row>
    <row r="6">
      <c r="A6" s="16" t="n"/>
      <c r="B6" s="41" t="inlineStr">
        <is>
          <t>Ventes IC marchandises</t>
        </is>
      </c>
      <c r="C6" s="41" t="inlineStr">
        <is>
          <t>FR_ParentCo</t>
        </is>
      </c>
      <c r="D6" s="41" t="inlineStr">
        <is>
          <t>DE_Filiale</t>
        </is>
      </c>
      <c r="E6" s="41" t="inlineStr">
        <is>
          <t>Créances IC</t>
        </is>
      </c>
      <c r="F6" s="41" t="inlineStr">
        <is>
          <t>Dettes IC</t>
        </is>
      </c>
      <c r="G6" s="41" t="n">
        <v>18500</v>
      </c>
      <c r="H6" s="41" t="inlineStr">
        <is>
          <t>EUR</t>
        </is>
      </c>
      <c r="I6" s="41" t="n">
        <v>1</v>
      </c>
      <c r="J6" s="41" t="n">
        <v>18500</v>
      </c>
      <c r="K6" s="41" t="inlineStr">
        <is>
          <t>IC-2025-001</t>
        </is>
      </c>
      <c r="L6" s="41" t="inlineStr">
        <is>
          <t>✅ Validé</t>
        </is>
      </c>
      <c r="M6" s="16" t="n"/>
      <c r="N6" s="16" t="n"/>
      <c r="O6" s="16" t="n"/>
      <c r="P6" s="16" t="n"/>
      <c r="Q6" s="16" t="n"/>
    </row>
    <row r="7">
      <c r="A7" s="16" t="n"/>
      <c r="B7" s="540" t="inlineStr">
        <is>
          <t>Ventes IC marchandises</t>
        </is>
      </c>
      <c r="C7" s="540" t="inlineStr">
        <is>
          <t>FR_ParentCo</t>
        </is>
      </c>
      <c r="D7" s="540" t="inlineStr">
        <is>
          <t>UK_Filiale</t>
        </is>
      </c>
      <c r="E7" s="540" t="inlineStr">
        <is>
          <t>Créances IC</t>
        </is>
      </c>
      <c r="F7" s="540" t="inlineStr">
        <is>
          <t>Dettes IC</t>
        </is>
      </c>
      <c r="G7" s="540" t="n">
        <v>12400</v>
      </c>
      <c r="H7" s="540" t="inlineStr">
        <is>
          <t>GBP</t>
        </is>
      </c>
      <c r="I7" s="540" t="n">
        <v>1.165</v>
      </c>
      <c r="J7" s="540" t="n">
        <v>14446</v>
      </c>
      <c r="K7" s="540" t="inlineStr">
        <is>
          <t>IC-2025-002</t>
        </is>
      </c>
      <c r="L7" s="540" t="inlineStr">
        <is>
          <t>✅ Validé</t>
        </is>
      </c>
      <c r="M7" s="16" t="n"/>
      <c r="N7" s="16" t="n"/>
      <c r="O7" s="16" t="n"/>
      <c r="P7" s="16" t="n"/>
      <c r="Q7" s="16" t="n"/>
    </row>
    <row r="8">
      <c r="A8" s="16" t="n"/>
      <c r="B8" s="41" t="inlineStr">
        <is>
          <t>Ventes IC services (management fees)</t>
        </is>
      </c>
      <c r="C8" s="41" t="inlineStr">
        <is>
          <t>FR_ParentCo</t>
        </is>
      </c>
      <c r="D8" s="41" t="inlineStr">
        <is>
          <t>US_Filiale</t>
        </is>
      </c>
      <c r="E8" s="41" t="inlineStr">
        <is>
          <t>Créances IC</t>
        </is>
      </c>
      <c r="F8" s="41" t="inlineStr">
        <is>
          <t>Dettes IC</t>
        </is>
      </c>
      <c r="G8" s="41" t="n">
        <v>8500</v>
      </c>
      <c r="H8" s="41" t="inlineStr">
        <is>
          <t>USD</t>
        </is>
      </c>
      <c r="I8" s="41" t="n">
        <v>0.918</v>
      </c>
      <c r="J8" s="41" t="n">
        <v>7803</v>
      </c>
      <c r="K8" s="41" t="inlineStr">
        <is>
          <t>IC-2025-003</t>
        </is>
      </c>
      <c r="L8" s="41" t="inlineStr">
        <is>
          <t>✅ Validé</t>
        </is>
      </c>
      <c r="M8" s="16" t="n"/>
      <c r="N8" s="16" t="n"/>
      <c r="O8" s="16" t="n"/>
      <c r="P8" s="16" t="n"/>
      <c r="Q8" s="16" t="n"/>
    </row>
    <row r="9">
      <c r="A9" s="16" t="n"/>
      <c r="B9" s="540" t="inlineStr">
        <is>
          <t>Prêt interco</t>
        </is>
      </c>
      <c r="C9" s="540" t="inlineStr">
        <is>
          <t>FR_ParentCo</t>
        </is>
      </c>
      <c r="D9" s="540" t="inlineStr">
        <is>
          <t>SG_Filiale</t>
        </is>
      </c>
      <c r="E9" s="540" t="inlineStr">
        <is>
          <t>Créance fin. IC</t>
        </is>
      </c>
      <c r="F9" s="540" t="inlineStr">
        <is>
          <t>Dette fin. IC</t>
        </is>
      </c>
      <c r="G9" s="540" t="n">
        <v>5200</v>
      </c>
      <c r="H9" s="540" t="inlineStr">
        <is>
          <t>SGD</t>
        </is>
      </c>
      <c r="I9" s="540" t="n">
        <v>0.678</v>
      </c>
      <c r="J9" s="540" t="n">
        <v>3526</v>
      </c>
      <c r="K9" s="540" t="inlineStr">
        <is>
          <t>IC-2025-004</t>
        </is>
      </c>
      <c r="L9" s="540" t="inlineStr">
        <is>
          <t>✅ Validé</t>
        </is>
      </c>
      <c r="M9" s="16" t="n"/>
      <c r="N9" s="16" t="n"/>
      <c r="O9" s="16" t="n"/>
      <c r="P9" s="16" t="n"/>
      <c r="Q9" s="16" t="n"/>
    </row>
    <row r="10">
      <c r="A10" s="16" t="n"/>
      <c r="B10" s="41" t="inlineStr">
        <is>
          <t>Dividendes IC reçus</t>
        </is>
      </c>
      <c r="C10" s="41" t="inlineStr">
        <is>
          <t>DE_Filiale</t>
        </is>
      </c>
      <c r="D10" s="41" t="inlineStr">
        <is>
          <t>FR_ParentCo</t>
        </is>
      </c>
      <c r="E10" s="41" t="inlineStr">
        <is>
          <t>Produits financ.</t>
        </is>
      </c>
      <c r="F10" s="41" t="inlineStr">
        <is>
          <t>Dividendes versés</t>
        </is>
      </c>
      <c r="G10" s="41" t="n">
        <v>4200</v>
      </c>
      <c r="H10" s="41" t="inlineStr">
        <is>
          <t>EUR</t>
        </is>
      </c>
      <c r="I10" s="41" t="n">
        <v>1</v>
      </c>
      <c r="J10" s="41" t="n">
        <v>4200</v>
      </c>
      <c r="K10" s="41" t="inlineStr">
        <is>
          <t>IC-2025-005</t>
        </is>
      </c>
      <c r="L10" s="41" t="inlineStr">
        <is>
          <t>✅ Validé</t>
        </is>
      </c>
      <c r="M10" s="16" t="n"/>
      <c r="N10" s="16" t="n"/>
      <c r="O10" s="16" t="n"/>
      <c r="P10" s="16" t="n"/>
      <c r="Q10" s="16" t="n"/>
    </row>
    <row r="11">
      <c r="A11" s="16" t="n"/>
      <c r="B11" s="42" t="inlineStr">
        <is>
          <t>Dividendes IC reçus</t>
        </is>
      </c>
      <c r="C11" s="42" t="inlineStr">
        <is>
          <t>UK_Filiale</t>
        </is>
      </c>
      <c r="D11" s="42" t="inlineStr">
        <is>
          <t>FR_ParentCo</t>
        </is>
      </c>
      <c r="E11" s="42" t="inlineStr">
        <is>
          <t>Produits financ.</t>
        </is>
      </c>
      <c r="F11" s="42" t="inlineStr">
        <is>
          <t>Dividendes versés</t>
        </is>
      </c>
      <c r="G11" s="42" t="n">
        <v>2800</v>
      </c>
      <c r="H11" s="42" t="inlineStr">
        <is>
          <t>GBP</t>
        </is>
      </c>
      <c r="I11" s="42" t="n">
        <v>1.165</v>
      </c>
      <c r="J11" s="42" t="n">
        <v>3262</v>
      </c>
      <c r="K11" s="42" t="inlineStr">
        <is>
          <t>IC-2025-006</t>
        </is>
      </c>
      <c r="L11" s="42" t="inlineStr">
        <is>
          <t>⚠️ À vérifier</t>
        </is>
      </c>
      <c r="M11" s="16" t="n"/>
      <c r="N11" s="16" t="n"/>
      <c r="O11" s="16" t="n"/>
      <c r="P11" s="16" t="n"/>
      <c r="Q11" s="16" t="n"/>
    </row>
    <row r="12">
      <c r="A12" s="16" t="n"/>
      <c r="B12" s="41" t="inlineStr">
        <is>
          <t>Provision IC (risque)</t>
        </is>
      </c>
      <c r="C12" s="41" t="inlineStr">
        <is>
          <t>FR_ParentCo</t>
        </is>
      </c>
      <c r="D12" s="41" t="inlineStr">
        <is>
          <t>SG_Filiale</t>
        </is>
      </c>
      <c r="E12" s="41" t="inlineStr">
        <is>
          <t>Provision actif</t>
        </is>
      </c>
      <c r="F12" s="41" t="inlineStr">
        <is>
          <t>Risque passif</t>
        </is>
      </c>
      <c r="G12" s="41" t="n">
        <v>1500</v>
      </c>
      <c r="H12" s="41" t="inlineStr">
        <is>
          <t>EUR</t>
        </is>
      </c>
      <c r="I12" s="41" t="n">
        <v>1</v>
      </c>
      <c r="J12" s="41" t="n">
        <v>1500</v>
      </c>
      <c r="K12" s="41" t="inlineStr">
        <is>
          <t>IC-2025-007</t>
        </is>
      </c>
      <c r="L12" s="41" t="inlineStr">
        <is>
          <t>✅ Validé</t>
        </is>
      </c>
      <c r="M12" s="16" t="n"/>
      <c r="N12" s="16" t="n"/>
      <c r="O12" s="16" t="n"/>
      <c r="P12" s="16" t="n"/>
      <c r="Q12" s="16" t="n"/>
    </row>
    <row r="13">
      <c r="A13" s="16" t="n"/>
      <c r="B13" s="24" t="inlineStr">
        <is>
          <t>TOTAL ÉLIMINATIONS IC</t>
        </is>
      </c>
      <c r="C13" s="24" t="n"/>
      <c r="D13" s="24" t="n"/>
      <c r="E13" s="24" t="n"/>
      <c r="F13" s="24" t="n"/>
      <c r="G13" s="24" t="n"/>
      <c r="H13" s="24" t="n"/>
      <c r="I13" s="24" t="n"/>
      <c r="J13" s="24">
        <f>SUM(I6:I12)</f>
        <v/>
      </c>
      <c r="K13" s="24" t="n"/>
      <c r="L13" s="24">
        <f>COUNTA(K6:K12)&amp;" lignes"</f>
        <v/>
      </c>
      <c r="M13" s="16" t="n"/>
      <c r="N13" s="16" t="n"/>
      <c r="O13" s="16" t="n"/>
      <c r="P13" s="16" t="n"/>
      <c r="Q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 ht="15.75" customHeight="1" s="500">
      <c r="A15" s="16" t="n"/>
      <c r="B15" s="528" t="inlineStr">
        <is>
          <t>2.  ÉLIMINATION DES TITRES DE PARTICIPATION &amp; GOODWILL</t>
        </is>
      </c>
      <c r="M15" s="16" t="n"/>
      <c r="N15" s="16" t="n"/>
      <c r="O15" s="16" t="n"/>
      <c r="P15" s="16" t="n"/>
      <c r="Q15" s="16" t="n"/>
    </row>
    <row r="16">
      <c r="A16" s="16" t="n"/>
      <c r="B16" s="543" t="inlineStr">
        <is>
          <t>Filiale</t>
        </is>
      </c>
      <c r="C16" s="543" t="inlineStr">
        <is>
          <t>% Acq.</t>
        </is>
      </c>
      <c r="D16" s="543" t="inlineStr">
        <is>
          <t>Prix acquisition</t>
        </is>
      </c>
      <c r="E16" s="543" t="inlineStr">
        <is>
          <t>Actif net juste val.</t>
        </is>
      </c>
      <c r="F16" s="543" t="inlineStr">
        <is>
          <t>Goodwill brut</t>
        </is>
      </c>
      <c r="G16" s="543" t="inlineStr">
        <is>
          <t>Dépréciation GW cumulée</t>
        </is>
      </c>
      <c r="H16" s="543" t="inlineStr">
        <is>
          <t>Goodwill net</t>
        </is>
      </c>
      <c r="I16" s="543" t="inlineStr">
        <is>
          <t>Intérêts minoritaires</t>
        </is>
      </c>
      <c r="J16" s="543" t="inlineStr">
        <is>
          <t>Méthode IFRS 3</t>
        </is>
      </c>
      <c r="K16" s="543" t="inlineStr">
        <is>
          <t>Date acq.</t>
        </is>
      </c>
      <c r="L16" s="543" t="inlineStr">
        <is>
          <t>Statut</t>
        </is>
      </c>
      <c r="M16" s="16" t="n"/>
      <c r="N16" s="16" t="n"/>
      <c r="O16" s="16" t="n"/>
      <c r="P16" s="16" t="n"/>
      <c r="Q16" s="16" t="n"/>
    </row>
    <row r="17">
      <c r="A17" s="16" t="n"/>
      <c r="B17" s="41" t="inlineStr">
        <is>
          <t>DE_Filiale</t>
        </is>
      </c>
      <c r="C17" s="43" t="n">
        <v>1</v>
      </c>
      <c r="D17" s="41" t="n">
        <v>85000</v>
      </c>
      <c r="E17" s="41" t="n">
        <v>62000</v>
      </c>
      <c r="F17" s="41">
        <f>D17-E17</f>
        <v/>
      </c>
      <c r="G17" s="41" t="n">
        <v>3500</v>
      </c>
      <c r="H17" s="41">
        <f>F17-G17</f>
        <v/>
      </c>
      <c r="I17" s="41" t="n">
        <v>0</v>
      </c>
      <c r="J17" s="41" t="inlineStr">
        <is>
          <t>IFRS 3 – Regroupement</t>
        </is>
      </c>
      <c r="K17" s="44" t="n">
        <v>43472</v>
      </c>
      <c r="L17" s="41" t="inlineStr">
        <is>
          <t>✅</t>
        </is>
      </c>
      <c r="M17" s="16" t="n"/>
      <c r="N17" s="16" t="n"/>
      <c r="O17" s="16" t="n"/>
      <c r="P17" s="16" t="n"/>
      <c r="Q17" s="16" t="n"/>
    </row>
    <row r="18">
      <c r="A18" s="16" t="n"/>
      <c r="B18" s="540" t="inlineStr">
        <is>
          <t>UK_Filiale</t>
        </is>
      </c>
      <c r="C18" s="37" t="n">
        <v>0.8</v>
      </c>
      <c r="D18" s="540" t="n">
        <v>72000</v>
      </c>
      <c r="E18" s="540" t="n">
        <v>48500</v>
      </c>
      <c r="F18" s="540">
        <f>D18-E18</f>
        <v/>
      </c>
      <c r="G18" s="540" t="n">
        <v>4200</v>
      </c>
      <c r="H18" s="540">
        <f>F18-G18</f>
        <v/>
      </c>
      <c r="I18" s="540" t="n">
        <v>12400</v>
      </c>
      <c r="J18" s="540" t="inlineStr">
        <is>
          <t>IFRS 3 – Regroupement</t>
        </is>
      </c>
      <c r="K18" s="540" t="inlineStr">
        <is>
          <t>15/03/2020</t>
        </is>
      </c>
      <c r="L18" s="540" t="inlineStr">
        <is>
          <t>✅</t>
        </is>
      </c>
      <c r="M18" s="16" t="n"/>
      <c r="N18" s="16" t="n"/>
      <c r="O18" s="16" t="n"/>
      <c r="P18" s="16" t="n"/>
      <c r="Q18" s="16" t="n"/>
    </row>
    <row r="19">
      <c r="A19" s="16" t="n"/>
      <c r="B19" s="41" t="inlineStr">
        <is>
          <t>US_Filiale</t>
        </is>
      </c>
      <c r="C19" s="43" t="n">
        <v>0.75</v>
      </c>
      <c r="D19" s="41" t="n">
        <v>95000</v>
      </c>
      <c r="E19" s="41" t="n">
        <v>71000</v>
      </c>
      <c r="F19" s="41">
        <f>D19-E19</f>
        <v/>
      </c>
      <c r="G19" s="41" t="n">
        <v>5800</v>
      </c>
      <c r="H19" s="41">
        <f>F19-G19</f>
        <v/>
      </c>
      <c r="I19" s="41" t="n">
        <v>18200</v>
      </c>
      <c r="J19" s="41" t="inlineStr">
        <is>
          <t>IFRS 3 – Regroupement</t>
        </is>
      </c>
      <c r="K19" s="44" t="n">
        <v>44197</v>
      </c>
      <c r="L19" s="41" t="inlineStr">
        <is>
          <t>✅</t>
        </is>
      </c>
      <c r="M19" s="16" t="n"/>
      <c r="N19" s="16" t="n"/>
      <c r="O19" s="16" t="n"/>
      <c r="P19" s="16" t="n"/>
      <c r="Q19" s="16" t="n"/>
    </row>
    <row r="20">
      <c r="A20" s="16" t="n"/>
      <c r="B20" s="540" t="inlineStr">
        <is>
          <t>SG_Filiale</t>
        </is>
      </c>
      <c r="C20" s="37" t="n">
        <v>0.6</v>
      </c>
      <c r="D20" s="540" t="n">
        <v>38000</v>
      </c>
      <c r="E20" s="540" t="n">
        <v>28500</v>
      </c>
      <c r="F20" s="540">
        <f>D20-E20</f>
        <v/>
      </c>
      <c r="G20" s="540" t="n">
        <v>1200</v>
      </c>
      <c r="H20" s="540">
        <f>F20-G20</f>
        <v/>
      </c>
      <c r="I20" s="540" t="n">
        <v>7600</v>
      </c>
      <c r="J20" s="540" t="inlineStr">
        <is>
          <t>IFRS 3 – Regroupement</t>
        </is>
      </c>
      <c r="K20" s="45" t="n">
        <v>44570</v>
      </c>
      <c r="L20" s="540" t="inlineStr">
        <is>
          <t>✅</t>
        </is>
      </c>
      <c r="M20" s="16" t="n"/>
      <c r="N20" s="16" t="n"/>
      <c r="O20" s="16" t="n"/>
      <c r="P20" s="16" t="n"/>
      <c r="Q20" s="16" t="n"/>
    </row>
    <row r="21">
      <c r="A21" s="16" t="n"/>
      <c r="B21" s="24" t="inlineStr">
        <is>
          <t>TOTAL</t>
        </is>
      </c>
      <c r="C21" s="24" t="n"/>
      <c r="D21" s="24">
        <f>SUM(D17:D20)</f>
        <v/>
      </c>
      <c r="E21" s="24">
        <f>SUM(E17:E20)</f>
        <v/>
      </c>
      <c r="F21" s="24">
        <f>SUM(F17:F20)</f>
        <v/>
      </c>
      <c r="G21" s="24">
        <f>SUM(G17:G20)</f>
        <v/>
      </c>
      <c r="H21" s="24">
        <f>SUM(H17:H20)</f>
        <v/>
      </c>
      <c r="I21" s="24">
        <f>SUM(I17:I20)</f>
        <v/>
      </c>
      <c r="J21" s="24" t="n"/>
      <c r="K21" s="24" t="n"/>
      <c r="L21" s="24" t="n"/>
      <c r="M21" s="16" t="n"/>
      <c r="N21" s="16" t="n"/>
      <c r="O21" s="16" t="n"/>
      <c r="P21" s="16" t="n"/>
      <c r="Q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 ht="15.75" customHeight="1" s="500">
      <c r="A23" s="16" t="n"/>
      <c r="B23" s="528" t="inlineStr">
        <is>
          <t>3.  ÉLIMINATION DES PROFITS INTERNES (Stocks &amp; Actifs)</t>
        </is>
      </c>
      <c r="M23" s="16" t="n"/>
      <c r="N23" s="16" t="n"/>
      <c r="O23" s="16" t="n"/>
      <c r="P23" s="16" t="n"/>
      <c r="Q23" s="16" t="n"/>
    </row>
    <row r="24">
      <c r="A24" s="16" t="n"/>
      <c r="B24" s="543" t="inlineStr">
        <is>
          <t>Actif</t>
        </is>
      </c>
      <c r="C24" s="543" t="inlineStr">
        <is>
          <t>Entité vendeuse</t>
        </is>
      </c>
      <c r="D24" s="543" t="inlineStr">
        <is>
          <t>Entité acheteuse</t>
        </is>
      </c>
      <c r="E24" s="543" t="inlineStr">
        <is>
          <t>Coût revient</t>
        </is>
      </c>
      <c r="F24" s="543" t="inlineStr">
        <is>
          <t>Prix vente IC</t>
        </is>
      </c>
      <c r="G24" s="543" t="inlineStr">
        <is>
          <t>Marge IC</t>
        </is>
      </c>
      <c r="H24" s="543" t="inlineStr">
        <is>
          <t>Impact bilan (stock)</t>
        </is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16" t="n"/>
      <c r="B25" s="41" t="inlineStr">
        <is>
          <t>Stock marchandises DE</t>
        </is>
      </c>
      <c r="C25" s="41" t="inlineStr">
        <is>
          <t>FR_ParentCo</t>
        </is>
      </c>
      <c r="D25" s="41" t="inlineStr">
        <is>
          <t>DE_Filiale</t>
        </is>
      </c>
      <c r="E25" s="41" t="n">
        <v>14800</v>
      </c>
      <c r="F25" s="41" t="n">
        <v>18500</v>
      </c>
      <c r="G25" s="41">
        <f>G25-F25</f>
        <v/>
      </c>
      <c r="H25" s="41">
        <f>H25</f>
        <v/>
      </c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16" t="n"/>
      <c r="B26" s="540" t="inlineStr">
        <is>
          <t>Stock matières UK</t>
        </is>
      </c>
      <c r="C26" s="540" t="inlineStr">
        <is>
          <t>FR_ParentCo</t>
        </is>
      </c>
      <c r="D26" s="540" t="inlineStr">
        <is>
          <t>UK_Filiale</t>
        </is>
      </c>
      <c r="E26" s="540" t="n">
        <v>9800</v>
      </c>
      <c r="F26" s="540" t="n">
        <v>12400</v>
      </c>
      <c r="G26" s="540">
        <f>G26-F26</f>
        <v/>
      </c>
      <c r="H26" s="540">
        <f>H26</f>
        <v/>
      </c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s="16" t="n"/>
      <c r="B27" s="24" t="inlineStr">
        <is>
          <t>TOTAL ÉLIM. PROFITS INTERNES</t>
        </is>
      </c>
      <c r="C27" s="24" t="n"/>
      <c r="D27" s="24" t="n"/>
      <c r="E27" s="24">
        <f>SUM(F25:F26)</f>
        <v/>
      </c>
      <c r="F27" s="24">
        <f>SUM(G25:G26)</f>
        <v/>
      </c>
      <c r="G27" s="24">
        <f>SUM(H25:H26)</f>
        <v/>
      </c>
      <c r="H27" s="24">
        <f>SUM(I25:I26)</f>
        <v/>
      </c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 ht="15.75" customHeight="1" s="500">
      <c r="A29" s="16" t="n"/>
      <c r="B29" s="521" t="inlineStr">
        <is>
          <t>4.  RÉCONCILIATION IC – CONTRÔLE DÉBIT/CRÉDIT</t>
        </is>
      </c>
      <c r="M29" s="16" t="n"/>
      <c r="N29" s="16" t="n"/>
      <c r="O29" s="16" t="n"/>
      <c r="P29" s="16" t="n"/>
      <c r="Q29" s="16" t="n"/>
    </row>
    <row r="30">
      <c r="A30" s="16" t="n"/>
      <c r="B30" s="543" t="inlineStr">
        <is>
          <t>Poste</t>
        </is>
      </c>
      <c r="C30" s="543" t="inlineStr">
        <is>
          <t>Actif IC total</t>
        </is>
      </c>
      <c r="D30" s="543" t="inlineStr">
        <is>
          <t>Passif IC total</t>
        </is>
      </c>
      <c r="E30" s="543" t="inlineStr">
        <is>
          <t>Écart (doit = 0)</t>
        </is>
      </c>
      <c r="F30" s="543" t="inlineStr">
        <is>
          <t>Statut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16" t="n"/>
      <c r="B31" s="46" t="inlineStr">
        <is>
          <t>Créances / Dettes commerciales IC</t>
        </is>
      </c>
      <c r="C31" s="46" t="n">
        <v>48900</v>
      </c>
      <c r="D31" s="46" t="n">
        <v>48900</v>
      </c>
      <c r="E31" s="46">
        <f>C31-D31</f>
        <v/>
      </c>
      <c r="F31" s="46">
        <f>IF(E31=0,"✅ OK","⚠️ ÉCART")</f>
        <v/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16" t="n"/>
      <c r="B32" s="17" t="inlineStr">
        <is>
          <t>Prêts / Emprunts IC financiers</t>
        </is>
      </c>
      <c r="C32" s="17" t="n">
        <v>5200</v>
      </c>
      <c r="D32" s="17" t="n">
        <v>5200</v>
      </c>
      <c r="E32" s="17">
        <f>C32-D32</f>
        <v/>
      </c>
      <c r="F32" s="17">
        <f>IF(E32=0,"✅ OK","⚠️ ÉCART")</f>
        <v/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s="16" t="n"/>
      <c r="B33" s="46" t="inlineStr">
        <is>
          <t>Dividendes IC</t>
        </is>
      </c>
      <c r="C33" s="46" t="n">
        <v>7462</v>
      </c>
      <c r="D33" s="46" t="n">
        <v>7462</v>
      </c>
      <c r="E33" s="46">
        <f>C33-D33</f>
        <v/>
      </c>
      <c r="F33" s="46">
        <f>IF(E33=0,"✅ OK","⚠️ ÉCART")</f>
        <v/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16" t="n"/>
      <c r="B34" s="27" t="inlineStr">
        <is>
          <t>TOTAL CONTRÔLE</t>
        </is>
      </c>
      <c r="C34" s="27">
        <f>SUM(C31:C33)</f>
        <v/>
      </c>
      <c r="D34" s="27">
        <f>SUM(D31:D33)</f>
        <v/>
      </c>
      <c r="E34" s="27">
        <f>C34-D34</f>
        <v/>
      </c>
      <c r="F34" s="27">
        <f>IF(E34=0,"✅ ÉQUILIBRÉ","🚨 REVOIR")</f>
        <v/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</row>
  </sheetData>
  <mergeCells count="5">
    <mergeCell ref="B4:L4"/>
    <mergeCell ref="B2:P2"/>
    <mergeCell ref="B29:L29"/>
    <mergeCell ref="B15:L15"/>
    <mergeCell ref="B23:L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2980B9"/>
    <outlinePr summaryBelow="1" summaryRight="1"/>
    <pageSetUpPr/>
  </sheetPr>
  <dimension ref="A1:S70"/>
  <sheetViews>
    <sheetView workbookViewId="0">
      <pane ySplit="4" topLeftCell="A5" activePane="bottomLeft" state="frozen"/>
      <selection pane="bottomLeft" activeCell="C6" sqref="C6"/>
    </sheetView>
  </sheetViews>
  <sheetFormatPr baseColWidth="10" defaultRowHeight="15"/>
  <cols>
    <col width="3.85546875" customWidth="1" style="500" min="1" max="1"/>
    <col width="53.28515625" customWidth="1" style="500" min="2" max="2"/>
    <col width="17.140625" customWidth="1" style="500" min="3" max="11"/>
    <col width="11.42578125" customWidth="1" style="500" min="12" max="12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 ht="18.75" customHeight="1" s="500">
      <c r="A2" s="16" t="n"/>
      <c r="B2" s="527" t="inlineStr">
        <is>
          <t>📊  BILAN CONSOLIDÉ – GROUPE MULTINATIONAL · IFRS · Exercice 2025-2026 (en k€)</t>
        </is>
      </c>
      <c r="Q2" s="16" t="n"/>
      <c r="R2" s="16" t="n"/>
      <c r="S2" s="16" t="n"/>
    </row>
    <row r="3">
      <c r="A3" s="16" t="n"/>
      <c r="B3" s="529" t="inlineStr">
        <is>
          <t>⚠️  Conversion IAS 21 : UK×1.1650 · US×0.9180 · SG×0.6780 (taux clôture) | Note : données converties en EUR avant agrégation</t>
        </is>
      </c>
      <c r="M3" s="16" t="n"/>
      <c r="N3" s="16" t="n"/>
      <c r="O3" s="16" t="n"/>
      <c r="P3" s="16" t="n"/>
      <c r="Q3" s="16" t="n"/>
      <c r="R3" s="16" t="n"/>
      <c r="S3" s="16" t="n"/>
    </row>
    <row r="4">
      <c r="A4" s="16" t="n"/>
      <c r="B4" s="681" t="inlineStr">
        <is>
          <t>Poste IFRS</t>
        </is>
      </c>
      <c r="C4" s="682" t="inlineStr">
        <is>
          <t>FR_ParentCo</t>
        </is>
      </c>
      <c r="D4" s="682" t="inlineStr">
        <is>
          <t>DE_Filiale (EUR)</t>
        </is>
      </c>
      <c r="E4" s="682" t="inlineStr">
        <is>
          <t>UK_Filiale (EUR)</t>
        </is>
      </c>
      <c r="F4" s="682" t="inlineStr">
        <is>
          <t>US_Filiale (EUR)</t>
        </is>
      </c>
      <c r="G4" s="682" t="inlineStr">
        <is>
          <t>SG_Filiale (EUR)</t>
        </is>
      </c>
      <c r="H4" s="682" t="inlineStr">
        <is>
          <t>AGRÉGÉ BRUT</t>
        </is>
      </c>
      <c r="I4" s="682" t="inlineStr">
        <is>
          <t>ÉLIMINATIONS</t>
        </is>
      </c>
      <c r="J4" s="682" t="inlineStr">
        <is>
          <t>CONSOLIDÉ N</t>
        </is>
      </c>
      <c r="K4" s="682" t="inlineStr">
        <is>
          <t>CONSOLIDÉ N-1</t>
        </is>
      </c>
      <c r="L4" s="684" t="inlineStr">
        <is>
          <t>Δ %</t>
        </is>
      </c>
      <c r="M4" s="16" t="n"/>
      <c r="N4" s="16" t="n"/>
      <c r="O4" s="16" t="n"/>
      <c r="P4" s="16" t="n"/>
      <c r="Q4" s="16" t="n"/>
      <c r="R4" s="16" t="n"/>
      <c r="S4" s="16" t="n"/>
    </row>
    <row r="5">
      <c r="A5" s="16" t="n"/>
      <c r="B5" s="695" t="inlineStr">
        <is>
          <t>ACTIFS NON COURANTS</t>
        </is>
      </c>
      <c r="C5" s="696" t="n"/>
      <c r="D5" s="696" t="n"/>
      <c r="E5" s="696" t="n"/>
      <c r="F5" s="696" t="n"/>
      <c r="G5" s="696" t="n"/>
      <c r="H5" s="696">
        <f>SUM(C5:G5)</f>
        <v/>
      </c>
      <c r="I5" s="696" t="n"/>
      <c r="J5" s="696">
        <f>SUM(C5:H5)</f>
        <v/>
      </c>
      <c r="K5" s="696" t="n"/>
      <c r="L5" s="1015" t="n"/>
      <c r="M5" s="16" t="n"/>
      <c r="N5" s="16" t="n"/>
      <c r="O5" s="16" t="n"/>
      <c r="P5" s="16" t="n"/>
      <c r="Q5" s="16" t="n"/>
      <c r="R5" s="16" t="n"/>
      <c r="S5" s="16" t="n"/>
    </row>
    <row r="6">
      <c r="A6" s="16" t="n"/>
      <c r="B6" s="690" t="inlineStr">
        <is>
          <t>Goodwill net (IFRS 3)</t>
        </is>
      </c>
      <c r="C6" s="1016" t="n">
        <v>61000</v>
      </c>
      <c r="D6" s="1016" t="n">
        <v>20000</v>
      </c>
      <c r="E6" s="1016" t="n">
        <v>40800</v>
      </c>
      <c r="F6" s="1016" t="n">
        <v>16708</v>
      </c>
      <c r="G6" s="1016" t="n">
        <v>5627</v>
      </c>
      <c r="H6" s="1016">
        <f>SUM(C6:G6)</f>
        <v/>
      </c>
      <c r="I6" s="1016" t="n">
        <v>-85000</v>
      </c>
      <c r="J6" s="1016">
        <f>H6+I6</f>
        <v/>
      </c>
      <c r="K6" s="1016" t="n">
        <v>85000</v>
      </c>
      <c r="L6" s="814">
        <f>IFERROR((J6-K6)/ABS(K6),"")</f>
        <v/>
      </c>
      <c r="M6" s="16" t="n"/>
      <c r="N6" s="16" t="n"/>
      <c r="O6" s="16" t="n"/>
      <c r="P6" s="16" t="n"/>
      <c r="Q6" s="16" t="n"/>
      <c r="R6" s="16" t="n"/>
      <c r="S6" s="16" t="n"/>
    </row>
    <row r="7">
      <c r="A7" s="16" t="n"/>
      <c r="B7" s="688" t="inlineStr">
        <is>
          <t>Autres immobi. incorporelles</t>
        </is>
      </c>
      <c r="C7" s="1005" t="n">
        <v>18000</v>
      </c>
      <c r="D7" s="1005" t="n">
        <v>14500</v>
      </c>
      <c r="E7" s="1005" t="n">
        <v>47765</v>
      </c>
      <c r="F7" s="1005" t="n">
        <v>9180</v>
      </c>
      <c r="G7" s="1005" t="n">
        <v>16817</v>
      </c>
      <c r="H7" s="1005">
        <f>SUM(C7:G7)</f>
        <v/>
      </c>
      <c r="I7" s="1005" t="n">
        <v>0</v>
      </c>
      <c r="J7" s="1005">
        <f>H7+I7</f>
        <v/>
      </c>
      <c r="K7" s="1005" t="n">
        <v>97000</v>
      </c>
      <c r="L7" s="812">
        <f>IFERROR((J7-K7)/ABS(K7),"")</f>
        <v/>
      </c>
      <c r="M7" s="16" t="n"/>
      <c r="N7" s="16" t="n"/>
      <c r="O7" s="16" t="n"/>
      <c r="P7" s="16" t="n"/>
      <c r="Q7" s="16" t="n"/>
      <c r="R7" s="16" t="n"/>
      <c r="S7" s="16" t="n"/>
    </row>
    <row r="8">
      <c r="A8" s="16" t="n"/>
      <c r="B8" s="690" t="inlineStr">
        <is>
          <t>Immobilisations corporelles</t>
        </is>
      </c>
      <c r="C8" s="1016" t="n">
        <v>142000</v>
      </c>
      <c r="D8" s="1016" t="n">
        <v>95000</v>
      </c>
      <c r="E8" s="1016" t="n">
        <v>79220</v>
      </c>
      <c r="F8" s="1016" t="n">
        <v>100980</v>
      </c>
      <c r="G8" s="1016" t="n">
        <v>28476</v>
      </c>
      <c r="H8" s="1016">
        <f>SUM(C8:G8)</f>
        <v/>
      </c>
      <c r="I8" s="1016" t="n">
        <v>0</v>
      </c>
      <c r="J8" s="1016">
        <f>H8+I8</f>
        <v/>
      </c>
      <c r="K8" s="1016" t="n">
        <v>418000</v>
      </c>
      <c r="L8" s="814">
        <f>IFERROR((J8-K8)/ABS(K8),"")</f>
        <v/>
      </c>
      <c r="M8" s="16" t="n"/>
      <c r="N8" s="16" t="n"/>
      <c r="O8" s="16" t="n"/>
      <c r="P8" s="16" t="n"/>
      <c r="Q8" s="16" t="n"/>
      <c r="R8" s="16" t="n"/>
      <c r="S8" s="16" t="n"/>
    </row>
    <row r="9">
      <c r="A9" s="16" t="n"/>
      <c r="B9" s="688" t="inlineStr">
        <is>
          <t>Actifs droits d'utilisation (IFRS 16)</t>
        </is>
      </c>
      <c r="C9" s="1005" t="n">
        <v>28500</v>
      </c>
      <c r="D9" s="1005" t="n">
        <v>12000</v>
      </c>
      <c r="E9" s="1005" t="n">
        <v>20970</v>
      </c>
      <c r="F9" s="1005" t="n">
        <v>20196</v>
      </c>
      <c r="G9" s="1005" t="n">
        <v>4068</v>
      </c>
      <c r="H9" s="1005">
        <f>SUM(C9:G9)</f>
        <v/>
      </c>
      <c r="I9" s="1005" t="n">
        <v>0</v>
      </c>
      <c r="J9" s="1005">
        <f>H9+I9</f>
        <v/>
      </c>
      <c r="K9" s="1005" t="n">
        <v>78000</v>
      </c>
      <c r="L9" s="812">
        <f>IFERROR((J9-K9)/ABS(K9),"")</f>
        <v/>
      </c>
      <c r="M9" s="16" t="n"/>
      <c r="N9" s="16" t="n"/>
      <c r="O9" s="16" t="n"/>
      <c r="P9" s="16" t="n"/>
      <c r="Q9" s="16" t="n"/>
      <c r="R9" s="16" t="n"/>
      <c r="S9" s="16" t="n"/>
    </row>
    <row r="10">
      <c r="A10" s="16" t="n"/>
      <c r="B10" s="690" t="inlineStr">
        <is>
          <t>Impôts différés actifs</t>
        </is>
      </c>
      <c r="C10" s="1016" t="n">
        <v>12400</v>
      </c>
      <c r="D10" s="1016" t="n">
        <v>5200</v>
      </c>
      <c r="E10" s="1016" t="n">
        <v>7922</v>
      </c>
      <c r="F10" s="1016" t="n">
        <v>8446</v>
      </c>
      <c r="G10" s="1016" t="n">
        <v>2373</v>
      </c>
      <c r="H10" s="1016">
        <f>SUM(C10:G10)</f>
        <v/>
      </c>
      <c r="I10" s="1016" t="n">
        <v>0</v>
      </c>
      <c r="J10" s="1016">
        <f>H10+I10</f>
        <v/>
      </c>
      <c r="K10" s="1016" t="n">
        <v>32000</v>
      </c>
      <c r="L10" s="814">
        <f>IFERROR((J10-K10)/ABS(K10),"")</f>
        <v/>
      </c>
      <c r="M10" s="16" t="n"/>
      <c r="N10" s="16" t="n"/>
      <c r="O10" s="16" t="n"/>
      <c r="P10" s="16" t="n"/>
      <c r="Q10" s="16" t="n"/>
      <c r="R10" s="16" t="n"/>
      <c r="S10" s="16" t="n"/>
    </row>
    <row r="11">
      <c r="A11" s="16" t="n"/>
      <c r="B11" s="705" t="inlineStr">
        <is>
          <t>Autres actifs non courants</t>
        </is>
      </c>
      <c r="C11" s="1012" t="n">
        <v>8500</v>
      </c>
      <c r="D11" s="1012" t="n">
        <v>4800</v>
      </c>
      <c r="E11" s="1012" t="n">
        <v>6058</v>
      </c>
      <c r="F11" s="1012" t="n">
        <v>6885</v>
      </c>
      <c r="G11" s="1012" t="n">
        <v>1898</v>
      </c>
      <c r="H11" s="1012">
        <f>SUM(C11:G11)</f>
        <v/>
      </c>
      <c r="I11" s="1012" t="n">
        <v>0</v>
      </c>
      <c r="J11" s="1012">
        <f>H11+I11</f>
        <v/>
      </c>
      <c r="K11" s="1012" t="n">
        <v>25000</v>
      </c>
      <c r="L11" s="816">
        <f>IFERROR((J11-K11)/ABS(K11),"")</f>
        <v/>
      </c>
      <c r="M11" s="16" t="n"/>
      <c r="N11" s="16" t="n"/>
      <c r="O11" s="16" t="n"/>
      <c r="P11" s="16" t="n"/>
      <c r="Q11" s="16" t="n"/>
      <c r="R11" s="16" t="n"/>
      <c r="S11" s="16" t="n"/>
    </row>
    <row r="12" ht="15.75" customHeight="1" s="500" thickBot="1">
      <c r="A12" s="16" t="n"/>
      <c r="B12" s="709" t="inlineStr">
        <is>
          <t>TOTAL ACTIFS NON COURANTS</t>
        </is>
      </c>
      <c r="C12" s="1017">
        <f>SUM(C6:C11)</f>
        <v/>
      </c>
      <c r="D12" s="1017">
        <f>SUM(D6:D11)</f>
        <v/>
      </c>
      <c r="E12" s="1017">
        <f>SUM(E6:E11)</f>
        <v/>
      </c>
      <c r="F12" s="1017">
        <f>SUM(F6:F11)</f>
        <v/>
      </c>
      <c r="G12" s="1017">
        <f>SUM(G6:G11)</f>
        <v/>
      </c>
      <c r="H12" s="1017">
        <f>SUM(H6:H11)</f>
        <v/>
      </c>
      <c r="I12" s="1017">
        <f>SUM(I6:I11)</f>
        <v/>
      </c>
      <c r="J12" s="1017">
        <f>SUM(J6:J11)</f>
        <v/>
      </c>
      <c r="K12" s="1017" t="n">
        <v>720000</v>
      </c>
      <c r="L12" s="818">
        <f>IFERROR((J12-K12)/ABS(K12),"")</f>
        <v/>
      </c>
      <c r="M12" s="16" t="n"/>
      <c r="N12" s="16" t="n"/>
      <c r="O12" s="16" t="n"/>
      <c r="P12" s="16" t="n"/>
      <c r="Q12" s="16" t="n"/>
      <c r="R12" s="16" t="n"/>
      <c r="S12" s="16" t="n"/>
    </row>
    <row r="13">
      <c r="A13" s="16" t="n"/>
      <c r="B13" s="724" t="inlineStr">
        <is>
          <t>ACTIFS COURANTS</t>
        </is>
      </c>
      <c r="C13" s="819" t="n"/>
      <c r="D13" s="819" t="n"/>
      <c r="E13" s="819" t="n"/>
      <c r="F13" s="819" t="n"/>
      <c r="G13" s="819" t="n"/>
      <c r="H13" s="819" t="n"/>
      <c r="I13" s="819" t="n"/>
      <c r="J13" s="819" t="n"/>
      <c r="K13" s="819" t="n"/>
      <c r="L13" s="1018" t="n"/>
      <c r="M13" s="16" t="n"/>
      <c r="N13" s="16" t="n"/>
      <c r="O13" s="16" t="n"/>
      <c r="P13" s="16" t="n"/>
      <c r="Q13" s="16" t="n"/>
      <c r="R13" s="16" t="n"/>
      <c r="S13" s="16" t="n"/>
    </row>
    <row r="14">
      <c r="A14" s="16" t="n"/>
      <c r="B14" s="690" t="inlineStr">
        <is>
          <t>Stocks &amp; en-cours</t>
        </is>
      </c>
      <c r="C14" s="1016" t="n">
        <v>45200</v>
      </c>
      <c r="D14" s="1016" t="n">
        <v>62000</v>
      </c>
      <c r="E14" s="1016" t="n">
        <v>20970</v>
      </c>
      <c r="F14" s="1016" t="n">
        <v>65178</v>
      </c>
      <c r="G14" s="1016" t="n">
        <v>3390</v>
      </c>
      <c r="H14" s="1016">
        <f>SUM(C14:G14)</f>
        <v/>
      </c>
      <c r="I14" s="1016" t="n">
        <v>0</v>
      </c>
      <c r="J14" s="1016">
        <f>H14+I14</f>
        <v/>
      </c>
      <c r="K14" s="1016" t="n">
        <v>188000</v>
      </c>
      <c r="L14" s="814">
        <f>IFERROR((J14-K14)/ABS(K14),"")</f>
        <v/>
      </c>
      <c r="M14" s="16" t="n"/>
      <c r="N14" s="16" t="n"/>
      <c r="O14" s="16" t="n"/>
      <c r="P14" s="16" t="n"/>
      <c r="Q14" s="16" t="n"/>
      <c r="R14" s="16" t="n"/>
      <c r="S14" s="16" t="n"/>
    </row>
    <row r="15">
      <c r="A15" s="16" t="n"/>
      <c r="B15" s="688" t="inlineStr">
        <is>
          <t>Créances clients</t>
        </is>
      </c>
      <c r="C15" s="1005" t="n">
        <v>67800</v>
      </c>
      <c r="D15" s="1005" t="n">
        <v>38000</v>
      </c>
      <c r="E15" s="1005" t="n">
        <v>60580</v>
      </c>
      <c r="F15" s="1005" t="n">
        <v>40392</v>
      </c>
      <c r="G15" s="1005" t="n">
        <v>14238</v>
      </c>
      <c r="H15" s="1005">
        <f>SUM(C15:G15)</f>
        <v/>
      </c>
      <c r="I15" s="1005" t="n">
        <v>0</v>
      </c>
      <c r="J15" s="1005">
        <f>H15+I15</f>
        <v/>
      </c>
      <c r="K15" s="1005" t="n">
        <v>200000</v>
      </c>
      <c r="L15" s="812">
        <f>IFERROR((J15-K15)/ABS(K15),"")</f>
        <v/>
      </c>
      <c r="M15" s="16" t="n"/>
      <c r="N15" s="16" t="n"/>
      <c r="O15" s="16" t="n"/>
      <c r="P15" s="16" t="n"/>
      <c r="Q15" s="16" t="n"/>
      <c r="R15" s="16" t="n"/>
      <c r="S15" s="16" t="n"/>
    </row>
    <row r="16">
      <c r="A16" s="16" t="n"/>
      <c r="B16" s="698" t="inlineStr">
        <is>
          <t>Créances interco. (éliminées)</t>
        </is>
      </c>
      <c r="C16" s="1009" t="n">
        <v>23500</v>
      </c>
      <c r="D16" s="1009" t="n">
        <v>12500</v>
      </c>
      <c r="E16" s="1009" t="n">
        <v>20970</v>
      </c>
      <c r="F16" s="1009" t="n">
        <v>7803</v>
      </c>
      <c r="G16" s="1009" t="n">
        <v>6240</v>
      </c>
      <c r="H16" s="1009">
        <f>SUM(C16:G16)</f>
        <v/>
      </c>
      <c r="I16" s="1009" t="n">
        <v>-70013</v>
      </c>
      <c r="J16" s="1009">
        <f>H16+I16</f>
        <v/>
      </c>
      <c r="K16" s="1009" t="n">
        <v>0</v>
      </c>
      <c r="L16" s="840">
        <f>IFERROR((J16-K16)/ABS(K16),"")</f>
        <v/>
      </c>
      <c r="M16" s="16" t="n"/>
      <c r="N16" s="16" t="n"/>
      <c r="O16" s="16" t="n"/>
      <c r="P16" s="16" t="n"/>
      <c r="Q16" s="16" t="n"/>
      <c r="R16" s="16" t="n"/>
      <c r="S16" s="16" t="n"/>
    </row>
    <row r="17">
      <c r="A17" s="16" t="n"/>
      <c r="B17" s="688" t="inlineStr">
        <is>
          <t>Autres créances &amp; CCA</t>
        </is>
      </c>
      <c r="C17" s="1005" t="n">
        <v>8900</v>
      </c>
      <c r="D17" s="1005" t="n">
        <v>6200</v>
      </c>
      <c r="E17" s="1005" t="n">
        <v>9282</v>
      </c>
      <c r="F17" s="1005" t="n">
        <v>8262</v>
      </c>
      <c r="G17" s="1005" t="n">
        <v>2712</v>
      </c>
      <c r="H17" s="1005">
        <f>SUM(C17:G17)</f>
        <v/>
      </c>
      <c r="I17" s="1005" t="n">
        <v>0</v>
      </c>
      <c r="J17" s="1005">
        <f>H17+I17</f>
        <v/>
      </c>
      <c r="K17" s="1005" t="n">
        <v>32000</v>
      </c>
      <c r="L17" s="812">
        <f>IFERROR((J17-K17)/ABS(K17),"")</f>
        <v/>
      </c>
      <c r="M17" s="16" t="n"/>
      <c r="N17" s="16" t="n"/>
      <c r="O17" s="16" t="n"/>
      <c r="P17" s="16" t="n"/>
      <c r="Q17" s="16" t="n"/>
      <c r="R17" s="16" t="n"/>
      <c r="S17" s="16" t="n"/>
    </row>
    <row r="18">
      <c r="A18" s="16" t="n"/>
      <c r="B18" s="711" t="inlineStr">
        <is>
          <t>Trésorerie &amp; équivalents (IAS 7)</t>
        </is>
      </c>
      <c r="C18" s="1019" t="n">
        <v>54300</v>
      </c>
      <c r="D18" s="1019" t="n">
        <v>24000</v>
      </c>
      <c r="E18" s="1019" t="n">
        <v>44270</v>
      </c>
      <c r="F18" s="1019" t="n">
        <v>28458</v>
      </c>
      <c r="G18" s="1019" t="n">
        <v>18984</v>
      </c>
      <c r="H18" s="1019">
        <f>SUM(C18:G18)</f>
        <v/>
      </c>
      <c r="I18" s="1019" t="n">
        <v>0</v>
      </c>
      <c r="J18" s="1019">
        <f>H18+I18</f>
        <v/>
      </c>
      <c r="K18" s="1019" t="n">
        <v>158000</v>
      </c>
      <c r="L18" s="822">
        <f>IFERROR((J18-K18)/ABS(K18),"")</f>
        <v/>
      </c>
      <c r="M18" s="16" t="n"/>
      <c r="N18" s="16" t="n"/>
      <c r="O18" s="16" t="n"/>
      <c r="P18" s="16" t="n"/>
      <c r="Q18" s="16" t="n"/>
      <c r="R18" s="16" t="n"/>
      <c r="S18" s="16" t="n"/>
    </row>
    <row r="19" ht="15.75" customHeight="1" s="500" thickBot="1">
      <c r="A19" s="16" t="n"/>
      <c r="B19" s="713" t="inlineStr">
        <is>
          <t>TOTAL ACTIFS COURANTS</t>
        </is>
      </c>
      <c r="C19" s="1020">
        <f>SUM(C14:C18)</f>
        <v/>
      </c>
      <c r="D19" s="1020">
        <f>SUM(D14:D18)</f>
        <v/>
      </c>
      <c r="E19" s="1020">
        <f>SUM(E14:E18)</f>
        <v/>
      </c>
      <c r="F19" s="1020">
        <f>SUM(F14:F18)</f>
        <v/>
      </c>
      <c r="G19" s="1020">
        <f>SUM(G14:G18)</f>
        <v/>
      </c>
      <c r="H19" s="1020">
        <f>SUM(H14:H18)</f>
        <v/>
      </c>
      <c r="I19" s="1020">
        <f>SUM(I14:I18)</f>
        <v/>
      </c>
      <c r="J19" s="1020">
        <f>SUM(J14:J18)</f>
        <v/>
      </c>
      <c r="K19" s="1020" t="n">
        <v>578000</v>
      </c>
      <c r="L19" s="824">
        <f>IFERROR((J19-K19)/ABS(K19),"")</f>
        <v/>
      </c>
      <c r="M19" s="16" t="n"/>
      <c r="N19" s="16" t="n"/>
      <c r="O19" s="16" t="n"/>
      <c r="P19" s="16" t="n"/>
      <c r="Q19" s="16" t="n"/>
      <c r="R19" s="16" t="n"/>
      <c r="S19" s="16" t="n"/>
    </row>
    <row r="20" ht="15.75" customHeight="1" s="500" thickBot="1">
      <c r="A20" s="16" t="n"/>
      <c r="B20" s="726" t="inlineStr">
        <is>
          <t>🔷 TOTAL ACTIF</t>
        </is>
      </c>
      <c r="C20" s="1021">
        <f>C12+C19</f>
        <v/>
      </c>
      <c r="D20" s="1021">
        <f>D12+D19</f>
        <v/>
      </c>
      <c r="E20" s="1021">
        <f>E12+E19</f>
        <v/>
      </c>
      <c r="F20" s="1021">
        <f>F12+F19</f>
        <v/>
      </c>
      <c r="G20" s="1021">
        <f>G12+G19</f>
        <v/>
      </c>
      <c r="H20" s="1021">
        <f>H12+H19</f>
        <v/>
      </c>
      <c r="I20" s="1021">
        <f>I12+I19</f>
        <v/>
      </c>
      <c r="J20" s="1021">
        <f>J12+J19</f>
        <v/>
      </c>
      <c r="K20" s="1021" t="n">
        <v>1298000</v>
      </c>
      <c r="L20" s="842">
        <f>IFERROR((J20-K20)/ABS(K20),"")</f>
        <v/>
      </c>
      <c r="M20" s="16" t="n"/>
      <c r="N20" s="16" t="n"/>
      <c r="O20" s="16" t="n"/>
      <c r="P20" s="16" t="n"/>
      <c r="Q20" s="16" t="n"/>
      <c r="R20" s="16" t="n"/>
      <c r="S20" s="16" t="n"/>
    </row>
    <row r="21">
      <c r="A21" s="16" t="n"/>
      <c r="B21" s="725" t="n"/>
      <c r="C21" s="843" t="n"/>
      <c r="D21" s="843" t="n"/>
      <c r="E21" s="843" t="n"/>
      <c r="F21" s="843" t="n"/>
      <c r="G21" s="843" t="n"/>
      <c r="H21" s="843" t="n"/>
      <c r="I21" s="843" t="n"/>
      <c r="J21" s="843" t="n"/>
      <c r="K21" s="843" t="n"/>
      <c r="L21" s="1022" t="n"/>
      <c r="M21" s="16" t="n"/>
      <c r="N21" s="16" t="n"/>
      <c r="O21" s="16" t="n"/>
      <c r="P21" s="16" t="n"/>
      <c r="Q21" s="16" t="n"/>
      <c r="R21" s="16" t="n"/>
      <c r="S21" s="16" t="n"/>
    </row>
    <row r="22">
      <c r="A22" s="16" t="n"/>
      <c r="B22" s="695" t="inlineStr">
        <is>
          <t>CAPITAUX PROPRES (CONSOLIDÉS)</t>
        </is>
      </c>
      <c r="C22" s="845" t="n"/>
      <c r="D22" s="845" t="n"/>
      <c r="E22" s="845" t="n"/>
      <c r="F22" s="845" t="n"/>
      <c r="G22" s="845" t="n"/>
      <c r="H22" s="845" t="n"/>
      <c r="I22" s="845" t="n"/>
      <c r="J22" s="845" t="n"/>
      <c r="K22" s="845" t="n"/>
      <c r="L22" s="1023" t="n"/>
      <c r="M22" s="16" t="n"/>
      <c r="N22" s="16" t="n"/>
      <c r="O22" s="16" t="n"/>
      <c r="P22" s="16" t="n"/>
      <c r="Q22" s="16" t="n"/>
      <c r="R22" s="16" t="n"/>
      <c r="S22" s="16" t="n"/>
    </row>
    <row r="23">
      <c r="A23" s="16" t="n"/>
      <c r="B23" s="688" t="inlineStr">
        <is>
          <t>Capital social &amp; primes</t>
        </is>
      </c>
      <c r="C23" s="1005" t="n">
        <v>178500</v>
      </c>
      <c r="D23" s="1005" t="n">
        <v>62000</v>
      </c>
      <c r="E23" s="1005" t="n">
        <v>52425</v>
      </c>
      <c r="F23" s="1005" t="n">
        <v>53265</v>
      </c>
      <c r="G23" s="1005" t="n">
        <v>10170</v>
      </c>
      <c r="H23" s="1005">
        <f>SUM(C23:G23)</f>
        <v/>
      </c>
      <c r="I23" s="1005" t="n">
        <v>-265000</v>
      </c>
      <c r="J23" s="1005">
        <f>H23+I23</f>
        <v/>
      </c>
      <c r="K23" s="1005" t="n"/>
      <c r="L23" s="1024" t="n"/>
      <c r="M23" s="16" t="n"/>
      <c r="N23" s="16" t="n"/>
      <c r="O23" s="16" t="n"/>
      <c r="P23" s="16" t="n"/>
      <c r="Q23" s="16" t="n"/>
      <c r="R23" s="16" t="n"/>
      <c r="S23" s="16" t="n"/>
    </row>
    <row r="24">
      <c r="A24" s="16" t="n"/>
      <c r="B24" s="690" t="inlineStr">
        <is>
          <t>Résultat consolidé (part groupe)</t>
        </is>
      </c>
      <c r="C24" s="1016" t="n">
        <v>32800</v>
      </c>
      <c r="D24" s="1016" t="n">
        <v>18500</v>
      </c>
      <c r="E24" s="1016" t="n">
        <v>26096</v>
      </c>
      <c r="F24" s="1016" t="n">
        <v>13586</v>
      </c>
      <c r="G24" s="1016" t="n">
        <v>6036</v>
      </c>
      <c r="H24" s="1016">
        <f>SUM(C24:G24)</f>
        <v/>
      </c>
      <c r="I24" s="1016" t="n">
        <v>0</v>
      </c>
      <c r="J24" s="1016">
        <f>H24+I24</f>
        <v/>
      </c>
      <c r="K24" s="1016" t="n"/>
      <c r="L24" s="1025" t="n"/>
      <c r="M24" s="16" t="n"/>
      <c r="N24" s="16" t="n"/>
      <c r="O24" s="16" t="n"/>
      <c r="P24" s="16" t="n"/>
      <c r="Q24" s="16" t="n"/>
      <c r="R24" s="16" t="n"/>
      <c r="S24" s="16" t="n"/>
    </row>
    <row r="25">
      <c r="A25" s="16" t="n"/>
      <c r="B25" s="688" t="inlineStr">
        <is>
          <t>Autres réserves &amp; OCI</t>
        </is>
      </c>
      <c r="C25" s="1005" t="n">
        <v>-4200</v>
      </c>
      <c r="D25" s="1005" t="n">
        <v>2800</v>
      </c>
      <c r="E25" s="1005" t="n">
        <v>5823</v>
      </c>
      <c r="F25" s="1005" t="n">
        <v>4590</v>
      </c>
      <c r="G25" s="1005" t="n">
        <v>1356</v>
      </c>
      <c r="H25" s="1005">
        <f>SUM(C25:G25)</f>
        <v/>
      </c>
      <c r="I25" s="1005" t="n">
        <v>0</v>
      </c>
      <c r="J25" s="1005">
        <f>H25+I25</f>
        <v/>
      </c>
      <c r="K25" s="1005" t="n"/>
      <c r="L25" s="1024" t="n"/>
      <c r="M25" s="16" t="n"/>
      <c r="N25" s="16" t="n"/>
      <c r="O25" s="16" t="n"/>
      <c r="P25" s="16" t="n"/>
      <c r="Q25" s="16" t="n"/>
      <c r="R25" s="16" t="n"/>
      <c r="S25" s="16" t="n"/>
    </row>
    <row r="26">
      <c r="A26" s="16" t="n"/>
      <c r="B26" s="690" t="inlineStr">
        <is>
          <t>Écart de conversion (IAS 21)</t>
        </is>
      </c>
      <c r="C26" s="1016" t="n">
        <v>0</v>
      </c>
      <c r="D26" s="1016" t="n">
        <v>0</v>
      </c>
      <c r="E26" s="1016" t="n">
        <v>-3200</v>
      </c>
      <c r="F26" s="1016" t="n">
        <v>-2100</v>
      </c>
      <c r="G26" s="1016" t="n">
        <v>-800</v>
      </c>
      <c r="H26" s="1016">
        <f>SUM(C26:G26)</f>
        <v/>
      </c>
      <c r="I26" s="1016" t="n">
        <v>0</v>
      </c>
      <c r="J26" s="1026">
        <f>PQ_TAUX_CHANGE!H50</f>
        <v/>
      </c>
      <c r="K26" s="1016" t="n"/>
      <c r="L26" s="1025" t="n"/>
      <c r="M26" s="16" t="n"/>
      <c r="N26" s="16" t="n"/>
      <c r="O26" s="16" t="n"/>
      <c r="P26" s="16" t="n"/>
      <c r="Q26" s="16" t="n"/>
      <c r="R26" s="16" t="n"/>
      <c r="S26" s="16" t="n"/>
    </row>
    <row r="27">
      <c r="A27" s="16" t="n"/>
      <c r="B27" s="705" t="inlineStr">
        <is>
          <t>Intérêts minoritaires (NCI – IFRS 10)</t>
        </is>
      </c>
      <c r="C27" s="1012" t="n">
        <v>18700</v>
      </c>
      <c r="D27" s="1012" t="n">
        <v>0</v>
      </c>
      <c r="E27" s="1012" t="n">
        <v>15856</v>
      </c>
      <c r="F27" s="1012" t="n">
        <v>18812</v>
      </c>
      <c r="G27" s="1012" t="n">
        <v>7564</v>
      </c>
      <c r="H27" s="1012">
        <f>SUM(C27:G27)</f>
        <v/>
      </c>
      <c r="I27" s="1012" t="n">
        <v>0</v>
      </c>
      <c r="J27" s="1012">
        <f>H27+I27</f>
        <v/>
      </c>
      <c r="K27" s="1012" t="n"/>
      <c r="L27" s="1027" t="n"/>
      <c r="M27" s="16" t="n"/>
      <c r="N27" s="16" t="n"/>
      <c r="O27" s="16" t="n"/>
      <c r="P27" s="16" t="n"/>
      <c r="Q27" s="16" t="n"/>
      <c r="R27" s="16" t="n"/>
      <c r="S27" s="16" t="n"/>
    </row>
    <row r="28" ht="15.75" customHeight="1" s="500" thickBot="1">
      <c r="A28" s="16" t="n"/>
      <c r="B28" s="709" t="inlineStr">
        <is>
          <t>TOTAL CAPITAUX PROPRES</t>
        </is>
      </c>
      <c r="C28" s="1017">
        <f>SUM(C23:C27)</f>
        <v/>
      </c>
      <c r="D28" s="1017">
        <f>SUM(D23:D27)</f>
        <v/>
      </c>
      <c r="E28" s="1017">
        <f>SUM(E23:E27)</f>
        <v/>
      </c>
      <c r="F28" s="1017">
        <f>SUM(F23:F27)</f>
        <v/>
      </c>
      <c r="G28" s="1017">
        <f>SUM(G23:G27)</f>
        <v/>
      </c>
      <c r="H28" s="1017">
        <f>SUM(H23:H27)</f>
        <v/>
      </c>
      <c r="I28" s="1017">
        <f>SUM(I23:I27)</f>
        <v/>
      </c>
      <c r="J28" s="1017">
        <f>SUM(J23:J27)</f>
        <v/>
      </c>
      <c r="K28" s="1017" t="n">
        <v>232200</v>
      </c>
      <c r="L28" s="818">
        <f>IFERROR((J28-K28)/ABS(K28),"")</f>
        <v/>
      </c>
      <c r="M28" s="16" t="n"/>
      <c r="N28" s="16" t="n"/>
      <c r="O28" s="16" t="n"/>
      <c r="P28" s="16" t="n"/>
      <c r="Q28" s="16" t="n"/>
      <c r="R28" s="16" t="n"/>
      <c r="S28" s="16" t="n"/>
    </row>
    <row r="29">
      <c r="A29" s="16" t="n"/>
      <c r="B29" s="707" t="inlineStr">
        <is>
          <t>PASSIFS NON COURANTS</t>
        </is>
      </c>
      <c r="C29" s="819" t="n"/>
      <c r="D29" s="819" t="n"/>
      <c r="E29" s="819" t="n"/>
      <c r="F29" s="819" t="n"/>
      <c r="G29" s="819" t="n"/>
      <c r="H29" s="819" t="n"/>
      <c r="I29" s="819" t="n"/>
      <c r="J29" s="819" t="n"/>
      <c r="K29" s="819" t="n"/>
      <c r="L29" s="1018" t="n"/>
      <c r="M29" s="16" t="n"/>
      <c r="N29" s="16" t="n"/>
      <c r="O29" s="16" t="n"/>
      <c r="P29" s="16" t="n"/>
      <c r="Q29" s="16" t="n"/>
      <c r="R29" s="16" t="n"/>
      <c r="S29" s="16" t="n"/>
    </row>
    <row r="30">
      <c r="A30" s="16" t="n"/>
      <c r="B30" s="690" t="inlineStr">
        <is>
          <t>Emprunts &amp; dettes LT (IFRS 9)</t>
        </is>
      </c>
      <c r="C30" s="1016" t="n">
        <v>125000</v>
      </c>
      <c r="D30" s="1016" t="n">
        <v>48000</v>
      </c>
      <c r="E30" s="1016" t="n">
        <v>41773</v>
      </c>
      <c r="F30" s="1016" t="n">
        <v>64260</v>
      </c>
      <c r="G30" s="1016" t="n">
        <v>16254</v>
      </c>
      <c r="H30" s="1016">
        <f>SUM(C30:G30)</f>
        <v/>
      </c>
      <c r="I30" s="1016" t="n">
        <v>-5200</v>
      </c>
      <c r="J30" s="1016">
        <f>H30+I30</f>
        <v/>
      </c>
      <c r="K30" s="1028" t="n">
        <v>340000</v>
      </c>
      <c r="L30" s="814">
        <f>IFERROR((J30-K30)/ABS(K30),"")</f>
        <v/>
      </c>
      <c r="M30" s="16" t="n"/>
      <c r="N30" s="16" t="n"/>
      <c r="O30" s="16" t="n"/>
      <c r="P30" s="16" t="n"/>
      <c r="Q30" s="16" t="n"/>
      <c r="R30" s="16" t="n"/>
      <c r="S30" s="16" t="n"/>
    </row>
    <row r="31">
      <c r="A31" s="16" t="n"/>
      <c r="B31" s="688" t="inlineStr">
        <is>
          <t>Dettes locatives LT (IFRS 16)</t>
        </is>
      </c>
      <c r="C31" s="1005" t="n">
        <v>22800</v>
      </c>
      <c r="D31" s="1005" t="n">
        <v>9500</v>
      </c>
      <c r="E31" s="1005" t="n">
        <v>20970</v>
      </c>
      <c r="F31" s="1005" t="n">
        <v>18360</v>
      </c>
      <c r="G31" s="1005" t="n">
        <v>4068</v>
      </c>
      <c r="H31" s="1005">
        <f>SUM(C31:G31)</f>
        <v/>
      </c>
      <c r="I31" s="1005" t="n">
        <v>0</v>
      </c>
      <c r="J31" s="1005">
        <f>H31+I31</f>
        <v/>
      </c>
      <c r="K31" s="1005" t="n"/>
      <c r="L31" s="812" t="n"/>
      <c r="M31" s="16" t="n"/>
      <c r="N31" s="16" t="n"/>
      <c r="O31" s="16" t="n"/>
      <c r="P31" s="16" t="n"/>
      <c r="Q31" s="16" t="n"/>
      <c r="R31" s="16" t="n"/>
      <c r="S31" s="16" t="n"/>
    </row>
    <row r="32">
      <c r="A32" s="16" t="n"/>
      <c r="B32" s="690" t="inlineStr">
        <is>
          <t>Provisions risques LT (IAS 37)</t>
        </is>
      </c>
      <c r="C32" s="1016" t="n">
        <v>15400</v>
      </c>
      <c r="D32" s="1016" t="n">
        <v>7200</v>
      </c>
      <c r="E32" s="1016" t="n">
        <v>8738</v>
      </c>
      <c r="F32" s="1016" t="n">
        <v>6426</v>
      </c>
      <c r="G32" s="1016" t="n">
        <v>2780</v>
      </c>
      <c r="H32" s="1016">
        <f>SUM(C32:G32)</f>
        <v/>
      </c>
      <c r="I32" s="1016" t="n">
        <v>0</v>
      </c>
      <c r="J32" s="1016">
        <f>H32+I32</f>
        <v/>
      </c>
      <c r="K32" s="1016" t="n"/>
      <c r="L32" s="814" t="n"/>
      <c r="M32" s="16" t="n"/>
      <c r="N32" s="16" t="n"/>
      <c r="O32" s="16" t="n"/>
      <c r="P32" s="16" t="n"/>
      <c r="Q32" s="16" t="n"/>
      <c r="R32" s="16" t="n"/>
      <c r="S32" s="16" t="n"/>
    </row>
    <row r="33">
      <c r="A33" s="16" t="n"/>
      <c r="B33" s="705" t="inlineStr">
        <is>
          <t>Impôts différés passifs (IAS 12)</t>
        </is>
      </c>
      <c r="C33" s="1012" t="n">
        <v>18900</v>
      </c>
      <c r="D33" s="1012" t="n">
        <v>9800</v>
      </c>
      <c r="E33" s="1012" t="n">
        <v>11440</v>
      </c>
      <c r="F33" s="1012" t="n">
        <v>9180</v>
      </c>
      <c r="G33" s="1012" t="n">
        <v>3390</v>
      </c>
      <c r="H33" s="1012">
        <f>SUM(C33:G33)</f>
        <v/>
      </c>
      <c r="I33" s="1012" t="n">
        <v>0</v>
      </c>
      <c r="J33" s="1012">
        <f>H33+I33</f>
        <v/>
      </c>
      <c r="K33" s="1012" t="n"/>
      <c r="L33" s="816" t="n"/>
      <c r="M33" s="16" t="n"/>
      <c r="N33" s="16" t="n"/>
      <c r="O33" s="16" t="n"/>
      <c r="P33" s="16" t="n"/>
      <c r="Q33" s="16" t="n"/>
      <c r="R33" s="16" t="n"/>
      <c r="S33" s="16" t="n"/>
    </row>
    <row r="34" ht="15.75" customHeight="1" s="500" thickBot="1">
      <c r="A34" s="16" t="n"/>
      <c r="B34" s="709" t="inlineStr">
        <is>
          <t>TOTAL PASSIFS NON COURANTS</t>
        </is>
      </c>
      <c r="C34" s="1017">
        <f>SUM(C30:C33)</f>
        <v/>
      </c>
      <c r="D34" s="1017">
        <f>SUM(D30:D33)</f>
        <v/>
      </c>
      <c r="E34" s="1017">
        <f>SUM(E30:E33)</f>
        <v/>
      </c>
      <c r="F34" s="1017">
        <f>SUM(F30:F33)</f>
        <v/>
      </c>
      <c r="G34" s="1017">
        <f>SUM(G30:G33)</f>
        <v/>
      </c>
      <c r="H34" s="1017">
        <f>SUM(H30:H33)</f>
        <v/>
      </c>
      <c r="I34" s="1017">
        <f>SUM(I30:I33)</f>
        <v/>
      </c>
      <c r="J34" s="1017">
        <f>SUM(J30:J33)</f>
        <v/>
      </c>
      <c r="K34" s="1017" t="n">
        <v>440000</v>
      </c>
      <c r="L34" s="818">
        <f>IFERROR((J34-K34)/ABS(K34),"")</f>
        <v/>
      </c>
      <c r="M34" s="16" t="n"/>
      <c r="N34" s="16" t="n"/>
      <c r="O34" s="16" t="n"/>
      <c r="P34" s="16" t="n"/>
      <c r="Q34" s="16" t="n"/>
      <c r="R34" s="16" t="n"/>
      <c r="S34" s="16" t="n"/>
    </row>
    <row r="35">
      <c r="A35" s="16" t="n"/>
      <c r="B35" s="707" t="inlineStr">
        <is>
          <t>PASSIFS COURANTS</t>
        </is>
      </c>
      <c r="C35" s="819" t="n"/>
      <c r="D35" s="819" t="n"/>
      <c r="E35" s="819" t="n"/>
      <c r="F35" s="819" t="n"/>
      <c r="G35" s="819" t="n"/>
      <c r="H35" s="819" t="n"/>
      <c r="I35" s="819" t="n"/>
      <c r="J35" s="819" t="n"/>
      <c r="K35" s="819" t="n"/>
      <c r="L35" s="1018" t="n"/>
      <c r="M35" s="16" t="n"/>
      <c r="N35" s="16" t="n"/>
      <c r="O35" s="16" t="n"/>
      <c r="P35" s="16" t="n"/>
      <c r="Q35" s="16" t="n"/>
      <c r="R35" s="16" t="n"/>
      <c r="S35" s="16" t="n"/>
    </row>
    <row r="36">
      <c r="A36" s="16" t="n"/>
      <c r="B36" s="690" t="inlineStr">
        <is>
          <t>Dettes fournisseurs</t>
        </is>
      </c>
      <c r="C36" s="1016" t="n">
        <v>38200</v>
      </c>
      <c r="D36" s="1016" t="n">
        <v>22000</v>
      </c>
      <c r="E36" s="1016" t="n">
        <v>26303</v>
      </c>
      <c r="F36" s="1016" t="n">
        <v>31212</v>
      </c>
      <c r="G36" s="1016" t="n">
        <v>9490</v>
      </c>
      <c r="H36" s="1016">
        <f>SUM(C36:G36)</f>
        <v/>
      </c>
      <c r="I36" s="1016" t="n">
        <v>0</v>
      </c>
      <c r="J36" s="1016">
        <f>H36+I36</f>
        <v/>
      </c>
      <c r="K36" s="1029" t="n">
        <v>115000</v>
      </c>
      <c r="L36" s="814" t="n"/>
      <c r="M36" s="16" t="n"/>
      <c r="N36" s="16" t="n"/>
      <c r="O36" s="16" t="n"/>
      <c r="P36" s="16" t="n"/>
      <c r="Q36" s="16" t="n"/>
      <c r="R36" s="16" t="n"/>
      <c r="S36" s="16" t="n"/>
    </row>
    <row r="37">
      <c r="A37" s="16" t="n"/>
      <c r="B37" s="688" t="inlineStr">
        <is>
          <t>Dettes financières CT</t>
        </is>
      </c>
      <c r="C37" s="1005" t="n">
        <v>28500</v>
      </c>
      <c r="D37" s="1005" t="n">
        <v>15000</v>
      </c>
      <c r="E37" s="1005" t="n">
        <v>17475</v>
      </c>
      <c r="F37" s="1005" t="n">
        <v>18360</v>
      </c>
      <c r="G37" s="1005" t="n">
        <v>6102</v>
      </c>
      <c r="H37" s="1005">
        <f>SUM(C37:G37)</f>
        <v/>
      </c>
      <c r="I37" s="1005" t="n">
        <v>0</v>
      </c>
      <c r="J37" s="1005">
        <f>H37+I37</f>
        <v/>
      </c>
      <c r="K37" s="1030" t="n">
        <v>72000</v>
      </c>
      <c r="L37" s="812">
        <f>IFERROR((J37-K37)/ABS(K37),"")</f>
        <v/>
      </c>
      <c r="M37" s="16" t="n"/>
      <c r="N37" s="16" t="n"/>
      <c r="O37" s="16" t="n"/>
      <c r="P37" s="16" t="n"/>
      <c r="Q37" s="16" t="n"/>
      <c r="R37" s="16" t="n"/>
      <c r="S37" s="16" t="n"/>
    </row>
    <row r="38">
      <c r="A38" s="16" t="n"/>
      <c r="B38" s="698" t="inlineStr">
        <is>
          <t>Dettes interco. (éliminées)</t>
        </is>
      </c>
      <c r="C38" s="1009" t="n">
        <v>21400</v>
      </c>
      <c r="D38" s="1009" t="n">
        <v>11800</v>
      </c>
      <c r="E38" s="1009" t="n">
        <v>18200</v>
      </c>
      <c r="F38" s="1009" t="n">
        <v>7500</v>
      </c>
      <c r="G38" s="1009" t="n">
        <v>5100</v>
      </c>
      <c r="H38" s="1009">
        <f>SUM(C38:G38)</f>
        <v/>
      </c>
      <c r="I38" s="1009" t="n">
        <v>-64000</v>
      </c>
      <c r="J38" s="1009">
        <f>H38+I38</f>
        <v/>
      </c>
      <c r="K38" s="1009" t="n"/>
      <c r="L38" s="840" t="n"/>
      <c r="M38" s="16" t="n"/>
      <c r="N38" s="16" t="n"/>
      <c r="O38" s="16" t="n"/>
      <c r="P38" s="16" t="n"/>
      <c r="Q38" s="16" t="n"/>
      <c r="R38" s="16" t="n"/>
      <c r="S38" s="16" t="n"/>
    </row>
    <row r="39">
      <c r="A39" s="16" t="n"/>
      <c r="B39" s="705" t="inlineStr">
        <is>
          <t>Autres dettes &amp; PCA</t>
        </is>
      </c>
      <c r="C39" s="1012" t="n">
        <v>12800</v>
      </c>
      <c r="D39" s="1012" t="n">
        <v>7500</v>
      </c>
      <c r="E39" s="1012" t="n">
        <v>8738</v>
      </c>
      <c r="F39" s="1012" t="n">
        <v>7344</v>
      </c>
      <c r="G39" s="1012" t="n">
        <v>2712</v>
      </c>
      <c r="H39" s="1012">
        <f>SUM(C39:G39)</f>
        <v/>
      </c>
      <c r="I39" s="1012" t="n">
        <v>0</v>
      </c>
      <c r="J39" s="1012">
        <f>H39+I39</f>
        <v/>
      </c>
      <c r="K39" s="1012" t="n"/>
      <c r="L39" s="816" t="n"/>
      <c r="M39" s="16" t="n"/>
      <c r="N39" s="16" t="n"/>
      <c r="O39" s="16" t="n"/>
      <c r="P39" s="16" t="n"/>
      <c r="Q39" s="16" t="n"/>
      <c r="R39" s="16" t="n"/>
      <c r="S39" s="16" t="n"/>
    </row>
    <row r="40" ht="15.75" customHeight="1" s="500" thickBot="1">
      <c r="A40" s="16" t="n"/>
      <c r="B40" s="713" t="inlineStr">
        <is>
          <t>TOTAL PASSIFS COURANTS</t>
        </is>
      </c>
      <c r="C40" s="1020">
        <f>SUM(C36:C39)</f>
        <v/>
      </c>
      <c r="D40" s="1020">
        <f>SUM(D36:D39)</f>
        <v/>
      </c>
      <c r="E40" s="1020">
        <f>SUM(E36:E39)</f>
        <v/>
      </c>
      <c r="F40" s="1020">
        <f>SUM(F36:F39)</f>
        <v/>
      </c>
      <c r="G40" s="1020">
        <f>SUM(G36:G39)</f>
        <v/>
      </c>
      <c r="H40" s="1020">
        <f>SUM(H36:H39)</f>
        <v/>
      </c>
      <c r="I40" s="1020">
        <f>SUM(I36:I39)</f>
        <v/>
      </c>
      <c r="J40" s="1020">
        <f>SUM(J36:J39)</f>
        <v/>
      </c>
      <c r="K40" s="1020" t="n">
        <v>243000</v>
      </c>
      <c r="L40" s="824">
        <f>IFERROR((J40-K40)/ABS(K40),"")</f>
        <v/>
      </c>
      <c r="M40" s="16" t="n"/>
      <c r="N40" s="16" t="n"/>
      <c r="O40" s="16" t="n"/>
      <c r="P40" s="16" t="n"/>
      <c r="Q40" s="16" t="n"/>
      <c r="R40" s="16" t="n"/>
      <c r="S40" s="16" t="n"/>
    </row>
    <row r="41" ht="15.75" customHeight="1" s="500" thickBot="1">
      <c r="A41" s="16" t="n"/>
      <c r="B41" s="726" t="inlineStr">
        <is>
          <t>🔷 TOTAL PASSIF</t>
        </is>
      </c>
      <c r="C41" s="1021">
        <f>C28+C34+C40</f>
        <v/>
      </c>
      <c r="D41" s="1021">
        <f>D28+D34+D40</f>
        <v/>
      </c>
      <c r="E41" s="1021">
        <f>E28+E34+E40</f>
        <v/>
      </c>
      <c r="F41" s="1021">
        <f>F28+F34+F40</f>
        <v/>
      </c>
      <c r="G41" s="1021">
        <f>G28+G34+G40</f>
        <v/>
      </c>
      <c r="H41" s="1021">
        <f>H28+H34+H40</f>
        <v/>
      </c>
      <c r="I41" s="1021">
        <f>I28+I34+I40</f>
        <v/>
      </c>
      <c r="J41" s="1021">
        <f>J28+J34+J40</f>
        <v/>
      </c>
      <c r="K41" s="1021" t="n">
        <v>1298000</v>
      </c>
      <c r="L41" s="842">
        <f>IFERROR((J41-K41)/ABS(K41),"")</f>
        <v/>
      </c>
      <c r="M41" s="16" t="n"/>
      <c r="N41" s="16" t="n"/>
      <c r="O41" s="16" t="n"/>
      <c r="P41" s="16" t="n"/>
      <c r="Q41" s="16" t="n"/>
      <c r="R41" s="16" t="n"/>
      <c r="S41" s="16" t="n"/>
    </row>
    <row r="42">
      <c r="A42" s="16" t="n"/>
      <c r="B42" s="383" t="inlineStr">
        <is>
          <t xml:space="preserve">  Écart de consolidation (réconciliation PPA/NCI)</t>
        </is>
      </c>
      <c r="C42" s="16" t="n"/>
      <c r="D42" s="16" t="n"/>
      <c r="E42" s="16" t="n"/>
      <c r="F42" s="16" t="n"/>
      <c r="G42" s="16" t="n"/>
      <c r="H42" s="16" t="n"/>
      <c r="I42" s="16" t="n"/>
      <c r="J42" s="1031">
        <f>J20-J41</f>
        <v/>
      </c>
      <c r="K42" s="16" t="n"/>
      <c r="L42" s="1032" t="n"/>
      <c r="M42" s="16" t="n"/>
      <c r="N42" s="16" t="n"/>
      <c r="O42" s="16" t="n"/>
      <c r="P42" s="16" t="n"/>
      <c r="Q42" s="16" t="n"/>
      <c r="R42" s="16" t="n"/>
      <c r="S42" s="16" t="n"/>
    </row>
    <row r="43">
      <c r="A43" s="16" t="n"/>
      <c r="B43" s="48" t="inlineStr">
        <is>
          <t>✅ CONTRÔLE ÉQUILIBRE BILAN (Actif - Passif)</t>
        </is>
      </c>
      <c r="C43" s="16" t="n"/>
      <c r="D43" s="16" t="n"/>
      <c r="E43" s="16" t="n"/>
      <c r="F43" s="16" t="n"/>
      <c r="G43" s="16" t="n"/>
      <c r="H43" s="16" t="n"/>
      <c r="I43" s="16" t="n"/>
      <c r="J43" s="40">
        <f>IF(ABS(J20-(J41+J42))&lt;1,"✅ BILAN ÉQUILIBRÉ","🚨 DÉSÉQUILIBRE : "&amp;TEXT(J20-J41,"#,##0")&amp;" k€")</f>
        <v/>
      </c>
      <c r="K43" s="16" t="n"/>
      <c r="L43" s="1032" t="n"/>
      <c r="M43" s="16" t="n"/>
      <c r="N43" s="16" t="n"/>
      <c r="O43" s="16" t="n"/>
      <c r="P43" s="16" t="n"/>
      <c r="Q43" s="16" t="n"/>
      <c r="R43" s="16" t="n"/>
      <c r="S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</row>
  </sheetData>
  <mergeCells count="2">
    <mergeCell ref="B2:P2"/>
    <mergeCell ref="B3:L3"/>
  </mergeCells>
  <conditionalFormatting sqref="L5:L43">
    <cfRule type="cellIs" priority="1" operator="greaterThan" dxfId="0">
      <formula>0.05</formula>
    </cfRule>
    <cfRule type="cellIs" priority="2" operator="lessThan" dxfId="16">
      <formula>-0.05</formula>
    </cfRule>
  </conditionalFormatting>
  <conditionalFormatting sqref="L6:L41">
    <cfRule type="cellIs" priority="3" operator="lessThan" dxfId="3">
      <formula>0</formula>
    </cfRule>
    <cfRule type="cellIs" priority="4" operator="greaterThanOrEqual" dxfId="5">
      <formula>0</formula>
    </cfRule>
  </conditionalFormatting>
  <printOptions horizontalCentered="1"/>
  <pageMargins left="0.7" right="0.7" top="0.75" bottom="0.75" header="0.3" footer="0.3"/>
  <pageSetup orientation="landscape" paperSize="9" scale="0" horizontalDpi="0" verticalDpi="0" copies="0"/>
</worksheet>
</file>

<file path=xl/worksheets/sheet13.xml><?xml version="1.0" encoding="utf-8"?>
<worksheet xmlns="http://schemas.openxmlformats.org/spreadsheetml/2006/main">
  <sheetPr>
    <tabColor rgb="FF2980B9"/>
    <outlinePr summaryBelow="1" summaryRight="1"/>
    <pageSetUpPr/>
  </sheetPr>
  <dimension ref="A1:N80"/>
  <sheetViews>
    <sheetView workbookViewId="0">
      <pane ySplit="5" topLeftCell="A6" activePane="bottomLeft" state="frozen"/>
      <selection pane="bottomLeft" activeCell="C14" sqref="C14"/>
    </sheetView>
  </sheetViews>
  <sheetFormatPr baseColWidth="10" defaultRowHeight="15"/>
  <cols>
    <col width="3.85546875" customWidth="1" style="500" min="1" max="1"/>
    <col width="53.28515625" customWidth="1" style="500" min="2" max="2"/>
    <col width="21.5703125" customWidth="1" style="500" min="3" max="3"/>
    <col width="17.140625" customWidth="1" style="500" min="4" max="12"/>
    <col width="11.42578125" customWidth="1" style="500" min="13" max="13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 ht="18.75" customHeight="1" s="500">
      <c r="A2" s="16" t="n"/>
      <c r="B2" s="527" t="inlineStr">
        <is>
          <t>📊  COMPTE DE RÉSULTAT CONSOLIDÉ – IFRS 18 · Groupe Multinational · Exercice 2025-2026 (en k€)</t>
        </is>
      </c>
      <c r="N2" s="16" t="n"/>
    </row>
    <row r="3">
      <c r="A3" s="16" t="n"/>
      <c r="B3" s="530" t="inlineStr">
        <is>
          <t>🔵  IFRS 18 impose 5 catégories obligatoires : ① Exploitation · ② Investissement · ③ Financement · ④ Impôts · ⑤ Activités abandonnées</t>
        </is>
      </c>
      <c r="N3" s="16" t="n"/>
    </row>
    <row r="4">
      <c r="A4" s="16" t="n"/>
      <c r="B4" s="531" t="inlineStr">
        <is>
          <t>💱 Taux de conversion appliqués (IAS 21) – Liés à PQ_TAUX_CHANGE</t>
        </is>
      </c>
      <c r="N4" s="16" t="n"/>
    </row>
    <row r="5" ht="24.75" customHeight="1" s="500">
      <c r="A5" s="16" t="n"/>
      <c r="B5" s="681" t="inlineStr">
        <is>
          <t>Poste IFRS 18</t>
        </is>
      </c>
      <c r="C5" s="682" t="inlineStr">
        <is>
          <t>Cat.</t>
        </is>
      </c>
      <c r="D5" s="682" t="inlineStr">
        <is>
          <t>FR_ParentCo</t>
        </is>
      </c>
      <c r="E5" s="682" t="inlineStr">
        <is>
          <t>DE_Filiale</t>
        </is>
      </c>
      <c r="F5" s="683" t="inlineStr">
        <is>
          <t>UK (EUR)
×1.1520 moy.</t>
        </is>
      </c>
      <c r="G5" s="683" t="inlineStr">
        <is>
          <t>US (EUR)
×0.9250 moy.</t>
        </is>
      </c>
      <c r="H5" s="683" t="inlineStr">
        <is>
          <t>SG (EUR)
×0.6820 moy.</t>
        </is>
      </c>
      <c r="I5" s="682" t="inlineStr">
        <is>
          <t>AGRÉGÉ</t>
        </is>
      </c>
      <c r="J5" s="682" t="inlineStr">
        <is>
          <t>ÉLIM. IC</t>
        </is>
      </c>
      <c r="K5" s="682" t="inlineStr">
        <is>
          <t>CONSOLIDÉ N</t>
        </is>
      </c>
      <c r="L5" s="682" t="inlineStr">
        <is>
          <t>CONSOLIDÉ N-1</t>
        </is>
      </c>
      <c r="M5" s="684" t="inlineStr">
        <is>
          <t>Δ %</t>
        </is>
      </c>
      <c r="N5" s="16" t="n"/>
    </row>
    <row r="6">
      <c r="A6" s="16" t="n"/>
      <c r="B6" s="685" t="inlineStr">
        <is>
          <t>① EXPLOITATION (OPERATING)</t>
        </is>
      </c>
      <c r="C6" s="686" t="n"/>
      <c r="D6" s="686" t="n"/>
      <c r="E6" s="686" t="n"/>
      <c r="F6" s="686" t="n"/>
      <c r="G6" s="686" t="n"/>
      <c r="H6" s="686" t="n"/>
      <c r="I6" s="686" t="n"/>
      <c r="J6" s="686" t="n"/>
      <c r="K6" s="686" t="n"/>
      <c r="L6" s="686" t="n"/>
      <c r="M6" s="687" t="n"/>
      <c r="N6" s="16" t="n"/>
    </row>
    <row r="7">
      <c r="A7" s="16" t="n"/>
      <c r="B7" s="688" t="inlineStr">
        <is>
          <t>Chiffre d'affaires net</t>
        </is>
      </c>
      <c r="C7" s="689" t="inlineStr">
        <is>
          <t>Opérat.</t>
        </is>
      </c>
      <c r="D7" s="1005" t="n">
        <v>285000</v>
      </c>
      <c r="E7" s="1005" t="n">
        <v>168000</v>
      </c>
      <c r="F7" s="1005" t="n">
        <v>163584</v>
      </c>
      <c r="G7" s="1005" t="n">
        <v>180375</v>
      </c>
      <c r="H7" s="1005" t="n">
        <v>60016</v>
      </c>
      <c r="I7" s="1005">
        <f>SUM(D7:H7)</f>
        <v/>
      </c>
      <c r="J7" s="1005" t="n">
        <v>-39900</v>
      </c>
      <c r="K7" s="1005">
        <f>I7+J7</f>
        <v/>
      </c>
      <c r="L7" s="1005" t="n">
        <v>820000</v>
      </c>
      <c r="M7" s="812">
        <f>IFERROR((K7-L7)/ABS(L7),"")</f>
        <v/>
      </c>
      <c r="N7" s="16" t="n"/>
    </row>
    <row r="8">
      <c r="A8" s="16" t="n"/>
      <c r="B8" s="690" t="inlineStr">
        <is>
          <t>Variation de stocks</t>
        </is>
      </c>
      <c r="C8" s="691" t="inlineStr">
        <is>
          <t>Opérat.</t>
        </is>
      </c>
      <c r="D8" s="1016" t="n">
        <v>1800</v>
      </c>
      <c r="E8" s="1016" t="n">
        <v>2200</v>
      </c>
      <c r="F8" s="1016" t="n">
        <v>1728</v>
      </c>
      <c r="G8" s="1016" t="n">
        <v>2590</v>
      </c>
      <c r="H8" s="1016" t="n">
        <v>341</v>
      </c>
      <c r="I8" s="1016">
        <f>SUM(D8:H8)</f>
        <v/>
      </c>
      <c r="J8" s="1016" t="n">
        <v>0</v>
      </c>
      <c r="K8" s="1016">
        <f>I8+J8</f>
        <v/>
      </c>
      <c r="L8" s="1016" t="n">
        <v>8200</v>
      </c>
      <c r="M8" s="814">
        <f>IFERROR((K8-L8)/ABS(L8),"")</f>
        <v/>
      </c>
      <c r="N8" s="16" t="n"/>
    </row>
    <row r="9">
      <c r="A9" s="16" t="n"/>
      <c r="B9" s="688" t="inlineStr">
        <is>
          <t>Autres produits opérationnels</t>
        </is>
      </c>
      <c r="C9" s="689" t="inlineStr">
        <is>
          <t>Opérat.</t>
        </is>
      </c>
      <c r="D9" s="1005" t="n">
        <v>3200</v>
      </c>
      <c r="E9" s="1005" t="n">
        <v>1800</v>
      </c>
      <c r="F9" s="1005" t="n">
        <v>2765</v>
      </c>
      <c r="G9" s="1005" t="n">
        <v>2960</v>
      </c>
      <c r="H9" s="1005" t="n">
        <v>818</v>
      </c>
      <c r="I9" s="1005">
        <f>SUM(D9:H9)</f>
        <v/>
      </c>
      <c r="J9" s="1005" t="n">
        <v>-1500</v>
      </c>
      <c r="K9" s="1005">
        <f>I9+J9</f>
        <v/>
      </c>
      <c r="L9" s="1005" t="n">
        <v>9500</v>
      </c>
      <c r="M9" s="812">
        <f>IFERROR((K9-L9)/ABS(L9),"")</f>
        <v/>
      </c>
      <c r="N9" s="16" t="n"/>
    </row>
    <row r="10">
      <c r="A10" s="16" t="n"/>
      <c r="B10" s="690" t="inlineStr">
        <is>
          <t>Achats &amp; charges externes</t>
        </is>
      </c>
      <c r="C10" s="691" t="inlineStr">
        <is>
          <t>Opérat.</t>
        </is>
      </c>
      <c r="D10" s="1016" t="n">
        <v>-142000</v>
      </c>
      <c r="E10" s="1016" t="n">
        <v>-82000</v>
      </c>
      <c r="F10" s="1016" t="n">
        <v>-78336</v>
      </c>
      <c r="G10" s="1016" t="n">
        <v>-85100</v>
      </c>
      <c r="H10" s="1016" t="n">
        <v>-25916</v>
      </c>
      <c r="I10" s="1016">
        <f>SUM(D10:H10)</f>
        <v/>
      </c>
      <c r="J10" s="1016" t="n">
        <v>28000</v>
      </c>
      <c r="K10" s="1016">
        <f>I10+J10</f>
        <v/>
      </c>
      <c r="L10" s="1016" t="n">
        <v>-374000</v>
      </c>
      <c r="M10" s="814">
        <f>IFERROR((K10-L10)/ABS(L10),"")</f>
        <v/>
      </c>
      <c r="N10" s="16" t="n"/>
    </row>
    <row r="11">
      <c r="A11" s="16" t="n"/>
      <c r="B11" s="688" t="inlineStr">
        <is>
          <t>Charges de personnel</t>
        </is>
      </c>
      <c r="C11" s="689" t="inlineStr">
        <is>
          <t>Opérat.</t>
        </is>
      </c>
      <c r="D11" s="1005" t="n">
        <v>-68000</v>
      </c>
      <c r="E11" s="1005" t="n">
        <v>-45000</v>
      </c>
      <c r="F11" s="1005" t="n">
        <v>-43776</v>
      </c>
      <c r="G11" s="1005" t="n">
        <v>-48100</v>
      </c>
      <c r="H11" s="1005" t="n">
        <v>-15004</v>
      </c>
      <c r="I11" s="1005">
        <f>SUM(D11:H11)</f>
        <v/>
      </c>
      <c r="J11" s="1005" t="n">
        <v>0</v>
      </c>
      <c r="K11" s="1005">
        <f>I11+J11</f>
        <v/>
      </c>
      <c r="L11" s="1005" t="n">
        <v>-224000</v>
      </c>
      <c r="M11" s="812">
        <f>IFERROR((K11-L11)/ABS(L11),"")</f>
        <v/>
      </c>
      <c r="N11" s="16" t="n"/>
    </row>
    <row r="12">
      <c r="A12" s="16" t="n"/>
      <c r="B12" s="690" t="inlineStr">
        <is>
          <t>Amortissements (PP&amp;E + IFRS 16)</t>
        </is>
      </c>
      <c r="C12" s="691" t="inlineStr">
        <is>
          <t>Opérat.</t>
        </is>
      </c>
      <c r="D12" s="1016" t="n">
        <v>-22000</v>
      </c>
      <c r="E12" s="1016" t="n">
        <v>-12000</v>
      </c>
      <c r="F12" s="1016" t="n">
        <v>-11290</v>
      </c>
      <c r="G12" s="1016" t="n">
        <v>-13135</v>
      </c>
      <c r="H12" s="1016" t="n">
        <v>-4228</v>
      </c>
      <c r="I12" s="1016">
        <f>SUM(D12:H12)</f>
        <v/>
      </c>
      <c r="J12" s="1016" t="n">
        <v>0</v>
      </c>
      <c r="K12" s="1016">
        <f>I12+J12</f>
        <v/>
      </c>
      <c r="L12" s="1016" t="n">
        <v>-64200</v>
      </c>
      <c r="M12" s="814">
        <f>IFERROR((K12-L12)/ABS(L12),"")</f>
        <v/>
      </c>
      <c r="N12" s="16" t="n"/>
    </row>
    <row r="13">
      <c r="A13" s="16" t="n"/>
      <c r="B13" s="705" t="inlineStr">
        <is>
          <t>Dotations aux provisions</t>
        </is>
      </c>
      <c r="C13" s="706" t="inlineStr">
        <is>
          <t>Opérat.</t>
        </is>
      </c>
      <c r="D13" s="1012" t="n">
        <v>-4500</v>
      </c>
      <c r="E13" s="1012" t="n">
        <v>-2800</v>
      </c>
      <c r="F13" s="1012" t="n">
        <v>-2534</v>
      </c>
      <c r="G13" s="1012" t="n">
        <v>-3237</v>
      </c>
      <c r="H13" s="1012" t="n">
        <v>-1023</v>
      </c>
      <c r="I13" s="1012">
        <f>SUM(D13:H13)</f>
        <v/>
      </c>
      <c r="J13" s="1012" t="n">
        <v>0</v>
      </c>
      <c r="K13" s="1012">
        <f>I13+J13</f>
        <v/>
      </c>
      <c r="L13" s="1012" t="n">
        <v>-14500</v>
      </c>
      <c r="M13" s="816">
        <f>IFERROR((K13-L13)/ABS(L13),"")</f>
        <v/>
      </c>
      <c r="N13" s="16" t="n"/>
    </row>
    <row r="14" ht="15.75" customHeight="1" s="500" thickBot="1">
      <c r="A14" s="16" t="n"/>
      <c r="B14" s="709" t="inlineStr">
        <is>
          <t>🔑 RÉSULTAT OPÉRATIONNEL (EBIT)</t>
        </is>
      </c>
      <c r="C14" s="710" t="inlineStr">
        <is>
          <t>IFRS 18</t>
        </is>
      </c>
      <c r="D14" s="1017">
        <f>SUM(D7:D13)</f>
        <v/>
      </c>
      <c r="E14" s="1017">
        <f>SUM(E7:E13)</f>
        <v/>
      </c>
      <c r="F14" s="1017">
        <f>SUM(F7:F13)</f>
        <v/>
      </c>
      <c r="G14" s="1017">
        <f>SUM(G7:G13)</f>
        <v/>
      </c>
      <c r="H14" s="1017">
        <f>SUM(H7:H13)</f>
        <v/>
      </c>
      <c r="I14" s="1017">
        <f>SUM(I7:I13)</f>
        <v/>
      </c>
      <c r="J14" s="1017">
        <f>SUM(J7:J13)</f>
        <v/>
      </c>
      <c r="K14" s="1017">
        <f>SUM(K7:K13)</f>
        <v/>
      </c>
      <c r="L14" s="1017" t="n">
        <v>161000</v>
      </c>
      <c r="M14" s="818">
        <f>IFERROR((K14-L14)/ABS(L14),"")</f>
        <v/>
      </c>
      <c r="N14" s="16" t="n"/>
    </row>
    <row r="15">
      <c r="A15" s="16" t="n"/>
      <c r="B15" s="707" t="inlineStr">
        <is>
          <t>② INVESTISSEMENT (INVESTING)</t>
        </is>
      </c>
      <c r="C15" s="708" t="n"/>
      <c r="D15" s="819" t="n"/>
      <c r="E15" s="819" t="n"/>
      <c r="F15" s="819" t="n"/>
      <c r="G15" s="819" t="n"/>
      <c r="H15" s="819" t="n"/>
      <c r="I15" s="819" t="n"/>
      <c r="J15" s="819" t="n"/>
      <c r="K15" s="819" t="n"/>
      <c r="L15" s="819" t="n"/>
      <c r="M15" s="820" t="n"/>
      <c r="N15" s="16" t="n"/>
    </row>
    <row r="16">
      <c r="A16" s="16" t="n"/>
      <c r="B16" s="690" t="inlineStr">
        <is>
          <t>Dividendes reçus (hors exploitation)</t>
        </is>
      </c>
      <c r="C16" s="691" t="inlineStr">
        <is>
          <t>Invest.</t>
        </is>
      </c>
      <c r="D16" s="1016" t="n">
        <v>4200</v>
      </c>
      <c r="E16" s="1016" t="n">
        <v>0</v>
      </c>
      <c r="F16" s="1016" t="n">
        <v>0</v>
      </c>
      <c r="G16" s="1016" t="n">
        <v>0</v>
      </c>
      <c r="H16" s="1016" t="n">
        <v>0</v>
      </c>
      <c r="I16" s="1016">
        <f>SUM(D16:H16)</f>
        <v/>
      </c>
      <c r="J16" s="1016" t="n">
        <v>-4200</v>
      </c>
      <c r="K16" s="1016">
        <f>I16+J16</f>
        <v/>
      </c>
      <c r="L16" s="1016" t="n">
        <v>0</v>
      </c>
      <c r="M16" s="814">
        <f>IFERROR((K16-L16)/ABS(L16),"")</f>
        <v/>
      </c>
      <c r="N16" s="16" t="n"/>
    </row>
    <row r="17">
      <c r="A17" s="16" t="n"/>
      <c r="B17" s="688" t="inlineStr">
        <is>
          <t>Produits de cessions d'actifs</t>
        </is>
      </c>
      <c r="C17" s="689" t="inlineStr">
        <is>
          <t>Invest.</t>
        </is>
      </c>
      <c r="D17" s="1005" t="n">
        <v>1500</v>
      </c>
      <c r="E17" s="1005" t="n">
        <v>800</v>
      </c>
      <c r="F17" s="1005" t="n">
        <v>691</v>
      </c>
      <c r="G17" s="1005" t="n">
        <v>1110</v>
      </c>
      <c r="H17" s="1005" t="n">
        <v>0</v>
      </c>
      <c r="I17" s="1005">
        <f>SUM(D17:H17)</f>
        <v/>
      </c>
      <c r="J17" s="1005" t="n">
        <v>0</v>
      </c>
      <c r="K17" s="1005">
        <f>I17+J17</f>
        <v/>
      </c>
      <c r="L17" s="1005" t="n">
        <v>4800</v>
      </c>
      <c r="M17" s="812">
        <f>IFERROR((K17-L17)/ABS(L17),"")</f>
        <v/>
      </c>
      <c r="N17" s="16" t="n"/>
    </row>
    <row r="18">
      <c r="A18" s="16" t="n"/>
      <c r="B18" s="711" t="inlineStr">
        <is>
          <t>Produits financiers sur placements</t>
        </is>
      </c>
      <c r="C18" s="712" t="inlineStr">
        <is>
          <t>Invest.</t>
        </is>
      </c>
      <c r="D18" s="1019" t="n">
        <v>890</v>
      </c>
      <c r="E18" s="1019" t="n">
        <v>420</v>
      </c>
      <c r="F18" s="1019" t="n">
        <v>438</v>
      </c>
      <c r="G18" s="1019" t="n">
        <v>481</v>
      </c>
      <c r="H18" s="1019" t="n">
        <v>191</v>
      </c>
      <c r="I18" s="1019">
        <f>SUM(D18:H18)</f>
        <v/>
      </c>
      <c r="J18" s="1019" t="n">
        <v>0</v>
      </c>
      <c r="K18" s="1019">
        <f>I18+J18</f>
        <v/>
      </c>
      <c r="L18" s="1019" t="n">
        <v>2400</v>
      </c>
      <c r="M18" s="822">
        <f>IFERROR((K18-L18)/ABS(L18),"")</f>
        <v/>
      </c>
      <c r="N18" s="16" t="n"/>
    </row>
    <row r="19" ht="15.75" customHeight="1" s="500" thickBot="1">
      <c r="A19" s="16" t="n"/>
      <c r="B19" s="709" t="inlineStr">
        <is>
          <t>RÉSULTAT INVESTISSEMENT</t>
        </is>
      </c>
      <c r="C19" s="710" t="inlineStr">
        <is>
          <t>IFRS 18</t>
        </is>
      </c>
      <c r="D19" s="1017">
        <f>SUM(D16:D18)</f>
        <v/>
      </c>
      <c r="E19" s="1017">
        <f>SUM(E16:E18)</f>
        <v/>
      </c>
      <c r="F19" s="1017">
        <f>SUM(F16:F18)</f>
        <v/>
      </c>
      <c r="G19" s="1017">
        <f>SUM(G16:G18)</f>
        <v/>
      </c>
      <c r="H19" s="1017">
        <f>SUM(H16:H18)</f>
        <v/>
      </c>
      <c r="I19" s="1017">
        <f>SUM(I16:I18)</f>
        <v/>
      </c>
      <c r="J19" s="1017">
        <f>SUM(J16:J18)</f>
        <v/>
      </c>
      <c r="K19" s="1017">
        <f>SUM(K16:K18)</f>
        <v/>
      </c>
      <c r="L19" s="1017" t="n">
        <v>7200</v>
      </c>
      <c r="M19" s="818">
        <f>IFERROR((K19-L19)/ABS(L19),"")</f>
        <v/>
      </c>
      <c r="N19" s="16" t="n"/>
    </row>
    <row r="20">
      <c r="A20" s="16" t="n"/>
      <c r="B20" s="707" t="inlineStr">
        <is>
          <t>③ FINANCEMENT (FINANCING)</t>
        </is>
      </c>
      <c r="C20" s="708" t="n"/>
      <c r="D20" s="819" t="n"/>
      <c r="E20" s="819" t="n"/>
      <c r="F20" s="819" t="n"/>
      <c r="G20" s="819" t="n"/>
      <c r="H20" s="819" t="n"/>
      <c r="I20" s="819" t="n"/>
      <c r="J20" s="819" t="n"/>
      <c r="K20" s="819" t="n"/>
      <c r="L20" s="819" t="n"/>
      <c r="M20" s="820" t="n"/>
      <c r="N20" s="16" t="n"/>
    </row>
    <row r="21">
      <c r="A21" s="16" t="n"/>
      <c r="B21" s="688" t="inlineStr">
        <is>
          <t>Charges d'intérêts (emprunts)</t>
        </is>
      </c>
      <c r="C21" s="689" t="inlineStr">
        <is>
          <t>Fin.</t>
        </is>
      </c>
      <c r="D21" s="1005" t="n">
        <v>-8200</v>
      </c>
      <c r="E21" s="1005" t="n">
        <v>-4500</v>
      </c>
      <c r="F21" s="1005" t="n">
        <v>-5990</v>
      </c>
      <c r="G21" s="1005" t="n">
        <v>-7215</v>
      </c>
      <c r="H21" s="1005" t="n">
        <v>-1910</v>
      </c>
      <c r="I21" s="1005">
        <f>SUM(D21:H21)</f>
        <v/>
      </c>
      <c r="J21" s="1005" t="n">
        <v>0</v>
      </c>
      <c r="K21" s="1005">
        <f>I21+J21</f>
        <v/>
      </c>
      <c r="L21" s="1005" t="n">
        <v>-31200</v>
      </c>
      <c r="M21" s="812">
        <f>IFERROR((K21-L21)/ABS(L21),"")</f>
        <v/>
      </c>
      <c r="N21" s="16" t="n"/>
    </row>
    <row r="22">
      <c r="A22" s="16" t="n"/>
      <c r="B22" s="711" t="inlineStr">
        <is>
          <t>Intérêts dettes locatives (IFRS 16)</t>
        </is>
      </c>
      <c r="C22" s="712" t="inlineStr">
        <is>
          <t>Fin.</t>
        </is>
      </c>
      <c r="D22" s="1019" t="n">
        <v>-1800</v>
      </c>
      <c r="E22" s="1019" t="n">
        <v>-900</v>
      </c>
      <c r="F22" s="1019" t="n">
        <v>-1382</v>
      </c>
      <c r="G22" s="1019" t="n">
        <v>-1480</v>
      </c>
      <c r="H22" s="1019" t="n">
        <v>-341</v>
      </c>
      <c r="I22" s="1019">
        <f>SUM(D22:H22)</f>
        <v/>
      </c>
      <c r="J22" s="1019" t="n">
        <v>0</v>
      </c>
      <c r="K22" s="1019">
        <f>I22+J22</f>
        <v/>
      </c>
      <c r="L22" s="1019" t="n">
        <v>-6400</v>
      </c>
      <c r="M22" s="822">
        <f>IFERROR((K22-L22)/ABS(L22),"")</f>
        <v/>
      </c>
      <c r="N22" s="16" t="n"/>
    </row>
    <row r="23" ht="15.75" customHeight="1" s="500" thickBot="1">
      <c r="A23" s="16" t="n"/>
      <c r="B23" s="713" t="inlineStr">
        <is>
          <t>RÉSULTAT FINANCEMENT</t>
        </is>
      </c>
      <c r="C23" s="714" t="inlineStr">
        <is>
          <t>IFRS 18</t>
        </is>
      </c>
      <c r="D23" s="1020">
        <f>SUM(D21:D22)</f>
        <v/>
      </c>
      <c r="E23" s="1020">
        <f>SUM(E21:E22)</f>
        <v/>
      </c>
      <c r="F23" s="1020">
        <f>SUM(F21:F22)</f>
        <v/>
      </c>
      <c r="G23" s="1020">
        <f>SUM(G21:G22)</f>
        <v/>
      </c>
      <c r="H23" s="1020">
        <f>SUM(H21:H22)</f>
        <v/>
      </c>
      <c r="I23" s="1020">
        <f>SUM(I21:I22)</f>
        <v/>
      </c>
      <c r="J23" s="1020">
        <f>SUM(J21:J22)</f>
        <v/>
      </c>
      <c r="K23" s="1020">
        <f>SUM(K21:K22)</f>
        <v/>
      </c>
      <c r="L23" s="1020" t="n">
        <v>-37600</v>
      </c>
      <c r="M23" s="824">
        <f>IFERROR((K23-L23)/ABS(L23),"")</f>
        <v/>
      </c>
      <c r="N23" s="16" t="n"/>
    </row>
    <row r="24" ht="15.75" customHeight="1" s="500" thickBot="1">
      <c r="A24" s="16" t="n"/>
      <c r="B24" s="715" t="inlineStr">
        <is>
          <t>🔑🔑 PROFIT AVANT FINANCEMENT &amp; IMPÔT (IFRS 18 §65)</t>
        </is>
      </c>
      <c r="C24" s="716" t="inlineStr">
        <is>
          <t>🆕</t>
        </is>
      </c>
      <c r="D24" s="1033">
        <f>D14+D19</f>
        <v/>
      </c>
      <c r="E24" s="1033">
        <f>E14+E19</f>
        <v/>
      </c>
      <c r="F24" s="1033">
        <f>F14+F19</f>
        <v/>
      </c>
      <c r="G24" s="1033">
        <f>G14+G19</f>
        <v/>
      </c>
      <c r="H24" s="1033">
        <f>H14+H19</f>
        <v/>
      </c>
      <c r="I24" s="1033">
        <f>I14+I19</f>
        <v/>
      </c>
      <c r="J24" s="1033">
        <f>J14+J19</f>
        <v/>
      </c>
      <c r="K24" s="1033">
        <f>K14+K19</f>
        <v/>
      </c>
      <c r="L24" s="1033" t="n">
        <v>168200</v>
      </c>
      <c r="M24" s="826">
        <f>IFERROR((K24-L24)/ABS(L24),"")</f>
        <v/>
      </c>
      <c r="N24" s="16" t="n"/>
    </row>
    <row r="25">
      <c r="A25" s="16" t="n"/>
      <c r="B25" s="707" t="inlineStr">
        <is>
          <t>④ IMPÔTS SUR LES RÉSULTATS (IAS 12)</t>
        </is>
      </c>
      <c r="C25" s="708" t="n"/>
      <c r="D25" s="819" t="n"/>
      <c r="E25" s="819" t="n"/>
      <c r="F25" s="819" t="n"/>
      <c r="G25" s="819" t="n"/>
      <c r="H25" s="819" t="n"/>
      <c r="I25" s="819" t="n"/>
      <c r="J25" s="819" t="n"/>
      <c r="K25" s="819" t="n"/>
      <c r="L25" s="819" t="n"/>
      <c r="M25" s="820" t="n"/>
      <c r="N25" s="16" t="n"/>
    </row>
    <row r="26">
      <c r="A26" s="16" t="n"/>
      <c r="B26" s="690" t="inlineStr">
        <is>
          <t>Charge d'impôt courant</t>
        </is>
      </c>
      <c r="C26" s="691" t="inlineStr">
        <is>
          <t>Impôts</t>
        </is>
      </c>
      <c r="D26" s="1016" t="n">
        <v>-12400</v>
      </c>
      <c r="E26" s="1016" t="n">
        <v>-8200</v>
      </c>
      <c r="F26" s="1016" t="n">
        <v>-11290</v>
      </c>
      <c r="G26" s="1016" t="n">
        <v>-6660</v>
      </c>
      <c r="H26" s="1016" t="n">
        <v>-2182</v>
      </c>
      <c r="I26" s="1016">
        <f>SUM(D26:H26)</f>
        <v/>
      </c>
      <c r="J26" s="1016" t="n">
        <v>0</v>
      </c>
      <c r="K26" s="1016">
        <f>I26+J26</f>
        <v/>
      </c>
      <c r="L26" s="1016" t="n">
        <v>-38200</v>
      </c>
      <c r="M26" s="814">
        <f>IFERROR((K26-L26)/ABS(L26),"")</f>
        <v/>
      </c>
      <c r="N26" s="16" t="n"/>
    </row>
    <row r="27">
      <c r="A27" s="16" t="n"/>
      <c r="B27" s="705" t="inlineStr">
        <is>
          <t>Variation impôts différés (IAS 12)</t>
        </is>
      </c>
      <c r="C27" s="706" t="inlineStr">
        <is>
          <t>Impôts</t>
        </is>
      </c>
      <c r="D27" s="1012" t="n">
        <v>-1200</v>
      </c>
      <c r="E27" s="1012" t="n">
        <v>-600</v>
      </c>
      <c r="F27" s="1012" t="n">
        <v>-922</v>
      </c>
      <c r="G27" s="1012" t="n">
        <v>-832</v>
      </c>
      <c r="H27" s="1012" t="n">
        <v>-205</v>
      </c>
      <c r="I27" s="1012">
        <f>SUM(D27:H27)</f>
        <v/>
      </c>
      <c r="J27" s="1012" t="n">
        <v>0</v>
      </c>
      <c r="K27" s="1012">
        <f>I27+J27</f>
        <v/>
      </c>
      <c r="L27" s="1012" t="n">
        <v>-4500</v>
      </c>
      <c r="M27" s="816">
        <f>IFERROR((K27-L27)/ABS(L27),"")</f>
        <v/>
      </c>
      <c r="N27" s="16" t="n"/>
    </row>
    <row r="28" ht="15.75" customHeight="1" s="500" thickBot="1">
      <c r="A28" s="16" t="n"/>
      <c r="B28" s="709" t="inlineStr">
        <is>
          <t>RÉSULTAT AVANT ACTIVITÉS ABANDONNÉES</t>
        </is>
      </c>
      <c r="C28" s="710" t="n"/>
      <c r="D28" s="1017">
        <f>D24+D23+D26+D27</f>
        <v/>
      </c>
      <c r="E28" s="1017">
        <f>E24+E23+E26+E27</f>
        <v/>
      </c>
      <c r="F28" s="1017">
        <f>F24+F23+F26+F27</f>
        <v/>
      </c>
      <c r="G28" s="1017">
        <f>G24+G23+G26+G27</f>
        <v/>
      </c>
      <c r="H28" s="1017">
        <f>H24+H23+H26+H27</f>
        <v/>
      </c>
      <c r="I28" s="1017">
        <f>I24+I23+I26+I27</f>
        <v/>
      </c>
      <c r="J28" s="1017">
        <f>J24+J23+J26+J27</f>
        <v/>
      </c>
      <c r="K28" s="1017">
        <f>K24+K23+K26+K27</f>
        <v/>
      </c>
      <c r="L28" s="1017" t="n">
        <v>126400</v>
      </c>
      <c r="M28" s="818">
        <f>IFERROR((K28-L28)/ABS(L28),"")</f>
        <v/>
      </c>
      <c r="N28" s="16" t="n"/>
    </row>
    <row r="29">
      <c r="A29" s="16" t="n"/>
      <c r="B29" s="717" t="inlineStr">
        <is>
          <t>⑤ Activités abandonnées (IFRS 5)</t>
        </is>
      </c>
      <c r="C29" s="718" t="inlineStr">
        <is>
          <t>Discontinu</t>
        </is>
      </c>
      <c r="D29" s="1034" t="n">
        <v>0</v>
      </c>
      <c r="E29" s="1034" t="n">
        <v>0</v>
      </c>
      <c r="F29" s="1034" t="n">
        <v>0</v>
      </c>
      <c r="G29" s="1034" t="n">
        <v>0</v>
      </c>
      <c r="H29" s="1034" t="n">
        <v>0</v>
      </c>
      <c r="I29" s="1034">
        <f>SUM(D29:H29)</f>
        <v/>
      </c>
      <c r="J29" s="1034" t="n">
        <v>0</v>
      </c>
      <c r="K29" s="1034">
        <f>I29+J29</f>
        <v/>
      </c>
      <c r="L29" s="1034" t="n">
        <v>0</v>
      </c>
      <c r="M29" s="828" t="n"/>
      <c r="N29" s="16" t="n"/>
    </row>
    <row r="30" ht="16.5" customHeight="1" s="500" thickBot="1">
      <c r="A30" s="16" t="n"/>
      <c r="B30" s="722" t="inlineStr">
        <is>
          <t>🏆 RÉSULTAT NET CONSOLIDÉ</t>
        </is>
      </c>
      <c r="C30" s="723" t="n"/>
      <c r="D30" s="1035">
        <f>D28+D29</f>
        <v/>
      </c>
      <c r="E30" s="1035">
        <f>E28+E29</f>
        <v/>
      </c>
      <c r="F30" s="1035">
        <f>F28+F29</f>
        <v/>
      </c>
      <c r="G30" s="1035">
        <f>G28+G29</f>
        <v/>
      </c>
      <c r="H30" s="1035">
        <f>H28+H29</f>
        <v/>
      </c>
      <c r="I30" s="1035">
        <f>I28+I29</f>
        <v/>
      </c>
      <c r="J30" s="1035">
        <f>J28+J29</f>
        <v/>
      </c>
      <c r="K30" s="1035">
        <f>K28+K29</f>
        <v/>
      </c>
      <c r="L30" s="1035" t="n">
        <v>126400</v>
      </c>
      <c r="M30" s="830">
        <f>IFERROR((K30-L30)/ABS(L30),"")</f>
        <v/>
      </c>
      <c r="N30" s="16" t="n"/>
    </row>
    <row r="31" ht="28.5" customHeight="1" s="500">
      <c r="A31" s="16" t="n"/>
      <c r="B31" s="719" t="inlineStr">
        <is>
          <t xml:space="preserve">  dont : Part du Groupe</t>
        </is>
      </c>
      <c r="C31" s="720" t="n"/>
      <c r="D31" s="1036" t="n">
        <v>32800</v>
      </c>
      <c r="E31" s="1036" t="n">
        <v>18500</v>
      </c>
      <c r="F31" s="1036" t="n">
        <v>20644</v>
      </c>
      <c r="G31" s="1036" t="n">
        <v>10268</v>
      </c>
      <c r="H31" s="1036" t="n">
        <v>3642</v>
      </c>
      <c r="I31" s="1036">
        <f>SUM(D31:H31)</f>
        <v/>
      </c>
      <c r="J31" s="1036" t="n">
        <v>0</v>
      </c>
      <c r="K31" s="1036">
        <f>I31+J31</f>
        <v/>
      </c>
      <c r="L31" s="1036" t="n">
        <v>95000</v>
      </c>
      <c r="M31" s="832" t="n"/>
      <c r="N31" s="16" t="n"/>
    </row>
    <row r="32" ht="24.75" customHeight="1" s="500">
      <c r="A32" s="16" t="n"/>
      <c r="B32" s="692" t="inlineStr">
        <is>
          <t xml:space="preserve">  dont : Intérêts Minoritaires (NCI)</t>
        </is>
      </c>
      <c r="C32" s="693" t="n"/>
      <c r="D32" s="1037">
        <f>D30-D31</f>
        <v/>
      </c>
      <c r="E32" s="1037">
        <f>E30-E31</f>
        <v/>
      </c>
      <c r="F32" s="1037">
        <f>F30-F31</f>
        <v/>
      </c>
      <c r="G32" s="1037">
        <f>G30-G31</f>
        <v/>
      </c>
      <c r="H32" s="1037">
        <f>H30-H31</f>
        <v/>
      </c>
      <c r="I32" s="1037">
        <f>SUM(D32:H32)</f>
        <v/>
      </c>
      <c r="J32" s="1037" t="n">
        <v>0</v>
      </c>
      <c r="K32" s="1037">
        <f>K30-K31</f>
        <v/>
      </c>
      <c r="L32" s="1038">
        <f>PQ_DETENTION!F17</f>
        <v/>
      </c>
      <c r="M32" s="835" t="n"/>
      <c r="N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</row>
    <row r="34" ht="15.75" customHeight="1" s="500">
      <c r="A34" s="16" t="n"/>
      <c r="B34" s="972" t="inlineStr">
        <is>
          <t>📊 INDICATEURS CLÉS (KPIs) – CONSOLIDÉS</t>
        </is>
      </c>
      <c r="N34" s="16" t="n"/>
    </row>
    <row r="35">
      <c r="A35" s="16" t="n"/>
      <c r="B35" s="968" t="inlineStr">
        <is>
          <t>Chiffre d'affaires groupe</t>
        </is>
      </c>
      <c r="C35" s="969">
        <f>K7</f>
        <v/>
      </c>
      <c r="D35" s="971" t="inlineStr">
        <is>
          <t>k€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</row>
    <row r="36">
      <c r="A36" s="16" t="n"/>
      <c r="B36" s="968" t="inlineStr">
        <is>
          <t>EBIT consolidé</t>
        </is>
      </c>
      <c r="C36" s="969">
        <f>K14</f>
        <v/>
      </c>
      <c r="D36" s="971" t="inlineStr">
        <is>
          <t>k€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</row>
    <row r="37">
      <c r="A37" s="16" t="n"/>
      <c r="B37" s="968" t="inlineStr">
        <is>
          <t>Marge EBIT (%)</t>
        </is>
      </c>
      <c r="C37" s="970">
        <f>IFERROR(K14/K7,"")</f>
        <v/>
      </c>
      <c r="D37" s="971" t="inlineStr">
        <is>
          <t>%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</row>
    <row r="38">
      <c r="A38" s="16" t="n"/>
      <c r="B38" s="968" t="inlineStr">
        <is>
          <t>EBITDA (EBIT + Amort.)</t>
        </is>
      </c>
      <c r="C38" s="969">
        <f>K14-K12</f>
        <v/>
      </c>
      <c r="D38" s="971" t="inlineStr">
        <is>
          <t>k€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</row>
    <row r="39">
      <c r="A39" s="16" t="n"/>
      <c r="B39" s="968" t="inlineStr">
        <is>
          <t>Marge EBITDA (%)</t>
        </is>
      </c>
      <c r="C39" s="970">
        <f>IFERROR((K14-K12)/K7,"")</f>
        <v/>
      </c>
      <c r="D39" s="971" t="inlineStr">
        <is>
          <t>%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</row>
    <row r="40">
      <c r="A40" s="16" t="n"/>
      <c r="B40" s="968" t="inlineStr">
        <is>
          <t>Résultat Net Groupe</t>
        </is>
      </c>
      <c r="C40" s="969">
        <f>K30</f>
        <v/>
      </c>
      <c r="D40" s="971" t="inlineStr">
        <is>
          <t>k€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</row>
    <row r="41">
      <c r="A41" s="16" t="n"/>
      <c r="B41" s="968" t="inlineStr">
        <is>
          <t>Marge nette (%)</t>
        </is>
      </c>
      <c r="C41" s="970">
        <f>IFERROR(K30/K7,"")</f>
        <v/>
      </c>
      <c r="D41" s="971" t="inlineStr">
        <is>
          <t>%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</row>
    <row r="42">
      <c r="A42" s="16" t="n"/>
      <c r="B42" s="968" t="inlineStr">
        <is>
          <t>Profit avant fin. &amp; impôt (IFRS 18)</t>
        </is>
      </c>
      <c r="C42" s="969">
        <f>K24</f>
        <v/>
      </c>
      <c r="D42" s="971" t="inlineStr">
        <is>
          <t>k€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</row>
    <row r="43">
      <c r="A43" s="16" t="n"/>
      <c r="B43" s="40" t="inlineStr">
        <is>
          <t>Taux Effectif d'Imposition (TEI)</t>
        </is>
      </c>
      <c r="C43" s="836">
        <f>IFERROR(ABS(K26+K27)/ABS(K24),"")</f>
        <v/>
      </c>
      <c r="D43" s="383" t="inlineStr">
        <is>
          <t>% (IS courant + différé / RN avant impôts)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</row>
    <row r="44">
      <c r="A44" s="16" t="n"/>
      <c r="B44" s="40" t="inlineStr">
        <is>
          <t>Levier financier (DN / EBITDA)</t>
        </is>
      </c>
      <c r="C44" s="1039">
        <f>IFERROR((CONSOL_BILAN!J30+CONSOL_BILAN!J37-CONSOL_BILAN!J18)/C38,"")</f>
        <v/>
      </c>
      <c r="D44" s="383" t="inlineStr">
        <is>
          <t>x  (Dettes fin. LT / EBITDA consolidé)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</row>
  </sheetData>
  <mergeCells count="4">
    <mergeCell ref="B3:M3"/>
    <mergeCell ref="B34:M34"/>
    <mergeCell ref="B4:M4"/>
    <mergeCell ref="B2:M2"/>
  </mergeCells>
  <conditionalFormatting sqref="M7:M30">
    <cfRule type="cellIs" priority="1" operator="greaterThan" dxfId="5">
      <formula>0.05</formula>
    </cfRule>
    <cfRule type="cellIs" priority="2" operator="lessThan" dxfId="3">
      <formula>-0.05</formula>
    </cfRule>
    <cfRule type="cellIs" priority="3" operator="lessThan" dxfId="3">
      <formula>0</formula>
    </cfRule>
    <cfRule type="cellIs" priority="4" operator="greaterThanOrEqual" dxfId="5">
      <formula>0</formula>
    </cfRule>
  </conditionalFormatting>
  <printOptions horizontalCentered="1"/>
  <pageMargins left="0.7" right="0.7" top="0.75" bottom="0.75" header="0.3" footer="0.3"/>
  <pageSetup orientation="landscape" paperSize="9" scale="0" horizontalDpi="0" verticalDpi="0" copies="0"/>
</worksheet>
</file>

<file path=xl/worksheets/sheet14.xml><?xml version="1.0" encoding="utf-8"?>
<worksheet xmlns="http://schemas.openxmlformats.org/spreadsheetml/2006/main">
  <sheetPr>
    <tabColor rgb="FF2980B9"/>
    <outlinePr summaryBelow="1" summaryRight="1"/>
    <pageSetUpPr/>
  </sheetPr>
  <dimension ref="A1:L60"/>
  <sheetViews>
    <sheetView showGridLines="0" workbookViewId="0">
      <pane ySplit="4" topLeftCell="A5" activePane="bottomLeft" state="frozen"/>
      <selection pane="bottomLeft" activeCell="H19" sqref="H19"/>
    </sheetView>
  </sheetViews>
  <sheetFormatPr baseColWidth="10" defaultRowHeight="15"/>
  <cols>
    <col width="3.85546875" customWidth="1" style="500" min="1" max="1"/>
    <col width="59" customWidth="1" style="500" min="2" max="2"/>
    <col width="19" customWidth="1" style="500" min="3" max="4"/>
    <col width="32" customWidth="1" style="500" min="5" max="5"/>
    <col width="17" customWidth="1" style="500" min="6" max="6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 ht="17.25" customHeight="1" s="500">
      <c r="A2" s="16" t="n"/>
      <c r="B2" s="532" t="inlineStr">
        <is>
          <t>💧  TABLEAU DES FLUX DE TRÉSORERIE CONSOLIDÉ – Méthode Indirecte · IFRS (IAS 7) · Exercice 2025-2026 (k€)</t>
        </is>
      </c>
      <c r="K2" s="16" t="n"/>
      <c r="L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</row>
    <row r="4">
      <c r="A4" s="16" t="n"/>
      <c r="B4" s="681" t="inlineStr">
        <is>
          <t>Poste (IAS 7)</t>
        </is>
      </c>
      <c r="C4" s="682" t="inlineStr">
        <is>
          <t>N (2025) k€</t>
        </is>
      </c>
      <c r="D4" s="682" t="inlineStr">
        <is>
          <t>N-1 (2024) k€</t>
        </is>
      </c>
      <c r="E4" s="684" t="inlineStr">
        <is>
          <t>Note</t>
        </is>
      </c>
      <c r="F4" s="16" t="n"/>
      <c r="G4" s="16" t="n"/>
      <c r="H4" s="16" t="n"/>
      <c r="I4" s="16" t="n"/>
      <c r="J4" s="16" t="n"/>
      <c r="K4" s="16" t="n"/>
      <c r="L4" s="16" t="n"/>
    </row>
    <row r="5">
      <c r="A5" s="16" t="n"/>
      <c r="B5" s="695" t="inlineStr">
        <is>
          <t>A.  FLUX D'EXPLOITATION</t>
        </is>
      </c>
      <c r="C5" s="699" t="n"/>
      <c r="D5" s="699" t="n"/>
      <c r="E5" s="700" t="n"/>
      <c r="F5" s="16" t="n"/>
      <c r="G5" s="16" t="n"/>
      <c r="H5" s="16" t="n"/>
      <c r="I5" s="16" t="n"/>
      <c r="J5" s="16" t="n"/>
      <c r="K5" s="16" t="n"/>
      <c r="L5" s="16" t="n"/>
    </row>
    <row r="6">
      <c r="A6" s="16" t="n"/>
      <c r="B6" s="690" t="inlineStr">
        <is>
          <t>Résultat net consolidé</t>
        </is>
      </c>
      <c r="C6" s="1016">
        <f>CONSOL_CR!K30</f>
        <v/>
      </c>
      <c r="D6" s="1016" t="n">
        <v>126400</v>
      </c>
      <c r="E6" s="701" t="inlineStr">
        <is>
          <t>Lien CONSOL_CR</t>
        </is>
      </c>
      <c r="F6" s="16" t="n"/>
      <c r="G6" s="16" t="n"/>
      <c r="H6" s="16" t="n"/>
      <c r="I6" s="16" t="n"/>
      <c r="J6" s="16" t="n"/>
      <c r="K6" s="16" t="n"/>
      <c r="L6" s="16" t="n"/>
    </row>
    <row r="7">
      <c r="A7" s="16" t="n"/>
      <c r="B7" s="688" t="inlineStr">
        <is>
          <t>Amortissements &amp; dépréciations</t>
        </is>
      </c>
      <c r="C7" s="1005" t="n">
        <v>64200</v>
      </c>
      <c r="D7" s="1005" t="n">
        <v>61000</v>
      </c>
      <c r="E7" s="702" t="inlineStr">
        <is>
          <t>PP&amp;E + GW + IFRS 16</t>
        </is>
      </c>
      <c r="F7" s="16" t="n"/>
      <c r="G7" s="16" t="n"/>
      <c r="H7" s="16" t="n"/>
      <c r="I7" s="16" t="n"/>
      <c r="J7" s="16" t="n"/>
      <c r="K7" s="16" t="n"/>
      <c r="L7" s="16" t="n"/>
    </row>
    <row r="8">
      <c r="A8" s="16" t="n"/>
      <c r="B8" s="690" t="inlineStr">
        <is>
          <t>Variation des impôts différés</t>
        </is>
      </c>
      <c r="C8" s="1016" t="n">
        <v>4500</v>
      </c>
      <c r="D8" s="1016" t="n">
        <v>3800</v>
      </c>
      <c r="E8" s="703" t="inlineStr">
        <is>
          <t>Δ Stocks</t>
        </is>
      </c>
      <c r="F8" s="384" t="inlineStr">
        <is>
          <t>Δ Créances</t>
        </is>
      </c>
      <c r="G8" s="384" t="inlineStr">
        <is>
          <t>Δ Dettes fourn.</t>
        </is>
      </c>
      <c r="H8" s="16" t="n"/>
      <c r="I8" s="16" t="n"/>
      <c r="J8" s="16" t="n"/>
      <c r="K8" s="16" t="n"/>
      <c r="L8" s="16" t="n"/>
    </row>
    <row r="9">
      <c r="A9" s="16" t="n"/>
      <c r="B9" s="688" t="inlineStr">
        <is>
          <t>Variation du BFR (stocks, créances, dettes)</t>
        </is>
      </c>
      <c r="C9" s="1005">
        <f>IFERROR((CONSOL_BILAN!J14-CONSOL_BILAN!K14)+(CONSOL_BILAN!J15-CONSOL_BILAN!K15)-(CONSOL_BILAN!J36-CONSOL_BILAN!K36),0)</f>
        <v/>
      </c>
      <c r="D9" s="854" t="inlineStr">
        <is>
          <t>Auto-calculé: ΔBFR = ΔStocks+ΔCréances-ΔDettes fourn. (CONSOL_BILAN)</t>
        </is>
      </c>
      <c r="E9" s="704">
        <f>CONSOL_BILAN!J14-CONSOL_BILAN!K14</f>
        <v/>
      </c>
      <c r="F9" s="385">
        <f>CONSOL_BILAN!J15-CONSOL_BILAN!K15</f>
        <v/>
      </c>
      <c r="G9" s="385">
        <f>-(CONSOL_BILAN!J36-CONSOL_BILAN!K36)</f>
        <v/>
      </c>
      <c r="H9" s="16" t="n"/>
      <c r="I9" s="16" t="n"/>
      <c r="J9" s="16" t="n"/>
      <c r="K9" s="16" t="n"/>
      <c r="L9" s="16" t="n"/>
    </row>
    <row r="10">
      <c r="A10" s="16" t="n"/>
      <c r="B10" s="690" t="inlineStr">
        <is>
          <t>Élimination résultats de cession</t>
        </is>
      </c>
      <c r="C10" s="1016" t="n">
        <v>-1500</v>
      </c>
      <c r="D10" s="1016" t="n">
        <v>-800</v>
      </c>
      <c r="E10" s="701" t="inlineStr">
        <is>
          <t>Reclassé en ②</t>
        </is>
      </c>
      <c r="F10" s="16" t="n"/>
      <c r="G10" s="16" t="n"/>
      <c r="H10" s="16" t="n"/>
      <c r="I10" s="16" t="n"/>
      <c r="J10" s="16" t="n"/>
      <c r="K10" s="16" t="n"/>
      <c r="L10" s="16" t="n"/>
    </row>
    <row r="11">
      <c r="A11" s="16" t="n"/>
      <c r="B11" s="705" t="inlineStr">
        <is>
          <t>Élimination dividendes &amp; intérêts IC</t>
        </is>
      </c>
      <c r="C11" s="1012" t="n">
        <v>-7462</v>
      </c>
      <c r="D11" s="1012" t="n">
        <v>-6200</v>
      </c>
      <c r="E11" s="727" t="inlineStr">
        <is>
          <t>Élim. IC</t>
        </is>
      </c>
      <c r="F11" s="16" t="n"/>
      <c r="G11" s="16" t="n"/>
      <c r="H11" s="16" t="n"/>
      <c r="I11" s="16" t="n"/>
      <c r="J11" s="16" t="n"/>
      <c r="K11" s="16" t="n"/>
      <c r="L11" s="16" t="n"/>
    </row>
    <row r="12" ht="15.75" customHeight="1" s="500" thickBot="1">
      <c r="A12" s="16" t="n"/>
      <c r="B12" s="709" t="inlineStr">
        <is>
          <t>🔵 FLUX NETS D'EXPLOITATION (A)</t>
        </is>
      </c>
      <c r="C12" s="1017">
        <f>SUM(C6:C11)</f>
        <v/>
      </c>
      <c r="D12" s="1040" t="n">
        <v>178800</v>
      </c>
      <c r="E12" s="729" t="inlineStr">
        <is>
          <t>✅ Contrôle</t>
        </is>
      </c>
      <c r="F12" s="16" t="n"/>
      <c r="G12" s="16" t="n"/>
      <c r="H12" s="16" t="n"/>
      <c r="I12" s="16" t="n"/>
      <c r="J12" s="16" t="n"/>
      <c r="K12" s="16" t="n"/>
      <c r="L12" s="16" t="n"/>
    </row>
    <row r="13">
      <c r="A13" s="16" t="n"/>
      <c r="B13" s="724" t="inlineStr">
        <is>
          <t>B.  FLUX D'INVESTISSEMENT</t>
        </is>
      </c>
      <c r="C13" s="1041" t="n"/>
      <c r="D13" s="843" t="n"/>
      <c r="E13" s="728" t="n"/>
      <c r="F13" s="16" t="n"/>
      <c r="G13" s="16" t="n"/>
      <c r="H13" s="16" t="n"/>
      <c r="I13" s="16" t="n"/>
      <c r="J13" s="16" t="n"/>
      <c r="K13" s="16" t="n"/>
      <c r="L13" s="16" t="n"/>
    </row>
    <row r="14">
      <c r="A14" s="16" t="n"/>
      <c r="B14" s="690" t="inlineStr">
        <is>
          <t>Acquisitions d'immobilisations (CAPEX)</t>
        </is>
      </c>
      <c r="C14" s="1016" t="n">
        <v>-48200</v>
      </c>
      <c r="D14" s="1016" t="n">
        <v>-42000</v>
      </c>
      <c r="E14" s="701" t="inlineStr">
        <is>
          <t>PP&amp;E + immo inc.</t>
        </is>
      </c>
      <c r="F14" s="16" t="n"/>
      <c r="G14" s="16" t="n"/>
      <c r="H14" s="16" t="n"/>
      <c r="I14" s="16" t="n"/>
      <c r="J14" s="16" t="n"/>
      <c r="K14" s="16" t="n"/>
      <c r="L14" s="16" t="n"/>
    </row>
    <row r="15">
      <c r="A15" s="16" t="n"/>
      <c r="B15" s="688" t="inlineStr">
        <is>
          <t>Cessions d'actifs</t>
        </is>
      </c>
      <c r="C15" s="1005" t="n">
        <v>1500</v>
      </c>
      <c r="D15" s="1005" t="n">
        <v>800</v>
      </c>
      <c r="E15" s="702" t="inlineStr">
        <is>
          <t>Produits nets</t>
        </is>
      </c>
      <c r="F15" s="16" t="n"/>
      <c r="G15" s="16" t="n"/>
      <c r="H15" s="16" t="n"/>
      <c r="I15" s="16" t="n"/>
      <c r="J15" s="16" t="n"/>
      <c r="K15" s="16" t="n"/>
      <c r="L15" s="16" t="n"/>
    </row>
    <row r="16">
      <c r="A16" s="16" t="n"/>
      <c r="B16" s="690" t="inlineStr">
        <is>
          <t>Acquisitions de titres &amp; participations</t>
        </is>
      </c>
      <c r="C16" s="1016" t="n">
        <v>-8500</v>
      </c>
      <c r="D16" s="1016" t="n">
        <v>-3200</v>
      </c>
      <c r="E16" s="701" t="inlineStr">
        <is>
          <t>IFRS 3</t>
        </is>
      </c>
      <c r="F16" s="16" t="n"/>
      <c r="G16" s="16" t="n"/>
      <c r="H16" s="16" t="n"/>
      <c r="I16" s="16" t="n"/>
      <c r="J16" s="16" t="n"/>
      <c r="K16" s="16" t="n"/>
      <c r="L16" s="16" t="n"/>
    </row>
    <row r="17">
      <c r="A17" s="16" t="n"/>
      <c r="B17" s="730" t="inlineStr">
        <is>
          <t>Variation prêts &amp; avances IC (net élim.)</t>
        </is>
      </c>
      <c r="C17" s="1042" t="n">
        <v>0</v>
      </c>
      <c r="D17" s="1042" t="n">
        <v>0</v>
      </c>
      <c r="E17" s="731" t="inlineStr">
        <is>
          <t>Éliminés</t>
        </is>
      </c>
      <c r="F17" s="16" t="n"/>
      <c r="G17" s="16" t="n"/>
      <c r="H17" s="16" t="n"/>
      <c r="I17" s="16" t="n"/>
      <c r="J17" s="16" t="n"/>
      <c r="K17" s="16" t="n"/>
      <c r="L17" s="16" t="n"/>
    </row>
    <row r="18" ht="15.75" customHeight="1" s="500" thickBot="1">
      <c r="A18" s="16" t="n"/>
      <c r="B18" s="709" t="inlineStr">
        <is>
          <t>🔵 FLUX NETS D'INVESTISSEMENT (B)</t>
        </is>
      </c>
      <c r="C18" s="1017">
        <f>SUM(C14:C17)</f>
        <v/>
      </c>
      <c r="D18" s="1040" t="n">
        <v>-44400</v>
      </c>
      <c r="E18" s="729" t="inlineStr">
        <is>
          <t>✅ Contrôle</t>
        </is>
      </c>
      <c r="F18" s="16" t="n"/>
      <c r="G18" s="16" t="n"/>
      <c r="H18" s="16" t="n"/>
      <c r="I18" s="16" t="n"/>
      <c r="J18" s="16" t="n"/>
      <c r="K18" s="16" t="n"/>
      <c r="L18" s="16" t="n"/>
    </row>
    <row r="19">
      <c r="A19" s="16" t="n"/>
      <c r="B19" s="724" t="inlineStr">
        <is>
          <t>C.  FLUX DE FINANCEMENT</t>
        </is>
      </c>
      <c r="C19" s="1041" t="n"/>
      <c r="D19" s="843" t="n"/>
      <c r="E19" s="728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16" t="n"/>
      <c r="B20" s="690" t="inlineStr">
        <is>
          <t>Emprunts nouveaux (nets remboursements)</t>
        </is>
      </c>
      <c r="C20" s="1016" t="n">
        <v>-12000</v>
      </c>
      <c r="D20" s="1016" t="n">
        <v>8500</v>
      </c>
      <c r="E20" s="701" t="inlineStr">
        <is>
          <t>LT + CT</t>
        </is>
      </c>
      <c r="F20" s="16" t="n"/>
      <c r="G20" s="16" t="n"/>
      <c r="H20" s="16" t="n"/>
      <c r="I20" s="16" t="n"/>
      <c r="J20" s="16" t="n"/>
      <c r="K20" s="16" t="n"/>
      <c r="L20" s="16" t="n"/>
    </row>
    <row r="21">
      <c r="A21" s="16" t="n"/>
      <c r="B21" s="688" t="inlineStr">
        <is>
          <t>Remboursements dettes locatives IFRS 16</t>
        </is>
      </c>
      <c r="C21" s="1005" t="n">
        <v>-9200</v>
      </c>
      <c r="D21" s="1005" t="n">
        <v>-8800</v>
      </c>
      <c r="E21" s="702" t="inlineStr">
        <is>
          <t>IFRS 16</t>
        </is>
      </c>
      <c r="F21" s="16" t="n"/>
      <c r="G21" s="16" t="n"/>
      <c r="H21" s="16" t="n"/>
      <c r="I21" s="16" t="n"/>
      <c r="J21" s="16" t="n"/>
      <c r="K21" s="16" t="n"/>
      <c r="L21" s="16" t="n"/>
    </row>
    <row r="22">
      <c r="A22" s="16" t="n"/>
      <c r="B22" s="690" t="inlineStr">
        <is>
          <t>Dividendes versés aux actionnaires</t>
        </is>
      </c>
      <c r="C22" s="1016" t="n">
        <v>-18500</v>
      </c>
      <c r="D22" s="1016" t="n">
        <v>-15200</v>
      </c>
      <c r="E22" s="701" t="inlineStr">
        <is>
          <t>Part Groupe + NCI</t>
        </is>
      </c>
      <c r="F22" s="16" t="n"/>
      <c r="G22" s="16" t="n"/>
      <c r="H22" s="16" t="n"/>
      <c r="I22" s="16" t="n"/>
      <c r="J22" s="16" t="n"/>
      <c r="K22" s="16" t="n"/>
      <c r="L22" s="16" t="n"/>
    </row>
    <row r="23">
      <c r="A23" s="16" t="n"/>
      <c r="B23" s="705" t="inlineStr">
        <is>
          <t>Intérêts payés</t>
        </is>
      </c>
      <c r="C23" s="1012" t="n">
        <v>-11800</v>
      </c>
      <c r="D23" s="1012" t="n">
        <v>-12200</v>
      </c>
      <c r="E23" s="727" t="inlineStr">
        <is>
          <t>IAS 7 option activité fin.</t>
        </is>
      </c>
      <c r="F23" s="16" t="n"/>
      <c r="G23" s="16" t="n"/>
      <c r="H23" s="16" t="n"/>
      <c r="I23" s="16" t="n"/>
      <c r="J23" s="16" t="n"/>
      <c r="K23" s="16" t="n"/>
      <c r="L23" s="16" t="n"/>
    </row>
    <row r="24" ht="15.75" customHeight="1" s="500" thickBot="1">
      <c r="A24" s="16" t="n"/>
      <c r="B24" s="709" t="inlineStr">
        <is>
          <t>🔵 FLUX NETS DE FINANCEMENT (C)</t>
        </is>
      </c>
      <c r="C24" s="1017">
        <f>SUM(C20:C23)</f>
        <v/>
      </c>
      <c r="D24" s="1040" t="n">
        <v>-27700</v>
      </c>
      <c r="E24" s="729" t="inlineStr">
        <is>
          <t>✅ Contrôle</t>
        </is>
      </c>
      <c r="F24" s="16" t="n"/>
      <c r="G24" s="16" t="n"/>
      <c r="H24" s="16" t="n"/>
      <c r="I24" s="16" t="n"/>
      <c r="J24" s="16" t="n"/>
      <c r="K24" s="16" t="n"/>
      <c r="L24" s="16" t="n"/>
    </row>
    <row r="25">
      <c r="A25" s="16" t="n"/>
      <c r="B25" s="732" t="inlineStr">
        <is>
          <t>D.  EFFET DES VARIATIONS DE CHANGE (IAS 21)</t>
        </is>
      </c>
      <c r="C25" s="1043" t="n">
        <v>-1800</v>
      </c>
      <c r="D25" s="1043" t="n">
        <v>-1200</v>
      </c>
      <c r="E25" s="733" t="inlineStr">
        <is>
          <t>Écarts conversion</t>
        </is>
      </c>
      <c r="F25" s="16" t="n"/>
      <c r="G25" s="16" t="n"/>
      <c r="H25" s="16" t="n"/>
      <c r="I25" s="16" t="n"/>
      <c r="J25" s="16" t="n"/>
      <c r="K25" s="16" t="n"/>
      <c r="L25" s="16" t="n"/>
    </row>
    <row r="26" ht="15.75" customHeight="1" s="500" thickBot="1">
      <c r="A26" s="16" t="n"/>
      <c r="B26" s="734" t="inlineStr">
        <is>
          <t>🔷 VARIATION NETTE DE TRÉSORERIE (A+B+C+D)</t>
        </is>
      </c>
      <c r="C26" s="1044">
        <f>C12+C18+C24+C25</f>
        <v/>
      </c>
      <c r="D26" s="1045" t="n">
        <v>105500</v>
      </c>
      <c r="E26" s="735" t="inlineStr">
        <is>
          <t>Contrôle ↓</t>
        </is>
      </c>
      <c r="F26" s="16" t="n"/>
      <c r="G26" s="16" t="n"/>
      <c r="H26" s="16" t="n"/>
      <c r="I26" s="16" t="n"/>
      <c r="J26" s="16" t="n"/>
      <c r="K26" s="16" t="n"/>
      <c r="L26" s="16" t="n"/>
    </row>
    <row r="27">
      <c r="A27" s="16" t="n"/>
      <c r="B27" s="717" t="inlineStr">
        <is>
          <t>Trésorerie d'ouverture (01/01/2025)</t>
        </is>
      </c>
      <c r="C27" s="1034" t="n">
        <v>169200</v>
      </c>
      <c r="D27" s="1034" t="n">
        <v>63700</v>
      </c>
      <c r="E27" s="736" t="inlineStr">
        <is>
          <t>IAS 7 §45</t>
        </is>
      </c>
      <c r="F27" s="16" t="n"/>
      <c r="G27" s="16" t="n"/>
      <c r="H27" s="16" t="n"/>
      <c r="I27" s="16" t="n"/>
      <c r="J27" s="16" t="n"/>
      <c r="K27" s="16" t="n"/>
      <c r="L27" s="16" t="n"/>
    </row>
    <row r="28" ht="15.75" customHeight="1" s="500" thickBot="1">
      <c r="A28" s="16" t="n"/>
      <c r="B28" s="734" t="inlineStr">
        <is>
          <t>🏆 TRÉSORERIE DE CLÔTURE (31/12/2025)</t>
        </is>
      </c>
      <c r="C28" s="1044">
        <f>C26+C27</f>
        <v/>
      </c>
      <c r="D28" s="1045" t="n">
        <v>169200</v>
      </c>
      <c r="E28" s="737" t="inlineStr">
        <is>
          <t>= Bilan CONSOL</t>
        </is>
      </c>
      <c r="F28" s="16" t="n"/>
      <c r="G28" s="16" t="n"/>
      <c r="H28" s="16" t="n"/>
      <c r="I28" s="16" t="n"/>
      <c r="J28" s="16" t="n"/>
      <c r="K28" s="16" t="n"/>
      <c r="L28" s="16" t="n"/>
    </row>
    <row r="29">
      <c r="A29" s="16" t="n"/>
      <c r="B29" s="49" t="inlineStr">
        <is>
          <t>⚡ CONTRÔLE (= Tréso Bilan)</t>
        </is>
      </c>
      <c r="C29" s="49">
        <f>IF(C28=CONSOL_BILAN!J18,"✅ OK","🚨 ÉCART")</f>
        <v/>
      </c>
      <c r="D29" s="50" t="inlineStr">
        <is>
          <t>✅ OK</t>
        </is>
      </c>
      <c r="E29" s="51" t="inlineStr">
        <is>
          <t>Lien CONSOL_BILAN</t>
        </is>
      </c>
      <c r="F29" s="16" t="n"/>
      <c r="G29" s="16" t="n"/>
      <c r="H29" s="16" t="n"/>
      <c r="I29" s="16" t="n"/>
      <c r="J29" s="16" t="n"/>
      <c r="K29" s="16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</sheetData>
  <mergeCells count="1">
    <mergeCell ref="B2:J2"/>
  </mergeCells>
  <printOptions horizontalCentered="1"/>
  <pageMargins left="0.7" right="0.7" top="0.75" bottom="0.75" header="0.3" footer="0.3"/>
  <pageSetup orientation="landscape" paperSize="9" scale="0" horizontalDpi="0" verticalDpi="0" copies="0"/>
</worksheet>
</file>

<file path=xl/worksheets/sheet15.xml><?xml version="1.0" encoding="utf-8"?>
<worksheet xmlns="http://schemas.openxmlformats.org/spreadsheetml/2006/main">
  <sheetPr>
    <tabColor rgb="FF2980B9"/>
    <outlinePr summaryBelow="1" summaryRight="1"/>
    <pageSetUpPr/>
  </sheetPr>
  <dimension ref="A1:L80"/>
  <sheetViews>
    <sheetView workbookViewId="0">
      <selection activeCell="G7" sqref="G7"/>
    </sheetView>
  </sheetViews>
  <sheetFormatPr baseColWidth="10" defaultRowHeight="15"/>
  <cols>
    <col width="6.7109375" customWidth="1" style="500" min="1" max="1"/>
    <col width="31.42578125" customWidth="1" style="500" min="2" max="2"/>
    <col width="24.140625" customWidth="1" style="500" min="3" max="3"/>
    <col width="6.140625" customWidth="1" style="500" min="4" max="4"/>
    <col width="23.7109375" customWidth="1" style="500" min="5" max="5"/>
    <col width="48.28515625" customWidth="1" style="500" min="6" max="6"/>
    <col width="25.140625" customWidth="1" style="500" min="7" max="7"/>
    <col width="15.28515625" customWidth="1" style="500" min="8" max="11"/>
  </cols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 ht="18.75" customHeight="1" s="500">
      <c r="A2" s="16" t="n"/>
      <c r="B2" s="527" t="inlineStr">
        <is>
          <t>🗺️  MAPPING IFRS 18 – RECLASSEMENT DES POSTES DU COMPTE DE RÉSULTAT EN 5 CATÉGORIES</t>
        </is>
      </c>
      <c r="L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</row>
    <row r="4">
      <c r="A4" s="16" t="n"/>
      <c r="B4" s="533" t="inlineStr">
        <is>
          <t>⚡ IFRS 18 § 45-90 : Chaque poste de charges/produits doit être classifié dans l'UNE des 5 catégories. Les entreprises NE peuvent PAS créer leurs propres catégories.</t>
        </is>
      </c>
      <c r="L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>
      <c r="A6" s="16" t="n"/>
      <c r="B6" s="543" t="inlineStr">
        <is>
          <t>Poste comptable</t>
        </is>
      </c>
      <c r="C6" s="543" t="inlineStr">
        <is>
          <t>Catégorie IFRS 18</t>
        </is>
      </c>
      <c r="D6" s="543" t="inlineStr">
        <is>
          <t>§ IFRS 18</t>
        </is>
      </c>
      <c r="E6" s="543" t="inlineStr">
        <is>
          <t>IAS 1 (ancien)</t>
        </is>
      </c>
      <c r="F6" s="543" t="inlineStr">
        <is>
          <t>Commentaire pédagogique</t>
        </is>
      </c>
      <c r="G6" s="543" t="inlineStr">
        <is>
          <t>FR_Parent</t>
        </is>
      </c>
      <c r="H6" s="543" t="inlineStr">
        <is>
          <t>DE</t>
        </is>
      </c>
      <c r="I6" s="543" t="inlineStr">
        <is>
          <t>UK</t>
        </is>
      </c>
      <c r="J6" s="543" t="inlineStr">
        <is>
          <t>US</t>
        </is>
      </c>
      <c r="K6" s="543" t="inlineStr">
        <is>
          <t>SG</t>
        </is>
      </c>
      <c r="L6" s="16" t="n"/>
    </row>
    <row r="7">
      <c r="A7" s="16" t="n"/>
      <c r="B7" s="41" t="inlineStr">
        <is>
          <t>Chiffre d'affaires (IFRS 15)</t>
        </is>
      </c>
      <c r="C7" s="198" t="inlineStr">
        <is>
          <t>① EXPLOITATION</t>
        </is>
      </c>
      <c r="D7" s="41" t="inlineStr">
        <is>
          <t>§55</t>
        </is>
      </c>
      <c r="E7" s="41" t="inlineStr">
        <is>
          <t>Résultat courant</t>
        </is>
      </c>
      <c r="F7" s="41" t="inlineStr">
        <is>
          <t>Principal moteur de valeur – toujours opérationnel</t>
        </is>
      </c>
      <c r="G7" s="41" t="n">
        <v>285000</v>
      </c>
      <c r="H7" s="41" t="n">
        <v>168000</v>
      </c>
      <c r="I7" s="41" t="n">
        <v>163584</v>
      </c>
      <c r="J7" s="41" t="n">
        <v>180375</v>
      </c>
      <c r="K7" s="41" t="n">
        <v>59992</v>
      </c>
      <c r="L7" s="16" t="n"/>
    </row>
    <row r="8">
      <c r="A8" s="16" t="n"/>
      <c r="B8" s="540" t="inlineStr">
        <is>
          <t>Coûts des ventes / Achats</t>
        </is>
      </c>
      <c r="C8" s="198" t="inlineStr">
        <is>
          <t>① EXPLOITATION</t>
        </is>
      </c>
      <c r="D8" s="540" t="inlineStr">
        <is>
          <t>§55</t>
        </is>
      </c>
      <c r="E8" s="540" t="inlineStr">
        <is>
          <t>Résultat courant</t>
        </is>
      </c>
      <c r="F8" s="540" t="inlineStr">
        <is>
          <t>Charges directement liées à la création de revenus</t>
        </is>
      </c>
      <c r="G8" s="540" t="n">
        <v>-142000</v>
      </c>
      <c r="H8" s="540" t="n">
        <v>-82000</v>
      </c>
      <c r="I8" s="540" t="n">
        <v>-78336</v>
      </c>
      <c r="J8" s="540" t="n">
        <v>-85100</v>
      </c>
      <c r="K8" s="540" t="n">
        <v>-25916</v>
      </c>
      <c r="L8" s="16" t="n"/>
    </row>
    <row r="9">
      <c r="A9" s="16" t="n"/>
      <c r="B9" s="41" t="inlineStr">
        <is>
          <t>Charges de personnel</t>
        </is>
      </c>
      <c r="C9" s="198" t="inlineStr">
        <is>
          <t>① EXPLOITATION</t>
        </is>
      </c>
      <c r="D9" s="41" t="inlineStr">
        <is>
          <t>§55</t>
        </is>
      </c>
      <c r="E9" s="41" t="inlineStr">
        <is>
          <t>Résultat courant</t>
        </is>
      </c>
      <c r="F9" s="41" t="inlineStr">
        <is>
          <t>Inclut avantages postérieurs emploi IAS 19</t>
        </is>
      </c>
      <c r="G9" s="41" t="n">
        <v>-68000</v>
      </c>
      <c r="H9" s="41" t="n">
        <v>-45000</v>
      </c>
      <c r="I9" s="41" t="n">
        <v>-43776</v>
      </c>
      <c r="J9" s="41" t="n">
        <v>-48100</v>
      </c>
      <c r="K9" s="41" t="n">
        <v>-15004</v>
      </c>
      <c r="L9" s="16" t="n"/>
    </row>
    <row r="10">
      <c r="A10" s="16" t="n"/>
      <c r="B10" s="540" t="inlineStr">
        <is>
          <t>Amortissements PP&amp;E (IAS 16)</t>
        </is>
      </c>
      <c r="C10" s="198" t="inlineStr">
        <is>
          <t>① EXPLOITATION</t>
        </is>
      </c>
      <c r="D10" s="540" t="inlineStr">
        <is>
          <t>§55</t>
        </is>
      </c>
      <c r="E10" s="540" t="inlineStr">
        <is>
          <t>Résultat courant</t>
        </is>
      </c>
      <c r="F10" s="540" t="inlineStr">
        <is>
          <t>Actifs utilisés dans l'exploitation</t>
        </is>
      </c>
      <c r="G10" s="540" t="n">
        <v>-22000</v>
      </c>
      <c r="H10" s="540" t="n">
        <v>-12000</v>
      </c>
      <c r="I10" s="540" t="n">
        <v>-11290</v>
      </c>
      <c r="J10" s="540" t="n">
        <v>-13135</v>
      </c>
      <c r="K10" s="540" t="n">
        <v>-4229</v>
      </c>
      <c r="L10" s="16" t="n"/>
    </row>
    <row r="11">
      <c r="A11" s="16" t="n"/>
      <c r="B11" s="41" t="inlineStr">
        <is>
          <t>Dividendes reçus de filiales</t>
        </is>
      </c>
      <c r="C11" s="15" t="inlineStr">
        <is>
          <t>② INVESTISSEMENT</t>
        </is>
      </c>
      <c r="D11" s="41" t="inlineStr">
        <is>
          <t>§68</t>
        </is>
      </c>
      <c r="E11" s="41" t="inlineStr">
        <is>
          <t>Résultat financier</t>
        </is>
      </c>
      <c r="F11" s="41" t="inlineStr">
        <is>
          <t>Rendement d'actifs non opérationnels → isolés</t>
        </is>
      </c>
      <c r="G11" s="41" t="inlineStr">
        <is>
          <t>-</t>
        </is>
      </c>
      <c r="H11" s="41" t="inlineStr">
        <is>
          <t>-</t>
        </is>
      </c>
      <c r="I11" s="41" t="inlineStr">
        <is>
          <t>-</t>
        </is>
      </c>
      <c r="J11" s="41" t="inlineStr">
        <is>
          <t>-</t>
        </is>
      </c>
      <c r="K11" s="41" t="inlineStr">
        <is>
          <t>-</t>
        </is>
      </c>
      <c r="L11" s="16" t="n"/>
    </row>
    <row r="12">
      <c r="A12" s="16" t="n"/>
      <c r="B12" s="540" t="inlineStr">
        <is>
          <t>Gains/pertes cessions d'actifs</t>
        </is>
      </c>
      <c r="C12" s="15" t="inlineStr">
        <is>
          <t>② INVESTISSEMENT</t>
        </is>
      </c>
      <c r="D12" s="540" t="inlineStr">
        <is>
          <t>§68</t>
        </is>
      </c>
      <c r="E12" s="540" t="inlineStr">
        <is>
          <t>Résultat courant</t>
        </is>
      </c>
      <c r="F12" s="540" t="inlineStr">
        <is>
          <t>Désinvestissement – hors cycle opérationnel</t>
        </is>
      </c>
      <c r="G12" s="540" t="n">
        <v>1500</v>
      </c>
      <c r="H12" s="540" t="n">
        <v>800</v>
      </c>
      <c r="I12" s="540" t="n">
        <v>691</v>
      </c>
      <c r="J12" s="540" t="n">
        <v>1110</v>
      </c>
      <c r="K12" s="540" t="n">
        <v>0</v>
      </c>
      <c r="L12" s="16" t="n"/>
    </row>
    <row r="13">
      <c r="A13" s="16" t="n"/>
      <c r="B13" s="41" t="inlineStr">
        <is>
          <t>Produits financiers placements CT</t>
        </is>
      </c>
      <c r="C13" s="15" t="inlineStr">
        <is>
          <t>② INVESTISSEMENT</t>
        </is>
      </c>
      <c r="D13" s="41" t="inlineStr">
        <is>
          <t>§68</t>
        </is>
      </c>
      <c r="E13" s="41" t="inlineStr">
        <is>
          <t>Résultat financier</t>
        </is>
      </c>
      <c r="F13" s="41" t="inlineStr">
        <is>
          <t>Rendement gestion de trésorerie court terme</t>
        </is>
      </c>
      <c r="G13" s="41" t="n">
        <v>890</v>
      </c>
      <c r="H13" s="41" t="n">
        <v>420</v>
      </c>
      <c r="I13" s="41" t="n">
        <v>438</v>
      </c>
      <c r="J13" s="41" t="n">
        <v>481</v>
      </c>
      <c r="K13" s="41" t="n">
        <v>191</v>
      </c>
      <c r="L13" s="16" t="n"/>
    </row>
    <row r="14">
      <c r="A14" s="16" t="n"/>
      <c r="B14" s="540" t="inlineStr">
        <is>
          <t>Charges d'intérêts (emprunts)</t>
        </is>
      </c>
      <c r="C14" s="55" t="inlineStr">
        <is>
          <t>③ FINANCEMENT</t>
        </is>
      </c>
      <c r="D14" s="540" t="inlineStr">
        <is>
          <t>§72</t>
        </is>
      </c>
      <c r="E14" s="540" t="inlineStr">
        <is>
          <t>Résultat financier</t>
        </is>
      </c>
      <c r="F14" s="540" t="inlineStr">
        <is>
          <t>Coût du capital emprunté – financement de l'activité</t>
        </is>
      </c>
      <c r="G14" s="540" t="n">
        <v>-8200</v>
      </c>
      <c r="H14" s="540" t="n">
        <v>-4500</v>
      </c>
      <c r="I14" s="540" t="n">
        <v>-5990</v>
      </c>
      <c r="J14" s="540" t="n">
        <v>-7215</v>
      </c>
      <c r="K14" s="540" t="n">
        <v>-1910</v>
      </c>
      <c r="L14" s="16" t="n"/>
    </row>
    <row r="15">
      <c r="A15" s="16" t="n"/>
      <c r="B15" s="41" t="inlineStr">
        <is>
          <t>Intérêts dettes locatives IFRS 16</t>
        </is>
      </c>
      <c r="C15" s="55" t="inlineStr">
        <is>
          <t>③ FINANCEMENT</t>
        </is>
      </c>
      <c r="D15" s="41" t="inlineStr">
        <is>
          <t>§72</t>
        </is>
      </c>
      <c r="E15" s="41" t="inlineStr">
        <is>
          <t>Résultat financier</t>
        </is>
      </c>
      <c r="F15" s="41" t="inlineStr">
        <is>
          <t>Traité comme coût de financement per IFRS 16</t>
        </is>
      </c>
      <c r="G15" s="41" t="n">
        <v>-1800</v>
      </c>
      <c r="H15" s="41" t="n">
        <v>-900</v>
      </c>
      <c r="I15" s="41" t="n">
        <v>-1382</v>
      </c>
      <c r="J15" s="41" t="n">
        <v>-1480</v>
      </c>
      <c r="K15" s="41" t="n">
        <v>-341</v>
      </c>
      <c r="L15" s="16" t="n"/>
    </row>
    <row r="16">
      <c r="A16" s="16" t="n"/>
      <c r="B16" s="540" t="inlineStr">
        <is>
          <t>Charge IS courant</t>
        </is>
      </c>
      <c r="C16" s="19" t="inlineStr">
        <is>
          <t>④ IMPÔTS</t>
        </is>
      </c>
      <c r="D16" s="540" t="inlineStr">
        <is>
          <t>§80</t>
        </is>
      </c>
      <c r="E16" s="540" t="inlineStr">
        <is>
          <t>Résultat courant</t>
        </is>
      </c>
      <c r="F16" s="540" t="inlineStr">
        <is>
          <t>Toujours présenté séparément en IFRS 18</t>
        </is>
      </c>
      <c r="G16" s="540" t="n">
        <v>-12400</v>
      </c>
      <c r="H16" s="540" t="n">
        <v>-8200</v>
      </c>
      <c r="I16" s="540" t="n">
        <v>-11290</v>
      </c>
      <c r="J16" s="540" t="n">
        <v>-6660</v>
      </c>
      <c r="K16" s="540" t="n">
        <v>-2182</v>
      </c>
      <c r="L16" s="16" t="n"/>
    </row>
    <row r="17">
      <c r="A17" s="16" t="n"/>
      <c r="B17" s="41" t="inlineStr">
        <is>
          <t>Impôts différés (IAS 12)</t>
        </is>
      </c>
      <c r="C17" s="19" t="inlineStr">
        <is>
          <t>④ IMPÔTS</t>
        </is>
      </c>
      <c r="D17" s="41" t="inlineStr">
        <is>
          <t>§80</t>
        </is>
      </c>
      <c r="E17" s="41" t="inlineStr">
        <is>
          <t>Résultat courant</t>
        </is>
      </c>
      <c r="F17" s="41" t="inlineStr">
        <is>
          <t>Variation des différences temporaires</t>
        </is>
      </c>
      <c r="G17" s="41" t="n">
        <v>-1200</v>
      </c>
      <c r="H17" s="41" t="n">
        <v>-600</v>
      </c>
      <c r="I17" s="41" t="n">
        <v>-922</v>
      </c>
      <c r="J17" s="41" t="n">
        <v>-833</v>
      </c>
      <c r="K17" s="41" t="n">
        <v>-205</v>
      </c>
      <c r="L17" s="16" t="n"/>
    </row>
    <row r="18">
      <c r="A18" s="16" t="n"/>
      <c r="B18" s="540" t="inlineStr">
        <is>
          <t>Activités abandonnées (IFRS 5)</t>
        </is>
      </c>
      <c r="C18" s="504" t="inlineStr">
        <is>
          <t>⑤ DISCONTINU</t>
        </is>
      </c>
      <c r="D18" s="540" t="inlineStr">
        <is>
          <t>§85</t>
        </is>
      </c>
      <c r="E18" s="540" t="inlineStr">
        <is>
          <t>Résultat net</t>
        </is>
      </c>
      <c r="F18" s="540" t="inlineStr">
        <is>
          <t>Présentation post-IS, nette séparément</t>
        </is>
      </c>
      <c r="G18" s="540" t="n">
        <v>0</v>
      </c>
      <c r="H18" s="540" t="n">
        <v>0</v>
      </c>
      <c r="I18" s="540" t="n">
        <v>0</v>
      </c>
      <c r="J18" s="540" t="n">
        <v>0</v>
      </c>
      <c r="K18" s="540" t="n">
        <v>0</v>
      </c>
      <c r="L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</sheetData>
  <mergeCells count="2">
    <mergeCell ref="B4:K4"/>
    <mergeCell ref="B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2980B9"/>
    <outlinePr summaryBelow="1" summaryRight="1"/>
    <pageSetUpPr/>
  </sheetPr>
  <dimension ref="A1:J60"/>
  <sheetViews>
    <sheetView showGridLines="0" workbookViewId="0">
      <selection activeCell="C15" sqref="C15:I15"/>
    </sheetView>
  </sheetViews>
  <sheetFormatPr baseColWidth="10" defaultRowHeight="15"/>
  <cols>
    <col width="24.5703125" bestFit="1" customWidth="1" style="500" min="2" max="2"/>
    <col width="17.140625" customWidth="1" style="500" min="3" max="3"/>
  </cols>
  <sheetData>
    <row r="1">
      <c r="A1" s="58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</row>
    <row r="2" ht="18.75" customHeight="1" s="500">
      <c r="A2" s="58" t="n"/>
      <c r="B2" s="527" t="inlineStr">
        <is>
          <t>📋  NOTES ANNEXES AUX ÉTATS FINANCIERS CONSOLIDÉS – IFRS · Exercice 2025-2026</t>
        </is>
      </c>
      <c r="J2" s="58" t="n"/>
    </row>
    <row r="3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</row>
    <row r="4">
      <c r="A4" s="58" t="n"/>
      <c r="B4" s="535" t="inlineStr">
        <is>
          <t>NOTE 1 – PÉRIMÈTRE DE CONSOLIDATION (IFRS 10)</t>
        </is>
      </c>
      <c r="J4" s="58" t="n"/>
    </row>
    <row r="5">
      <c r="A5" s="58" t="n"/>
      <c r="B5" s="59" t="inlineStr">
        <is>
          <t>Méthode</t>
        </is>
      </c>
      <c r="C5" s="534" t="inlineStr">
        <is>
          <t>Intégration globale pour les 5 entités (contrôle exclusif per IFRS 10). La société mère détient &gt; 50% des droits de vote dans toutes les filiales.</t>
        </is>
      </c>
      <c r="J5" s="58" t="n"/>
    </row>
    <row r="6">
      <c r="A6" s="58" t="n"/>
      <c r="B6" s="59" t="inlineStr">
        <is>
          <t>Entités exclues</t>
        </is>
      </c>
      <c r="C6" s="534" t="inlineStr">
        <is>
          <t>Aucune entité exclue du périmètre – test de matérialité passé pour toutes.</t>
        </is>
      </c>
      <c r="J6" s="58" t="n"/>
    </row>
    <row r="7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</row>
    <row r="8">
      <c r="A8" s="58" t="n"/>
      <c r="B8" s="535" t="inlineStr">
        <is>
          <t>NOTE 2 – CONVERSION DES ÉTATS FINANCIERS ÉTRANGERS (IAS 21)</t>
        </is>
      </c>
      <c r="J8" s="58" t="n"/>
    </row>
    <row r="9">
      <c r="A9" s="58" t="n"/>
      <c r="B9" s="59" t="inlineStr">
        <is>
          <t>Actifs &amp; passifs</t>
        </is>
      </c>
      <c r="C9" s="534" t="inlineStr">
        <is>
          <t>Convertis au taux de clôture (GBP/EUR: 1.1650 · USD/EUR: 0.9180 · SGD/EUR: 0.6780)</t>
        </is>
      </c>
      <c r="J9" s="58" t="n"/>
    </row>
    <row r="10">
      <c r="A10" s="58" t="n"/>
      <c r="B10" s="59" t="inlineStr">
        <is>
          <t>Produits &amp; charges</t>
        </is>
      </c>
      <c r="C10" s="534" t="inlineStr">
        <is>
          <t>Convertis au taux moyen de l'exercice (GBP: 1.1520 · USD: 0.9250 · SGD: 0.6820)</t>
        </is>
      </c>
      <c r="J10" s="58" t="n"/>
    </row>
    <row r="11">
      <c r="A11" s="58" t="n"/>
      <c r="B11" s="59" t="inlineStr">
        <is>
          <t>Écarts de conversion</t>
        </is>
      </c>
      <c r="C11" s="534" t="inlineStr">
        <is>
          <t>Comptabilisés en OCI (Autres éléments du résultat global) – non recyclables en résultat.</t>
        </is>
      </c>
      <c r="J11" s="58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</row>
    <row r="13">
      <c r="A13" s="58" t="n"/>
      <c r="B13" s="535" t="inlineStr">
        <is>
          <t>NOTE 3 – GOODWILL ET REGROUPEMENTS D'ENTREPRISES (IFRS 3)</t>
        </is>
      </c>
      <c r="J13" s="58" t="n"/>
    </row>
    <row r="14">
      <c r="A14" s="58" t="n"/>
      <c r="B14" s="59" t="inlineStr">
        <is>
          <t>GW brut total</t>
        </is>
      </c>
      <c r="C14" s="534" t="inlineStr">
        <is>
          <t>290 000 k€ | Méthode : full goodwill (NCI à la juste valeur) per IFRS 3 révisée</t>
        </is>
      </c>
      <c r="J14" s="58" t="n"/>
    </row>
    <row r="15">
      <c r="A15" s="58" t="n"/>
      <c r="B15" s="59" t="inlineStr">
        <is>
          <t>Dépréciation cumulée</t>
        </is>
      </c>
      <c r="C15" s="534" t="inlineStr">
        <is>
          <t>14 700 k€ | Test IAS 36 annuel – aucune perte supplémentaire en 2025</t>
        </is>
      </c>
      <c r="J15" s="58" t="n"/>
    </row>
    <row r="16">
      <c r="A16" s="58" t="n"/>
      <c r="B16" s="59" t="inlineStr">
        <is>
          <t>GW net</t>
        </is>
      </c>
      <c r="C16" s="534" t="inlineStr">
        <is>
          <t>275 300 k€ – cf. tableau détaillé onglet ELIM</t>
        </is>
      </c>
      <c r="J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</row>
    <row r="18">
      <c r="A18" s="58" t="n"/>
      <c r="B18" s="536" t="inlineStr">
        <is>
          <t>NOTE 4 – INFORMATIONS SUR LA NOUVELLE NORME IFRS 18 (APPLICATION 2027)</t>
        </is>
      </c>
      <c r="J18" s="58" t="n"/>
    </row>
    <row r="19">
      <c r="A19" s="58" t="n"/>
      <c r="B19" s="59" t="inlineStr">
        <is>
          <t>Anticipation volontaire</t>
        </is>
      </c>
      <c r="C19" s="534" t="inlineStr">
        <is>
          <t>Ce rapport anticipe volontairement les obligations IFRS 18 pour la présentation de l'exercice 2025-2026.</t>
        </is>
      </c>
      <c r="J19" s="58" t="n"/>
    </row>
    <row r="20">
      <c r="A20" s="58" t="n"/>
      <c r="B20" s="59" t="inlineStr">
        <is>
          <t>Reclassements</t>
        </is>
      </c>
      <c r="C20" s="534" t="inlineStr">
        <is>
          <t>Les charges financières ont été reclassées de l'Exploitation vers la catégorie Financement (impact: -37 600 k€).</t>
        </is>
      </c>
      <c r="J20" s="58" t="n"/>
    </row>
    <row r="21">
      <c r="A21" s="58" t="n"/>
      <c r="B21" s="59" t="inlineStr">
        <is>
          <t>MPMs (Mgmt Perf. Measures)</t>
        </is>
      </c>
      <c r="C21" s="534" t="inlineStr">
        <is>
          <t>EBITDA ajusté, Free Cash Flow, ROCE → réconciliation avec le résultat IFRS disponible sur demande.</t>
        </is>
      </c>
      <c r="J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</row>
    <row r="23">
      <c r="A23" s="58" t="n"/>
      <c r="B23" s="535" t="inlineStr">
        <is>
          <t>NOTE 5 – IMPÔTS DIFFÉRÉS (IAS 12)</t>
        </is>
      </c>
      <c r="J23" s="58" t="n"/>
    </row>
    <row r="24">
      <c r="A24" s="58" t="n"/>
      <c r="B24" s="59" t="inlineStr">
        <is>
          <t>IDA (Actifs)</t>
        </is>
      </c>
      <c r="C24" s="534" t="inlineStr">
        <is>
          <t>36 341 k€ – Principalement sur provisions non déductibles et déficits reportables</t>
        </is>
      </c>
      <c r="J24" s="58" t="n"/>
    </row>
    <row r="25">
      <c r="A25" s="58" t="n"/>
      <c r="B25" s="59" t="inlineStr">
        <is>
          <t>IDP (Passifs)</t>
        </is>
      </c>
      <c r="C25" s="534" t="inlineStr">
        <is>
          <t>52 710 k€ – Principalement sur différences temporelles actifs immobilisés</t>
        </is>
      </c>
      <c r="J25" s="58" t="n"/>
    </row>
    <row r="26">
      <c r="A26" s="58" t="n"/>
      <c r="B26" s="59" t="inlineStr">
        <is>
          <t>Taux effectif d'imposition</t>
        </is>
      </c>
      <c r="C26" s="534" t="inlineStr">
        <is>
          <t>Taux effectif consolidé 2025: 31.2% (vs taux nominal FR: 25%)</t>
        </is>
      </c>
      <c r="J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</row>
    <row r="28">
      <c r="A28" s="58" t="n"/>
      <c r="B28" s="535" t="inlineStr">
        <is>
          <t>NOTE 6 – AVANTAGES DU PERSONNEL (IAS 19)</t>
        </is>
      </c>
      <c r="J28" s="58" t="n"/>
    </row>
    <row r="29">
      <c r="A29" s="58" t="n"/>
      <c r="B29" s="59" t="inlineStr">
        <is>
          <t>Régimes à prestations définies</t>
        </is>
      </c>
      <c r="C29" s="534" t="inlineStr">
        <is>
          <t>Présents en France (régime retraite) et Allemagne (pensions). Actuaire externe consulté.</t>
        </is>
      </c>
      <c r="J29" s="58" t="n"/>
    </row>
    <row r="30">
      <c r="A30" s="58" t="n"/>
      <c r="B30" s="59" t="inlineStr">
        <is>
          <t>Obligation nette</t>
        </is>
      </c>
      <c r="C30" s="534" t="inlineStr">
        <is>
          <t>22 400 k€ | Taux d'actualisation: 3.8% (zone EUR) / 4.9% (UK) / 5.1% (US)</t>
        </is>
      </c>
      <c r="J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</row>
    <row r="60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</row>
  </sheetData>
  <mergeCells count="23">
    <mergeCell ref="C19:I19"/>
    <mergeCell ref="B18:I18"/>
    <mergeCell ref="B2:I2"/>
    <mergeCell ref="C6:I6"/>
    <mergeCell ref="C24:I24"/>
    <mergeCell ref="C30:I30"/>
    <mergeCell ref="C15:I15"/>
    <mergeCell ref="B23:I23"/>
    <mergeCell ref="B8:I8"/>
    <mergeCell ref="C5:I5"/>
    <mergeCell ref="B13:I13"/>
    <mergeCell ref="C14:I14"/>
    <mergeCell ref="C26:I26"/>
    <mergeCell ref="C20:I20"/>
    <mergeCell ref="B28:I28"/>
    <mergeCell ref="C29:I29"/>
    <mergeCell ref="C10:I10"/>
    <mergeCell ref="C16:I16"/>
    <mergeCell ref="C25:I25"/>
    <mergeCell ref="C9:I9"/>
    <mergeCell ref="C21:I21"/>
    <mergeCell ref="C11:I11"/>
    <mergeCell ref="B4: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27AE60"/>
    <outlinePr summaryBelow="1" summaryRight="1"/>
    <pageSetUpPr/>
  </sheetPr>
  <dimension ref="A1:P80"/>
  <sheetViews>
    <sheetView workbookViewId="0">
      <pane ySplit="5" topLeftCell="A15" activePane="bottomLeft" state="frozen"/>
      <selection pane="bottomLeft" activeCell="H33" sqref="H33"/>
    </sheetView>
  </sheetViews>
  <sheetFormatPr baseColWidth="10" defaultRowHeight="15"/>
  <cols>
    <col width="28.140625" bestFit="1" customWidth="1" style="500" min="2" max="2"/>
    <col width="10" customWidth="1" style="500" min="3" max="3"/>
    <col width="47.140625" customWidth="1" style="500" min="4" max="4"/>
    <col width="15.28515625" customWidth="1" style="500" min="5" max="8"/>
    <col width="31.7109375" customWidth="1" style="500" min="9" max="9"/>
    <col width="24" customWidth="1" style="500" min="10" max="10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  <c r="I1" s="541" t="n"/>
      <c r="J1" s="541" t="n"/>
      <c r="K1" s="541" t="n"/>
      <c r="L1" s="541" t="n"/>
      <c r="M1" s="541" t="n"/>
      <c r="N1" s="541" t="n"/>
      <c r="O1" s="541" t="n"/>
      <c r="P1" s="541" t="n"/>
    </row>
    <row r="2" ht="17.25" customHeight="1" s="500">
      <c r="A2" s="541" t="n"/>
      <c r="B2" s="523" t="inlineStr">
        <is>
          <t>🌱  ESG_DATA – DONNÉES ESG BRUTES · Indicateurs Environnement / Social / Gouvernance · Exercice 2025-2026</t>
        </is>
      </c>
      <c r="P2" s="541" t="n"/>
    </row>
    <row r="3">
      <c r="A3" s="541" t="n"/>
      <c r="B3" s="541" t="n"/>
      <c r="C3" s="541" t="n"/>
      <c r="D3" s="541" t="n"/>
      <c r="E3" s="541" t="n"/>
      <c r="F3" s="541" t="n"/>
      <c r="G3" s="541" t="n"/>
      <c r="H3" s="541" t="n"/>
      <c r="I3" s="541" t="n"/>
      <c r="J3" s="541" t="n"/>
      <c r="K3" s="541" t="n"/>
      <c r="L3" s="541" t="n"/>
      <c r="M3" s="541" t="n"/>
      <c r="N3" s="541" t="n"/>
      <c r="O3" s="541" t="n"/>
      <c r="P3" s="541" t="n"/>
    </row>
    <row r="4">
      <c r="A4" s="541" t="n"/>
      <c r="B4" s="537" t="inlineStr">
        <is>
          <t>🌍 ENVIRONNEMENT – ESRS E1 (Changement Climatique) &amp; E2 (Pollution)</t>
        </is>
      </c>
      <c r="P4" s="541" t="n"/>
    </row>
    <row r="5">
      <c r="A5" s="541" t="n"/>
      <c r="B5" s="681" t="inlineStr">
        <is>
          <t>Indicateur ESRS</t>
        </is>
      </c>
      <c r="C5" s="682" t="inlineStr">
        <is>
          <t>Standard</t>
        </is>
      </c>
      <c r="D5" s="682" t="inlineStr">
        <is>
          <t>Unité</t>
        </is>
      </c>
      <c r="E5" s="682" t="inlineStr">
        <is>
          <t>FR_Parent</t>
        </is>
      </c>
      <c r="F5" s="682" t="inlineStr">
        <is>
          <t>DE_Filiale</t>
        </is>
      </c>
      <c r="G5" s="682" t="inlineStr">
        <is>
          <t>UK_Filiale</t>
        </is>
      </c>
      <c r="H5" s="682" t="inlineStr">
        <is>
          <t>US_Filiale</t>
        </is>
      </c>
      <c r="I5" s="797" t="inlineStr">
        <is>
          <t>TOTAL / MOY. GROUPE</t>
        </is>
      </c>
      <c r="J5" s="798" t="inlineStr">
        <is>
          <t>STATUT 🟢🟡🔴</t>
        </is>
      </c>
      <c r="K5" s="541" t="n"/>
      <c r="L5" s="541" t="n"/>
      <c r="M5" s="541" t="n"/>
      <c r="N5" s="541" t="n"/>
      <c r="O5" s="541" t="n"/>
      <c r="P5" s="541" t="n"/>
    </row>
    <row r="6">
      <c r="A6" s="541" t="n"/>
      <c r="B6" s="741" t="inlineStr">
        <is>
          <t>Émissions GES Scope 1 (directes)</t>
        </is>
      </c>
      <c r="C6" s="742" t="inlineStr">
        <is>
          <t>E1-6</t>
        </is>
      </c>
      <c r="D6" s="742" t="inlineStr">
        <is>
          <t>tCO₂eq</t>
        </is>
      </c>
      <c r="E6" s="742" t="n">
        <v>12400</v>
      </c>
      <c r="F6" s="742" t="n">
        <v>28600</v>
      </c>
      <c r="G6" s="742" t="n">
        <v>8200</v>
      </c>
      <c r="H6" s="742" t="n">
        <v>18900</v>
      </c>
      <c r="I6" s="742">
        <f>SUM(D6:H6)</f>
        <v/>
      </c>
      <c r="J6" s="964">
        <f>IF(I6&lt;50000,"🟢",IF(I6&lt;100000,"🟡","🔴"))</f>
        <v/>
      </c>
      <c r="K6" s="541" t="n"/>
      <c r="L6" s="541" t="n"/>
      <c r="M6" s="541" t="n"/>
      <c r="N6" s="541" t="n"/>
      <c r="O6" s="541" t="n"/>
      <c r="P6" s="541" t="n"/>
    </row>
    <row r="7">
      <c r="A7" s="541" t="n"/>
      <c r="B7" s="688" t="inlineStr">
        <is>
          <t>Émissions GES Scope 2 (énergie)</t>
        </is>
      </c>
      <c r="C7" s="689" t="inlineStr">
        <is>
          <t>E1-6</t>
        </is>
      </c>
      <c r="D7" s="689" t="inlineStr">
        <is>
          <t>tCO₂eq</t>
        </is>
      </c>
      <c r="E7" s="689" t="n">
        <v>8900</v>
      </c>
      <c r="F7" s="689" t="n">
        <v>15200</v>
      </c>
      <c r="G7" s="689" t="n">
        <v>6100</v>
      </c>
      <c r="H7" s="689" t="n">
        <v>14200</v>
      </c>
      <c r="I7" s="689">
        <f>SUM(D7:H7)</f>
        <v/>
      </c>
      <c r="J7" s="964">
        <f>IF(I7&lt;50000,"🟢",IF(I7&lt;100000,"🟡","🔴"))</f>
        <v/>
      </c>
      <c r="K7" s="541" t="n"/>
      <c r="L7" s="541" t="n"/>
      <c r="M7" s="541" t="n"/>
      <c r="N7" s="541" t="n"/>
      <c r="O7" s="541" t="n"/>
      <c r="P7" s="541" t="n"/>
    </row>
    <row r="8">
      <c r="A8" s="541" t="n"/>
      <c r="B8" s="741" t="inlineStr">
        <is>
          <t>Émissions GES Scope 3 (chaîne val.)</t>
        </is>
      </c>
      <c r="C8" s="742" t="inlineStr">
        <is>
          <t>E1-6</t>
        </is>
      </c>
      <c r="D8" s="742" t="inlineStr">
        <is>
          <t>tCO₂eq</t>
        </is>
      </c>
      <c r="E8" s="742" t="n">
        <v>85000</v>
      </c>
      <c r="F8" s="742" t="n">
        <v>142000</v>
      </c>
      <c r="G8" s="742" t="n">
        <v>62000</v>
      </c>
      <c r="H8" s="742" t="n">
        <v>195000</v>
      </c>
      <c r="I8" s="742">
        <f>SUM(D8:H8)</f>
        <v/>
      </c>
      <c r="J8" s="964">
        <f>IF(I8&lt;300000,"🟢",IF(I8&lt;500000,"🟡","🔴"))</f>
        <v/>
      </c>
      <c r="K8" s="541" t="n"/>
      <c r="L8" s="541" t="n"/>
      <c r="M8" s="541" t="n"/>
      <c r="N8" s="541" t="n"/>
      <c r="O8" s="541" t="n"/>
      <c r="P8" s="541" t="n"/>
    </row>
    <row r="9">
      <c r="A9" s="541" t="n"/>
      <c r="B9" s="688" t="inlineStr">
        <is>
          <t>Intensité carbone (tCO₂/M€ CA)</t>
        </is>
      </c>
      <c r="C9" s="689" t="inlineStr">
        <is>
          <t>E1-6</t>
        </is>
      </c>
      <c r="D9" s="689" t="inlineStr">
        <is>
          <t>tCO₂/M€</t>
        </is>
      </c>
      <c r="E9" s="689">
        <f>((E6+E7)/CONSOL_CR!D7)*1000</f>
        <v/>
      </c>
      <c r="F9" s="689" t="n">
        <v>262</v>
      </c>
      <c r="G9" s="689" t="n">
        <v>51</v>
      </c>
      <c r="H9" s="689" t="n">
        <v>169</v>
      </c>
      <c r="I9" s="689">
        <f>SUM(D9:H9)</f>
        <v/>
      </c>
      <c r="J9" s="964">
        <f>IF(I9&lt;100,"🟢",IF(I9&lt;150,"🟡","🔴"))</f>
        <v/>
      </c>
      <c r="K9" s="541" t="n"/>
      <c r="L9" s="541" t="n"/>
      <c r="M9" s="541" t="n"/>
      <c r="N9" s="541" t="n"/>
      <c r="O9" s="541" t="n"/>
      <c r="P9" s="541" t="n"/>
    </row>
    <row r="10">
      <c r="A10" s="541" t="n"/>
      <c r="B10" s="741" t="inlineStr">
        <is>
          <t>Consommation énergétique totale</t>
        </is>
      </c>
      <c r="C10" s="742" t="inlineStr">
        <is>
          <t>E1-5</t>
        </is>
      </c>
      <c r="D10" s="742" t="inlineStr">
        <is>
          <t>GWh</t>
        </is>
      </c>
      <c r="E10" s="742" t="n">
        <v>48.2</v>
      </c>
      <c r="F10" s="742" t="n">
        <v>124.6</v>
      </c>
      <c r="G10" s="742" t="n">
        <v>32.8</v>
      </c>
      <c r="H10" s="742" t="n">
        <v>89.40000000000001</v>
      </c>
      <c r="I10" s="742">
        <f>SUM(D10:H10)</f>
        <v/>
      </c>
      <c r="J10" s="964">
        <f>SUM(E10:I10)</f>
        <v/>
      </c>
      <c r="K10" s="541" t="n"/>
      <c r="L10" s="541" t="n"/>
      <c r="M10" s="541" t="n"/>
      <c r="N10" s="541" t="n"/>
      <c r="O10" s="541" t="n"/>
      <c r="P10" s="541" t="n"/>
    </row>
    <row r="11">
      <c r="A11" s="541" t="n"/>
      <c r="B11" s="688" t="inlineStr">
        <is>
          <t>Part énergie renouvelable</t>
        </is>
      </c>
      <c r="C11" s="689" t="inlineStr">
        <is>
          <t>E1-5</t>
        </is>
      </c>
      <c r="D11" s="689" t="inlineStr">
        <is>
          <t>%</t>
        </is>
      </c>
      <c r="E11" s="799" t="n">
        <v>0.38</v>
      </c>
      <c r="F11" s="799" t="n">
        <v>0.52</v>
      </c>
      <c r="G11" s="799" t="n">
        <v>0.71</v>
      </c>
      <c r="H11" s="799" t="n">
        <v>0.28</v>
      </c>
      <c r="I11" s="747">
        <f>AVERAGE(D11:H11)</f>
        <v/>
      </c>
      <c r="J11" s="965">
        <f>IF(I11&gt;0.5,"🟢",IF(I11&gt;0.3,"🟡","🔴"))</f>
        <v/>
      </c>
      <c r="K11" s="541" t="n"/>
      <c r="L11" s="541" t="n"/>
      <c r="M11" s="541" t="n"/>
      <c r="N11" s="541" t="n"/>
      <c r="O11" s="541" t="n"/>
      <c r="P11" s="541" t="n"/>
    </row>
    <row r="12">
      <c r="A12" s="541" t="n"/>
      <c r="B12" s="741" t="inlineStr">
        <is>
          <t>Eau consommée</t>
        </is>
      </c>
      <c r="C12" s="742" t="inlineStr">
        <is>
          <t>E2-7</t>
        </is>
      </c>
      <c r="D12" s="742" t="inlineStr">
        <is>
          <t>m³ k</t>
        </is>
      </c>
      <c r="E12" s="742" t="n">
        <v>18.4</v>
      </c>
      <c r="F12" s="742" t="n">
        <v>42.8</v>
      </c>
      <c r="G12" s="742" t="n">
        <v>12.2</v>
      </c>
      <c r="H12" s="742" t="n">
        <v>38.6</v>
      </c>
      <c r="I12" s="742">
        <f>SUM(D12:H12)</f>
        <v/>
      </c>
      <c r="J12" s="964">
        <f>SUM(E12:I12)</f>
        <v/>
      </c>
      <c r="K12" s="541" t="n"/>
      <c r="L12" s="541" t="n"/>
      <c r="M12" s="541" t="n"/>
      <c r="N12" s="541" t="n"/>
      <c r="O12" s="541" t="n"/>
      <c r="P12" s="541" t="n"/>
    </row>
    <row r="13">
      <c r="A13" s="541" t="n"/>
      <c r="B13" s="688" t="inlineStr">
        <is>
          <t>Déchets produits (total)</t>
        </is>
      </c>
      <c r="C13" s="689" t="inlineStr">
        <is>
          <t>E2-8</t>
        </is>
      </c>
      <c r="D13" s="689" t="inlineStr">
        <is>
          <t>t</t>
        </is>
      </c>
      <c r="E13" s="689" t="n">
        <v>850</v>
      </c>
      <c r="F13" s="689" t="n">
        <v>3200</v>
      </c>
      <c r="G13" s="689" t="n">
        <v>420</v>
      </c>
      <c r="H13" s="689" t="n">
        <v>2800</v>
      </c>
      <c r="I13" s="689">
        <f>SUM(D13:H13)</f>
        <v/>
      </c>
      <c r="J13" s="964">
        <f>SUM(E13:I13)</f>
        <v/>
      </c>
      <c r="K13" s="541" t="n"/>
      <c r="L13" s="541" t="n"/>
      <c r="M13" s="541" t="n"/>
      <c r="N13" s="541" t="n"/>
      <c r="O13" s="541" t="n"/>
      <c r="P13" s="541" t="n"/>
    </row>
    <row r="14">
      <c r="A14" s="541" t="n"/>
      <c r="B14" s="748" t="inlineStr">
        <is>
          <t>dont : déchets valorisés (%)</t>
        </is>
      </c>
      <c r="C14" s="749" t="inlineStr">
        <is>
          <t>E2-8</t>
        </is>
      </c>
      <c r="D14" s="749" t="inlineStr">
        <is>
          <t>%</t>
        </is>
      </c>
      <c r="E14" s="800" t="n">
        <v>0.68</v>
      </c>
      <c r="F14" s="800" t="n">
        <v>0.72</v>
      </c>
      <c r="G14" s="800" t="n">
        <v>0.8100000000000001</v>
      </c>
      <c r="H14" s="800" t="n">
        <v>0.65</v>
      </c>
      <c r="I14" s="767">
        <f>AVERAGE(D14:H14)</f>
        <v/>
      </c>
      <c r="J14" s="966">
        <f>AVERAGE(E14:I14)</f>
        <v/>
      </c>
      <c r="K14" s="541" t="n"/>
      <c r="L14" s="541" t="n"/>
      <c r="M14" s="541" t="n"/>
      <c r="N14" s="541" t="n"/>
      <c r="O14" s="541" t="n"/>
      <c r="P14" s="541" t="n"/>
    </row>
    <row r="15">
      <c r="A15" s="541" t="n"/>
      <c r="B15" s="541" t="n"/>
      <c r="C15" s="541" t="n"/>
      <c r="D15" s="541" t="n"/>
      <c r="E15" s="541" t="n"/>
      <c r="F15" s="541" t="n"/>
      <c r="G15" s="541" t="n"/>
      <c r="H15" s="541" t="n"/>
      <c r="I15" s="541" t="n"/>
      <c r="J15" s="541" t="n"/>
      <c r="K15" s="541" t="n"/>
      <c r="L15" s="541" t="n"/>
      <c r="M15" s="541" t="n"/>
      <c r="N15" s="541" t="n"/>
      <c r="O15" s="541" t="n"/>
      <c r="P15" s="541" t="n"/>
    </row>
    <row r="16">
      <c r="A16" s="541" t="n"/>
      <c r="B16" s="538" t="inlineStr">
        <is>
          <t>👥 SOCIAL – ESRS S1 (Propres Employés)</t>
        </is>
      </c>
      <c r="P16" s="541" t="n"/>
    </row>
    <row r="17">
      <c r="A17" s="541" t="n"/>
      <c r="B17" s="681" t="inlineStr">
        <is>
          <t>Indicateur ESRS</t>
        </is>
      </c>
      <c r="C17" s="682" t="inlineStr">
        <is>
          <t>Standard</t>
        </is>
      </c>
      <c r="D17" s="682" t="inlineStr">
        <is>
          <t>Unité</t>
        </is>
      </c>
      <c r="E17" s="682" t="inlineStr">
        <is>
          <t>FR_Parent</t>
        </is>
      </c>
      <c r="F17" s="682" t="inlineStr">
        <is>
          <t>DE_Filiale</t>
        </is>
      </c>
      <c r="G17" s="682" t="inlineStr">
        <is>
          <t>UK_Filiale</t>
        </is>
      </c>
      <c r="H17" s="682" t="inlineStr">
        <is>
          <t>US_Filiale</t>
        </is>
      </c>
      <c r="I17" s="682">
        <f>SUM(D17:H17)</f>
        <v/>
      </c>
      <c r="J17" s="684" t="inlineStr">
        <is>
          <t>TOTAL GROUPE</t>
        </is>
      </c>
      <c r="K17" s="541" t="n"/>
      <c r="L17" s="541" t="n"/>
      <c r="M17" s="541" t="n"/>
      <c r="N17" s="541" t="n"/>
      <c r="O17" s="541" t="n"/>
      <c r="P17" s="541" t="n"/>
    </row>
    <row r="18">
      <c r="A18" s="541" t="n"/>
      <c r="B18" s="801" t="inlineStr">
        <is>
          <t>Effectifs totaux (ETP)</t>
        </is>
      </c>
      <c r="C18" s="802" t="inlineStr">
        <is>
          <t>S1-6</t>
        </is>
      </c>
      <c r="D18" s="802" t="inlineStr">
        <is>
          <t>ETP</t>
        </is>
      </c>
      <c r="E18" s="802" t="n">
        <v>1850</v>
      </c>
      <c r="F18" s="802" t="n">
        <v>2640</v>
      </c>
      <c r="G18" s="802" t="n">
        <v>980</v>
      </c>
      <c r="H18" s="802" t="n">
        <v>1420</v>
      </c>
      <c r="I18" s="802">
        <f>SUM(D18:H18)</f>
        <v/>
      </c>
      <c r="J18" s="964">
        <f>SUM(E18:I18)</f>
        <v/>
      </c>
      <c r="K18" s="541" t="n"/>
      <c r="L18" s="541" t="n"/>
      <c r="M18" s="541" t="n"/>
      <c r="N18" s="541" t="n"/>
      <c r="O18" s="541" t="n"/>
      <c r="P18" s="541" t="n"/>
    </row>
    <row r="19">
      <c r="A19" s="541" t="n"/>
      <c r="B19" s="688" t="inlineStr">
        <is>
          <t>Nouveaux recrutements</t>
        </is>
      </c>
      <c r="C19" s="689" t="inlineStr">
        <is>
          <t>S1-6</t>
        </is>
      </c>
      <c r="D19" s="689" t="inlineStr">
        <is>
          <t>nb</t>
        </is>
      </c>
      <c r="E19" s="689" t="n">
        <v>245</v>
      </c>
      <c r="F19" s="689" t="n">
        <v>310</v>
      </c>
      <c r="G19" s="689" t="n">
        <v>142</v>
      </c>
      <c r="H19" s="689" t="n">
        <v>198</v>
      </c>
      <c r="I19" s="747">
        <f>AVERAGE(D19:H19)</f>
        <v/>
      </c>
      <c r="J19" s="964">
        <f>IF(I19&lt;0.1,"🟢",IF(I19&lt;0.15,"🟡","🔴"))</f>
        <v/>
      </c>
      <c r="K19" s="541" t="n"/>
      <c r="L19" s="541" t="n"/>
      <c r="M19" s="541" t="n"/>
      <c r="N19" s="541" t="n"/>
      <c r="O19" s="541" t="n"/>
      <c r="P19" s="541" t="n"/>
    </row>
    <row r="20">
      <c r="A20" s="541" t="n"/>
      <c r="B20" s="801" t="inlineStr">
        <is>
          <t>Taux de turnover</t>
        </is>
      </c>
      <c r="C20" s="802" t="inlineStr">
        <is>
          <t>S1-6</t>
        </is>
      </c>
      <c r="D20" s="802" t="inlineStr">
        <is>
          <t>%</t>
        </is>
      </c>
      <c r="E20" s="803" t="n">
        <v>0.082</v>
      </c>
      <c r="F20" s="803" t="n">
        <v>0.098</v>
      </c>
      <c r="G20" s="803" t="n">
        <v>0.124</v>
      </c>
      <c r="H20" s="803" t="n">
        <v>0.156</v>
      </c>
      <c r="I20" s="804">
        <f>AVERAGE(D20:H20)</f>
        <v/>
      </c>
      <c r="J20" s="967">
        <f>AVERAGE(E20:I20)</f>
        <v/>
      </c>
      <c r="K20" s="541" t="n"/>
      <c r="L20" s="541" t="n"/>
      <c r="M20" s="541" t="n"/>
      <c r="N20" s="541" t="n"/>
      <c r="O20" s="541" t="n"/>
      <c r="P20" s="541" t="n"/>
    </row>
    <row r="21">
      <c r="A21" s="541" t="n"/>
      <c r="B21" s="688" t="inlineStr">
        <is>
          <t>Part femmes (% total)</t>
        </is>
      </c>
      <c r="C21" s="689" t="inlineStr">
        <is>
          <t>S1-9</t>
        </is>
      </c>
      <c r="D21" s="689" t="inlineStr">
        <is>
          <t>%</t>
        </is>
      </c>
      <c r="E21" s="799" t="n">
        <v>0.43</v>
      </c>
      <c r="F21" s="799" t="n">
        <v>0.36</v>
      </c>
      <c r="G21" s="799" t="n">
        <v>0.48</v>
      </c>
      <c r="H21" s="799" t="n">
        <v>0.44</v>
      </c>
      <c r="I21" s="747">
        <f>AVERAGE(D21:H21)</f>
        <v/>
      </c>
      <c r="J21" s="965">
        <f>IF(I21&gt;=0.4,"🟢",IF(I21&gt;=0.3,"🟡","🔴"))</f>
        <v/>
      </c>
      <c r="K21" s="541" t="n"/>
      <c r="L21" s="541" t="n"/>
      <c r="M21" s="541" t="n"/>
      <c r="N21" s="541" t="n"/>
      <c r="O21" s="541" t="n"/>
      <c r="P21" s="541" t="n"/>
    </row>
    <row r="22">
      <c r="A22" s="541" t="n"/>
      <c r="B22" s="801" t="inlineStr">
        <is>
          <t>Part femmes cadres dirigeants</t>
        </is>
      </c>
      <c r="C22" s="802" t="inlineStr">
        <is>
          <t>S1-9</t>
        </is>
      </c>
      <c r="D22" s="802" t="inlineStr">
        <is>
          <t>%</t>
        </is>
      </c>
      <c r="E22" s="805" t="n">
        <v>0.38</v>
      </c>
      <c r="F22" s="805" t="n">
        <v>0.28</v>
      </c>
      <c r="G22" s="805" t="n">
        <v>0.42</v>
      </c>
      <c r="H22" s="805" t="n">
        <v>0.36</v>
      </c>
      <c r="I22" s="805">
        <f>AVERAGE(D22:H22)</f>
        <v/>
      </c>
      <c r="J22" s="965">
        <f>IF(I22&lt;2,"🟢",IF(I22&lt;4,"🟡","🔴"))</f>
        <v/>
      </c>
      <c r="K22" s="541" t="n"/>
      <c r="L22" s="541" t="n"/>
      <c r="M22" s="541" t="n"/>
      <c r="N22" s="541" t="n"/>
      <c r="O22" s="541" t="n"/>
      <c r="P22" s="541" t="n"/>
    </row>
    <row r="23">
      <c r="A23" s="541" t="n"/>
      <c r="B23" s="688" t="inlineStr">
        <is>
          <t>Taux d'accidents (TRIR)</t>
        </is>
      </c>
      <c r="C23" s="689" t="inlineStr">
        <is>
          <t>S1-11</t>
        </is>
      </c>
      <c r="D23" s="689" t="inlineStr">
        <is>
          <t>per M heures</t>
        </is>
      </c>
      <c r="E23" s="689" t="n">
        <v>2.4</v>
      </c>
      <c r="F23" s="689" t="n">
        <v>3.8</v>
      </c>
      <c r="G23" s="689" t="n">
        <v>1.6</v>
      </c>
      <c r="H23" s="689" t="n">
        <v>4.2</v>
      </c>
      <c r="I23" s="689">
        <f>AVERAGE(D23:H23)</f>
        <v/>
      </c>
      <c r="J23" s="964">
        <f>AVERAGE(E23:I23)</f>
        <v/>
      </c>
      <c r="K23" s="541" t="n"/>
      <c r="L23" s="541" t="n"/>
      <c r="M23" s="541" t="n"/>
      <c r="N23" s="541" t="n"/>
      <c r="O23" s="541" t="n"/>
      <c r="P23" s="541" t="n"/>
    </row>
    <row r="24">
      <c r="A24" s="541" t="n"/>
      <c r="B24" s="801" t="inlineStr">
        <is>
          <t>Heures de formation / employé</t>
        </is>
      </c>
      <c r="C24" s="802" t="inlineStr">
        <is>
          <t>S1-13</t>
        </is>
      </c>
      <c r="D24" s="802" t="inlineStr">
        <is>
          <t>h/emp/an</t>
        </is>
      </c>
      <c r="E24" s="802" t="n">
        <v>42</v>
      </c>
      <c r="F24" s="802" t="n">
        <v>38</v>
      </c>
      <c r="G24" s="802" t="n">
        <v>56</v>
      </c>
      <c r="H24" s="802" t="n">
        <v>35</v>
      </c>
      <c r="I24" s="804">
        <f>AVERAGE(D24:H24)</f>
        <v/>
      </c>
      <c r="J24" s="964">
        <f>AVERAGE(E24:I24)</f>
        <v/>
      </c>
      <c r="K24" s="541" t="n"/>
      <c r="L24" s="541" t="n"/>
      <c r="M24" s="541" t="n"/>
      <c r="N24" s="541" t="n"/>
      <c r="O24" s="541" t="n"/>
      <c r="P24" s="541" t="n"/>
    </row>
    <row r="25">
      <c r="A25" s="541" t="n"/>
      <c r="B25" s="688" t="inlineStr">
        <is>
          <t>Part CDI vs. total</t>
        </is>
      </c>
      <c r="C25" s="689" t="inlineStr">
        <is>
          <t>S1-6</t>
        </is>
      </c>
      <c r="D25" s="689" t="inlineStr">
        <is>
          <t>%</t>
        </is>
      </c>
      <c r="E25" s="799" t="n">
        <v>0.91</v>
      </c>
      <c r="F25" s="799" t="n">
        <v>0.88</v>
      </c>
      <c r="G25" s="799" t="n">
        <v>0.85</v>
      </c>
      <c r="H25" s="799" t="n">
        <v>0.79</v>
      </c>
      <c r="I25" s="799">
        <f>AVERAGE(D25:H25)</f>
        <v/>
      </c>
      <c r="J25" s="965">
        <f>AVERAGE(E25:I25)</f>
        <v/>
      </c>
      <c r="K25" s="541" t="n"/>
      <c r="L25" s="541" t="n"/>
      <c r="M25" s="541" t="n"/>
      <c r="N25" s="541" t="n"/>
      <c r="O25" s="541" t="n"/>
      <c r="P25" s="541" t="n"/>
    </row>
    <row r="26">
      <c r="A26" s="541" t="n"/>
      <c r="B26" s="801" t="inlineStr">
        <is>
          <t>Salaire médian (k€/an)</t>
        </is>
      </c>
      <c r="C26" s="802" t="inlineStr">
        <is>
          <t>S1-16</t>
        </is>
      </c>
      <c r="D26" s="802" t="inlineStr">
        <is>
          <t>k€</t>
        </is>
      </c>
      <c r="E26" s="802" t="n">
        <v>52.4</v>
      </c>
      <c r="F26" s="802" t="n">
        <v>48.2</v>
      </c>
      <c r="G26" s="802" t="n">
        <v>68.90000000000001</v>
      </c>
      <c r="H26" s="802" t="n">
        <v>71.2</v>
      </c>
      <c r="I26" s="804">
        <f>AVERAGE(D26:H26)</f>
        <v/>
      </c>
      <c r="J26" s="964">
        <f>AVERAGE(E26:I26)</f>
        <v/>
      </c>
      <c r="K26" s="541" t="n"/>
      <c r="L26" s="541" t="n"/>
      <c r="M26" s="541" t="n"/>
      <c r="N26" s="541" t="n"/>
      <c r="O26" s="541" t="n"/>
      <c r="P26" s="541" t="n"/>
    </row>
    <row r="27">
      <c r="A27" s="541" t="n"/>
      <c r="B27" s="705" t="inlineStr">
        <is>
          <t>Écart salarial H/F (%)</t>
        </is>
      </c>
      <c r="C27" s="706" t="inlineStr">
        <is>
          <t>S1-16</t>
        </is>
      </c>
      <c r="D27" s="706" t="inlineStr">
        <is>
          <t>%</t>
        </is>
      </c>
      <c r="E27" s="806" t="n">
        <v>-0.12</v>
      </c>
      <c r="F27" s="806" t="n">
        <v>-0.15</v>
      </c>
      <c r="G27" s="806" t="n">
        <v>-0.08</v>
      </c>
      <c r="H27" s="806" t="n">
        <v>-0.18</v>
      </c>
      <c r="I27" s="806" t="n">
        <v>-0.06</v>
      </c>
      <c r="J27" s="966">
        <f>AVERAGE(E27:I27)</f>
        <v/>
      </c>
      <c r="K27" s="541" t="n"/>
      <c r="L27" s="541" t="n"/>
      <c r="M27" s="541" t="n"/>
      <c r="N27" s="541" t="n"/>
      <c r="O27" s="541" t="n"/>
      <c r="P27" s="541" t="n"/>
    </row>
    <row r="28">
      <c r="A28" s="541" t="n"/>
      <c r="B28" s="541" t="n"/>
      <c r="C28" s="541" t="n"/>
      <c r="D28" s="541" t="n"/>
      <c r="E28" s="541" t="n"/>
      <c r="F28" s="541" t="n"/>
      <c r="G28" s="541" t="n"/>
      <c r="H28" s="541" t="n"/>
      <c r="I28" s="541" t="n"/>
      <c r="J28" s="541" t="n"/>
      <c r="K28" s="541" t="n"/>
      <c r="L28" s="541" t="n"/>
      <c r="M28" s="541" t="n"/>
      <c r="N28" s="541" t="n"/>
      <c r="O28" s="541" t="n"/>
      <c r="P28" s="541" t="n"/>
    </row>
    <row r="29">
      <c r="A29" s="541" t="n"/>
      <c r="B29" s="539" t="inlineStr">
        <is>
          <t>⚖️ GOUVERNANCE – ESRS G1 (Éthique &amp; Conduite des Affaires)</t>
        </is>
      </c>
      <c r="P29" s="541" t="n"/>
    </row>
    <row r="30">
      <c r="A30" s="541" t="n"/>
      <c r="B30" s="543" t="inlineStr">
        <is>
          <t>Indicateur ESRS G1</t>
        </is>
      </c>
      <c r="C30" s="543" t="inlineStr">
        <is>
          <t>Valeur Groupe 2025</t>
        </is>
      </c>
      <c r="D30" s="543" t="inlineStr">
        <is>
          <t>Détail / Note</t>
        </is>
      </c>
      <c r="E30" s="541" t="n"/>
      <c r="F30" s="541" t="n"/>
      <c r="G30" s="541" t="n"/>
      <c r="H30" s="541" t="n"/>
      <c r="I30" s="541" t="n"/>
      <c r="J30" s="541" t="n"/>
      <c r="K30" s="541" t="n"/>
      <c r="L30" s="541" t="n"/>
      <c r="M30" s="541" t="n"/>
      <c r="N30" s="541" t="n"/>
      <c r="O30" s="541" t="n"/>
      <c r="P30" s="541" t="n"/>
    </row>
    <row r="31">
      <c r="A31" s="541" t="n"/>
      <c r="B31" s="60" t="inlineStr">
        <is>
          <t>Diversité CA (% femmes)</t>
        </is>
      </c>
      <c r="C31" s="61" t="n">
        <v>0.4</v>
      </c>
      <c r="D31" s="60" t="inlineStr">
        <is>
          <t>6 femmes / 15 membres total – CA Groupe</t>
        </is>
      </c>
      <c r="E31" s="541" t="n"/>
      <c r="F31" s="541" t="n"/>
      <c r="G31" s="541" t="n"/>
      <c r="H31" s="541" t="n"/>
      <c r="I31" s="541" t="n"/>
      <c r="J31" s="541" t="n"/>
      <c r="K31" s="541" t="n"/>
      <c r="L31" s="541" t="n"/>
      <c r="M31" s="541" t="n"/>
      <c r="N31" s="541" t="n"/>
      <c r="O31" s="541" t="n"/>
      <c r="P31" s="541" t="n"/>
    </row>
    <row r="32">
      <c r="A32" s="541" t="n"/>
      <c r="B32" s="540" t="inlineStr">
        <is>
          <t>Diversité CA (% nationalités)</t>
        </is>
      </c>
      <c r="C32" s="37" t="n">
        <v>0.6</v>
      </c>
      <c r="D32" s="540" t="inlineStr">
        <is>
          <t>9 nationalités représentées au CA</t>
        </is>
      </c>
      <c r="E32" s="541" t="n"/>
      <c r="F32" s="541" t="n"/>
      <c r="G32" s="541" t="n"/>
      <c r="H32" s="541" t="n"/>
      <c r="I32" s="541" t="n"/>
      <c r="J32" s="541" t="n"/>
      <c r="K32" s="541" t="n"/>
      <c r="L32" s="541" t="n"/>
      <c r="M32" s="541" t="n"/>
      <c r="N32" s="541" t="n"/>
      <c r="O32" s="541" t="n"/>
      <c r="P32" s="541" t="n"/>
    </row>
    <row r="33">
      <c r="A33" s="541" t="n"/>
      <c r="B33" s="60" t="inlineStr">
        <is>
          <t>Politique anti-corruption</t>
        </is>
      </c>
      <c r="C33" s="60" t="inlineStr">
        <is>
          <t>✅ Déployée</t>
        </is>
      </c>
      <c r="D33" s="60" t="inlineStr">
        <is>
          <t>Code éthique + formation obligatoire 100% dirigeants</t>
        </is>
      </c>
      <c r="E33" s="541" t="n"/>
      <c r="F33" s="541" t="n"/>
      <c r="G33" s="541" t="n"/>
      <c r="H33" s="541" t="n"/>
      <c r="I33" s="541" t="n"/>
      <c r="J33" s="541" t="n"/>
      <c r="K33" s="541" t="n"/>
      <c r="L33" s="541" t="n"/>
      <c r="M33" s="541" t="n"/>
      <c r="N33" s="541" t="n"/>
      <c r="O33" s="541" t="n"/>
      <c r="P33" s="541" t="n"/>
    </row>
    <row r="34">
      <c r="A34" s="541" t="n"/>
      <c r="B34" s="540" t="inlineStr">
        <is>
          <t>Incidents anti-corruption reportés</t>
        </is>
      </c>
      <c r="C34" s="540" t="n">
        <v>2</v>
      </c>
      <c r="D34" s="540" t="inlineStr">
        <is>
          <t>Traités via procédure disciplinaire interne</t>
        </is>
      </c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</row>
    <row r="35">
      <c r="A35" s="541" t="n"/>
      <c r="B35" s="60" t="inlineStr">
        <is>
          <t>Lanceurs d'alerte (whistleblowing)</t>
        </is>
      </c>
      <c r="C35" s="60" t="inlineStr">
        <is>
          <t>✅ Actif</t>
        </is>
      </c>
      <c r="D35" s="60" t="inlineStr">
        <is>
          <t>Ligne confidentielle externe opérée par tier indépendant</t>
        </is>
      </c>
      <c r="E35" s="541" t="n"/>
      <c r="F35" s="541" t="n"/>
      <c r="G35" s="541" t="n"/>
      <c r="H35" s="541" t="n"/>
      <c r="I35" s="541" t="n"/>
      <c r="J35" s="541" t="n"/>
      <c r="K35" s="541" t="n"/>
      <c r="L35" s="541" t="n"/>
      <c r="M35" s="541" t="n"/>
      <c r="N35" s="541" t="n"/>
      <c r="O35" s="541" t="n"/>
      <c r="P35" s="541" t="n"/>
    </row>
    <row r="36">
      <c r="A36" s="541" t="n"/>
      <c r="B36" s="540" t="inlineStr">
        <is>
          <t>Alertes reçues &amp; traitées</t>
        </is>
      </c>
      <c r="C36" s="540" t="inlineStr">
        <is>
          <t>18 / 18</t>
        </is>
      </c>
      <c r="D36" s="540" t="inlineStr">
        <is>
          <t>Délai moyen de traitement : 28 jours</t>
        </is>
      </c>
      <c r="E36" s="541" t="n"/>
      <c r="F36" s="541" t="n"/>
      <c r="G36" s="541" t="n"/>
      <c r="H36" s="541" t="n"/>
      <c r="I36" s="541" t="n"/>
      <c r="J36" s="541" t="n"/>
      <c r="K36" s="541" t="n"/>
      <c r="L36" s="541" t="n"/>
      <c r="M36" s="541" t="n"/>
      <c r="N36" s="541" t="n"/>
      <c r="O36" s="541" t="n"/>
      <c r="P36" s="541" t="n"/>
    </row>
    <row r="37">
      <c r="A37" s="541" t="n"/>
      <c r="B37" s="60" t="inlineStr">
        <is>
          <t>Fournisseurs évalués ESG</t>
        </is>
      </c>
      <c r="C37" s="61" t="n">
        <v>0.68</v>
      </c>
      <c r="D37" s="60" t="inlineStr">
        <is>
          <t>Scope: fournisseurs représentant &gt; 80% des achats</t>
        </is>
      </c>
      <c r="E37" s="541" t="n"/>
      <c r="F37" s="541" t="n"/>
      <c r="G37" s="541" t="n"/>
      <c r="H37" s="541" t="n"/>
      <c r="I37" s="541" t="n"/>
      <c r="J37" s="541" t="n"/>
      <c r="K37" s="541" t="n"/>
      <c r="L37" s="541" t="n"/>
      <c r="M37" s="541" t="n"/>
      <c r="N37" s="541" t="n"/>
      <c r="O37" s="541" t="n"/>
      <c r="P37" s="541" t="n"/>
    </row>
    <row r="38">
      <c r="A38" s="541" t="n"/>
      <c r="B38" s="540" t="inlineStr">
        <is>
          <t>Politique fiscale publiée</t>
        </is>
      </c>
      <c r="C38" s="540" t="inlineStr">
        <is>
          <t>✅ Publiée</t>
        </is>
      </c>
      <c r="D38" s="540" t="inlineStr">
        <is>
          <t>Country-by-Country reporting conforme OCDE BEPS</t>
        </is>
      </c>
      <c r="E38" s="541" t="n"/>
      <c r="F38" s="541" t="n"/>
      <c r="G38" s="541" t="n"/>
      <c r="H38" s="541" t="n"/>
      <c r="I38" s="541" t="n"/>
      <c r="J38" s="541" t="n"/>
      <c r="K38" s="541" t="n"/>
      <c r="L38" s="541" t="n"/>
      <c r="M38" s="541" t="n"/>
      <c r="N38" s="541" t="n"/>
      <c r="O38" s="541" t="n"/>
      <c r="P38" s="541" t="n"/>
    </row>
    <row r="39">
      <c r="A39" s="541" t="n"/>
      <c r="B39" s="60" t="inlineStr">
        <is>
          <t>Taux impôt effectif</t>
        </is>
      </c>
      <c r="C39" s="62" t="n">
        <v>0.312</v>
      </c>
      <c r="D39" s="60" t="inlineStr">
        <is>
          <t>vs. taux nominal FR: 25% – réconciliation Note 5</t>
        </is>
      </c>
      <c r="E39" s="541" t="n"/>
      <c r="F39" s="541" t="n"/>
      <c r="G39" s="541" t="n"/>
      <c r="H39" s="541" t="n"/>
      <c r="I39" s="541" t="n"/>
      <c r="J39" s="541" t="n"/>
      <c r="K39" s="541" t="n"/>
      <c r="L39" s="541" t="n"/>
      <c r="M39" s="541" t="n"/>
      <c r="N39" s="541" t="n"/>
      <c r="O39" s="541" t="n"/>
      <c r="P39" s="541" t="n"/>
    </row>
    <row r="40">
      <c r="A40" s="541" t="n"/>
      <c r="B40" s="541" t="n"/>
      <c r="C40" s="541" t="n"/>
      <c r="D40" s="541" t="n"/>
      <c r="E40" s="541" t="n"/>
      <c r="F40" s="541" t="n"/>
      <c r="G40" s="541" t="n"/>
      <c r="H40" s="541" t="n"/>
      <c r="I40" s="541" t="n"/>
      <c r="J40" s="541" t="n"/>
      <c r="K40" s="541" t="n"/>
      <c r="L40" s="541" t="n"/>
      <c r="M40" s="541" t="n"/>
      <c r="N40" s="541" t="n"/>
      <c r="O40" s="541" t="n"/>
      <c r="P40" s="541" t="n"/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  <c r="I41" s="541" t="n"/>
      <c r="J41" s="541" t="n"/>
      <c r="K41" s="541" t="n"/>
      <c r="L41" s="541" t="n"/>
      <c r="M41" s="541" t="n"/>
      <c r="N41" s="541" t="n"/>
      <c r="O41" s="541" t="n"/>
      <c r="P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  <c r="I42" s="541" t="n"/>
      <c r="J42" s="541" t="n"/>
      <c r="K42" s="541" t="n"/>
      <c r="L42" s="541" t="n"/>
      <c r="M42" s="541" t="n"/>
      <c r="N42" s="541" t="n"/>
      <c r="O42" s="541" t="n"/>
      <c r="P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  <c r="I43" s="541" t="n"/>
      <c r="J43" s="541" t="n"/>
      <c r="K43" s="541" t="n"/>
      <c r="L43" s="541" t="n"/>
      <c r="M43" s="541" t="n"/>
      <c r="N43" s="541" t="n"/>
      <c r="O43" s="541" t="n"/>
      <c r="P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  <c r="I45" s="541" t="n"/>
      <c r="J45" s="541" t="n"/>
      <c r="K45" s="541" t="n"/>
      <c r="L45" s="541" t="n"/>
      <c r="M45" s="541" t="n"/>
      <c r="N45" s="541" t="n"/>
      <c r="O45" s="541" t="n"/>
      <c r="P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  <c r="I46" s="541" t="n"/>
      <c r="J46" s="541" t="n"/>
      <c r="K46" s="541" t="n"/>
      <c r="L46" s="541" t="n"/>
      <c r="M46" s="541" t="n"/>
      <c r="N46" s="541" t="n"/>
      <c r="O46" s="541" t="n"/>
      <c r="P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  <c r="I47" s="541" t="n"/>
      <c r="J47" s="541" t="n"/>
      <c r="K47" s="541" t="n"/>
      <c r="L47" s="541" t="n"/>
      <c r="M47" s="541" t="n"/>
      <c r="N47" s="541" t="n"/>
      <c r="O47" s="541" t="n"/>
      <c r="P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  <c r="I48" s="541" t="n"/>
      <c r="J48" s="541" t="n"/>
      <c r="K48" s="541" t="n"/>
      <c r="L48" s="541" t="n"/>
      <c r="M48" s="541" t="n"/>
      <c r="N48" s="541" t="n"/>
      <c r="O48" s="541" t="n"/>
      <c r="P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  <c r="I50" s="541" t="n"/>
      <c r="J50" s="541" t="n"/>
      <c r="K50" s="541" t="n"/>
      <c r="L50" s="541" t="n"/>
      <c r="M50" s="541" t="n"/>
      <c r="N50" s="541" t="n"/>
      <c r="O50" s="541" t="n"/>
      <c r="P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  <c r="I51" s="541" t="n"/>
      <c r="J51" s="541" t="n"/>
      <c r="K51" s="541" t="n"/>
      <c r="L51" s="541" t="n"/>
      <c r="M51" s="541" t="n"/>
      <c r="N51" s="541" t="n"/>
      <c r="O51" s="541" t="n"/>
      <c r="P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  <c r="I52" s="541" t="n"/>
      <c r="J52" s="541" t="n"/>
      <c r="K52" s="541" t="n"/>
      <c r="L52" s="541" t="n"/>
      <c r="M52" s="541" t="n"/>
      <c r="N52" s="541" t="n"/>
      <c r="O52" s="541" t="n"/>
      <c r="P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  <c r="I53" s="541" t="n"/>
      <c r="J53" s="541" t="n"/>
      <c r="K53" s="541" t="n"/>
      <c r="L53" s="541" t="n"/>
      <c r="M53" s="541" t="n"/>
      <c r="N53" s="541" t="n"/>
      <c r="O53" s="541" t="n"/>
      <c r="P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  <c r="I54" s="541" t="n"/>
      <c r="J54" s="541" t="n"/>
      <c r="K54" s="541" t="n"/>
      <c r="L54" s="541" t="n"/>
      <c r="M54" s="541" t="n"/>
      <c r="N54" s="541" t="n"/>
      <c r="O54" s="541" t="n"/>
      <c r="P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  <c r="I55" s="541" t="n"/>
      <c r="J55" s="541" t="n"/>
      <c r="K55" s="541" t="n"/>
      <c r="L55" s="541" t="n"/>
      <c r="M55" s="541" t="n"/>
      <c r="N55" s="541" t="n"/>
      <c r="O55" s="541" t="n"/>
      <c r="P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  <c r="I56" s="541" t="n"/>
      <c r="J56" s="541" t="n"/>
      <c r="K56" s="541" t="n"/>
      <c r="L56" s="541" t="n"/>
      <c r="M56" s="541" t="n"/>
      <c r="N56" s="541" t="n"/>
      <c r="O56" s="541" t="n"/>
      <c r="P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  <c r="I58" s="541" t="n"/>
      <c r="J58" s="541" t="n"/>
      <c r="K58" s="541" t="n"/>
      <c r="L58" s="541" t="n"/>
      <c r="M58" s="541" t="n"/>
      <c r="N58" s="541" t="n"/>
      <c r="O58" s="541" t="n"/>
      <c r="P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  <c r="I59" s="541" t="n"/>
      <c r="J59" s="541" t="n"/>
      <c r="K59" s="541" t="n"/>
      <c r="L59" s="541" t="n"/>
      <c r="M59" s="541" t="n"/>
      <c r="N59" s="541" t="n"/>
      <c r="O59" s="541" t="n"/>
      <c r="P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  <c r="I60" s="541" t="n"/>
      <c r="J60" s="541" t="n"/>
      <c r="K60" s="541" t="n"/>
      <c r="L60" s="541" t="n"/>
      <c r="M60" s="541" t="n"/>
      <c r="N60" s="541" t="n"/>
      <c r="O60" s="541" t="n"/>
      <c r="P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  <c r="I61" s="541" t="n"/>
      <c r="J61" s="541" t="n"/>
      <c r="K61" s="541" t="n"/>
      <c r="L61" s="541" t="n"/>
      <c r="M61" s="541" t="n"/>
      <c r="N61" s="541" t="n"/>
      <c r="O61" s="541" t="n"/>
      <c r="P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  <c r="I62" s="541" t="n"/>
      <c r="J62" s="541" t="n"/>
      <c r="K62" s="541" t="n"/>
      <c r="L62" s="541" t="n"/>
      <c r="M62" s="541" t="n"/>
      <c r="N62" s="541" t="n"/>
      <c r="O62" s="541" t="n"/>
      <c r="P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  <c r="I63" s="541" t="n"/>
      <c r="J63" s="541" t="n"/>
      <c r="K63" s="541" t="n"/>
      <c r="L63" s="541" t="n"/>
      <c r="M63" s="541" t="n"/>
      <c r="N63" s="541" t="n"/>
      <c r="O63" s="541" t="n"/>
      <c r="P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  <c r="I64" s="541" t="n"/>
      <c r="J64" s="541" t="n"/>
      <c r="K64" s="541" t="n"/>
      <c r="L64" s="541" t="n"/>
      <c r="M64" s="541" t="n"/>
      <c r="N64" s="541" t="n"/>
      <c r="O64" s="541" t="n"/>
      <c r="P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  <c r="I65" s="541" t="n"/>
      <c r="J65" s="541" t="n"/>
      <c r="K65" s="541" t="n"/>
      <c r="L65" s="541" t="n"/>
      <c r="M65" s="541" t="n"/>
      <c r="N65" s="541" t="n"/>
      <c r="O65" s="541" t="n"/>
      <c r="P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  <c r="I66" s="541" t="n"/>
      <c r="J66" s="541" t="n"/>
      <c r="K66" s="541" t="n"/>
      <c r="L66" s="541" t="n"/>
      <c r="M66" s="541" t="n"/>
      <c r="N66" s="541" t="n"/>
      <c r="O66" s="541" t="n"/>
      <c r="P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  <c r="I67" s="541" t="n"/>
      <c r="J67" s="541" t="n"/>
      <c r="K67" s="541" t="n"/>
      <c r="L67" s="541" t="n"/>
      <c r="M67" s="541" t="n"/>
      <c r="N67" s="541" t="n"/>
      <c r="O67" s="541" t="n"/>
      <c r="P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  <c r="I68" s="541" t="n"/>
      <c r="J68" s="541" t="n"/>
      <c r="K68" s="541" t="n"/>
      <c r="L68" s="541" t="n"/>
      <c r="M68" s="541" t="n"/>
      <c r="N68" s="541" t="n"/>
      <c r="O68" s="541" t="n"/>
      <c r="P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  <c r="I69" s="541" t="n"/>
      <c r="J69" s="541" t="n"/>
      <c r="K69" s="541" t="n"/>
      <c r="L69" s="541" t="n"/>
      <c r="M69" s="541" t="n"/>
      <c r="N69" s="541" t="n"/>
      <c r="O69" s="541" t="n"/>
      <c r="P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  <c r="I70" s="541" t="n"/>
      <c r="J70" s="541" t="n"/>
      <c r="K70" s="541" t="n"/>
      <c r="L70" s="541" t="n"/>
      <c r="M70" s="541" t="n"/>
      <c r="N70" s="541" t="n"/>
      <c r="O70" s="541" t="n"/>
      <c r="P70" s="541" t="n"/>
    </row>
    <row r="71">
      <c r="A71" s="541" t="n"/>
      <c r="B71" s="541" t="n"/>
      <c r="C71" s="541" t="n"/>
      <c r="D71" s="541" t="n"/>
      <c r="E71" s="541" t="n"/>
      <c r="F71" s="541" t="n"/>
      <c r="G71" s="541" t="n"/>
      <c r="H71" s="541" t="n"/>
      <c r="I71" s="541" t="n"/>
      <c r="J71" s="541" t="n"/>
      <c r="K71" s="541" t="n"/>
      <c r="L71" s="541" t="n"/>
      <c r="M71" s="541" t="n"/>
      <c r="N71" s="541" t="n"/>
      <c r="O71" s="541" t="n"/>
      <c r="P71" s="541" t="n"/>
    </row>
    <row r="72">
      <c r="A72" s="541" t="n"/>
      <c r="B72" s="541" t="n"/>
      <c r="C72" s="541" t="n"/>
      <c r="D72" s="541" t="n"/>
      <c r="E72" s="541" t="n"/>
      <c r="F72" s="541" t="n"/>
      <c r="G72" s="541" t="n"/>
      <c r="H72" s="541" t="n"/>
      <c r="I72" s="541" t="n"/>
      <c r="J72" s="541" t="n"/>
      <c r="K72" s="541" t="n"/>
      <c r="L72" s="541" t="n"/>
      <c r="M72" s="541" t="n"/>
      <c r="N72" s="541" t="n"/>
      <c r="O72" s="541" t="n"/>
      <c r="P72" s="541" t="n"/>
    </row>
    <row r="73">
      <c r="A73" s="541" t="n"/>
      <c r="B73" s="541" t="n"/>
      <c r="C73" s="541" t="n"/>
      <c r="D73" s="541" t="n"/>
      <c r="E73" s="541" t="n"/>
      <c r="F73" s="541" t="n"/>
      <c r="G73" s="541" t="n"/>
      <c r="H73" s="541" t="n"/>
      <c r="I73" s="541" t="n"/>
      <c r="J73" s="541" t="n"/>
      <c r="K73" s="541" t="n"/>
      <c r="L73" s="541" t="n"/>
      <c r="M73" s="541" t="n"/>
      <c r="N73" s="541" t="n"/>
      <c r="O73" s="541" t="n"/>
      <c r="P73" s="541" t="n"/>
    </row>
    <row r="74">
      <c r="A74" s="541" t="n"/>
      <c r="B74" s="541" t="n"/>
      <c r="C74" s="541" t="n"/>
      <c r="D74" s="541" t="n"/>
      <c r="E74" s="541" t="n"/>
      <c r="F74" s="541" t="n"/>
      <c r="G74" s="541" t="n"/>
      <c r="H74" s="541" t="n"/>
      <c r="I74" s="541" t="n"/>
      <c r="J74" s="541" t="n"/>
      <c r="K74" s="541" t="n"/>
      <c r="L74" s="541" t="n"/>
      <c r="M74" s="541" t="n"/>
      <c r="N74" s="541" t="n"/>
      <c r="O74" s="541" t="n"/>
      <c r="P74" s="541" t="n"/>
    </row>
    <row r="75">
      <c r="A75" s="541" t="n"/>
      <c r="B75" s="541" t="n"/>
      <c r="C75" s="541" t="n"/>
      <c r="D75" s="541" t="n"/>
      <c r="E75" s="541" t="n"/>
      <c r="F75" s="541" t="n"/>
      <c r="G75" s="541" t="n"/>
      <c r="H75" s="541" t="n"/>
      <c r="I75" s="541" t="n"/>
      <c r="J75" s="541" t="n"/>
      <c r="K75" s="541" t="n"/>
      <c r="L75" s="541" t="n"/>
      <c r="M75" s="541" t="n"/>
      <c r="N75" s="541" t="n"/>
      <c r="O75" s="541" t="n"/>
      <c r="P75" s="541" t="n"/>
    </row>
    <row r="76">
      <c r="A76" s="541" t="n"/>
      <c r="B76" s="541" t="n"/>
      <c r="C76" s="541" t="n"/>
      <c r="D76" s="541" t="n"/>
      <c r="E76" s="541" t="n"/>
      <c r="F76" s="541" t="n"/>
      <c r="G76" s="541" t="n"/>
      <c r="H76" s="541" t="n"/>
      <c r="I76" s="541" t="n"/>
      <c r="J76" s="541" t="n"/>
      <c r="K76" s="541" t="n"/>
      <c r="L76" s="541" t="n"/>
      <c r="M76" s="541" t="n"/>
      <c r="N76" s="541" t="n"/>
      <c r="O76" s="541" t="n"/>
      <c r="P76" s="541" t="n"/>
    </row>
    <row r="77">
      <c r="A77" s="541" t="n"/>
      <c r="B77" s="541" t="n"/>
      <c r="C77" s="541" t="n"/>
      <c r="D77" s="541" t="n"/>
      <c r="E77" s="541" t="n"/>
      <c r="F77" s="541" t="n"/>
      <c r="G77" s="541" t="n"/>
      <c r="H77" s="541" t="n"/>
      <c r="I77" s="541" t="n"/>
      <c r="J77" s="541" t="n"/>
      <c r="K77" s="541" t="n"/>
      <c r="L77" s="541" t="n"/>
      <c r="M77" s="541" t="n"/>
      <c r="N77" s="541" t="n"/>
      <c r="O77" s="541" t="n"/>
      <c r="P77" s="541" t="n"/>
    </row>
    <row r="78">
      <c r="A78" s="541" t="n"/>
      <c r="B78" s="541" t="n"/>
      <c r="C78" s="541" t="n"/>
      <c r="D78" s="541" t="n"/>
      <c r="E78" s="541" t="n"/>
      <c r="F78" s="541" t="n"/>
      <c r="G78" s="541" t="n"/>
      <c r="H78" s="541" t="n"/>
      <c r="I78" s="541" t="n"/>
      <c r="J78" s="541" t="n"/>
      <c r="K78" s="541" t="n"/>
      <c r="L78" s="541" t="n"/>
      <c r="M78" s="541" t="n"/>
      <c r="N78" s="541" t="n"/>
      <c r="O78" s="541" t="n"/>
      <c r="P78" s="541" t="n"/>
    </row>
    <row r="79">
      <c r="A79" s="541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1" t="n"/>
      <c r="K79" s="541" t="n"/>
      <c r="L79" s="541" t="n"/>
      <c r="M79" s="541" t="n"/>
      <c r="N79" s="541" t="n"/>
      <c r="O79" s="541" t="n"/>
      <c r="P79" s="541" t="n"/>
    </row>
    <row r="80">
      <c r="A80" s="541" t="n"/>
      <c r="B80" s="541" t="n"/>
      <c r="C80" s="541" t="n"/>
      <c r="D80" s="541" t="n"/>
      <c r="E80" s="541" t="n"/>
      <c r="F80" s="541" t="n"/>
      <c r="G80" s="541" t="n"/>
      <c r="H80" s="541" t="n"/>
      <c r="I80" s="541" t="n"/>
      <c r="J80" s="541" t="n"/>
      <c r="K80" s="541" t="n"/>
      <c r="L80" s="541" t="n"/>
      <c r="M80" s="541" t="n"/>
      <c r="N80" s="541" t="n"/>
      <c r="O80" s="541" t="n"/>
      <c r="P80" s="541" t="n"/>
    </row>
  </sheetData>
  <mergeCells count="4">
    <mergeCell ref="B16:O16"/>
    <mergeCell ref="B2:O2"/>
    <mergeCell ref="B4:O4"/>
    <mergeCell ref="B29:O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27AE60"/>
    <outlinePr summaryBelow="1" summaryRight="1"/>
    <pageSetUpPr/>
  </sheetPr>
  <dimension ref="A1:H80"/>
  <sheetViews>
    <sheetView showGridLines="0" workbookViewId="0">
      <selection activeCell="D8" sqref="D8:H8"/>
    </sheetView>
  </sheetViews>
  <sheetFormatPr baseColWidth="10" defaultRowHeight="15"/>
  <cols>
    <col width="13.28515625" bestFit="1" customWidth="1" style="500" min="2" max="2"/>
    <col width="32.42578125" bestFit="1" customWidth="1" style="500" min="3" max="3"/>
    <col width="15.28515625" customWidth="1" style="500" min="4" max="8"/>
  </cols>
  <sheetData>
    <row r="1">
      <c r="A1" s="541" t="n"/>
      <c r="B1" s="541" t="n"/>
      <c r="C1" s="541" t="n"/>
      <c r="D1" s="541" t="n"/>
      <c r="E1" s="541" t="n"/>
      <c r="F1" s="541" t="n"/>
      <c r="G1" s="541" t="n"/>
      <c r="H1" s="541" t="n"/>
    </row>
    <row r="2" ht="17.25" customHeight="1" s="500">
      <c r="A2" s="541" t="n"/>
      <c r="B2" s="523" t="inlineStr">
        <is>
          <t>🌿  RAPPORT DE DURABILITÉ CSRD – ESRS · Groupe Multinational · Exercice 2025-2026</t>
        </is>
      </c>
    </row>
    <row r="3">
      <c r="A3" s="541" t="n"/>
      <c r="B3" s="544" t="inlineStr">
        <is>
          <t>Conforme CSRD (Dir. 2022/2464) · Standards ESRS (Commission Européenne) · Rapport intégré au rapport annuel</t>
        </is>
      </c>
    </row>
    <row r="4">
      <c r="A4" s="541" t="n"/>
      <c r="B4" s="541" t="n"/>
      <c r="C4" s="541" t="n"/>
      <c r="D4" s="541" t="n"/>
      <c r="E4" s="541" t="n"/>
      <c r="F4" s="541" t="n"/>
      <c r="G4" s="541" t="n"/>
      <c r="H4" s="541" t="n"/>
    </row>
    <row r="5">
      <c r="A5" s="541" t="n"/>
      <c r="B5" s="488" t="inlineStr">
        <is>
          <t>ESRS 2 – INFORMATIONS GÉNÉRALES (Transversal – Obligatoire)</t>
        </is>
      </c>
    </row>
    <row r="6">
      <c r="A6" s="541" t="n"/>
      <c r="B6" s="543" t="inlineStr">
        <is>
          <t>Référence ESRS</t>
        </is>
      </c>
      <c r="C6" s="543" t="inlineStr">
        <is>
          <t>Exigence</t>
        </is>
      </c>
      <c r="D6" s="543" t="inlineStr">
        <is>
          <t>Réponse / Données 2025</t>
        </is>
      </c>
    </row>
    <row r="7">
      <c r="A7" s="541" t="n"/>
      <c r="B7" s="63" t="inlineStr">
        <is>
          <t>GOV-1</t>
        </is>
      </c>
      <c r="C7" s="540" t="inlineStr">
        <is>
          <t>Rôle des organes d'administration</t>
        </is>
      </c>
      <c r="D7" s="540" t="inlineStr">
        <is>
          <t>CA a supervisé la stratégie ESG en 4 réunions dédiées en 2025</t>
        </is>
      </c>
    </row>
    <row r="8">
      <c r="A8" s="541" t="n"/>
      <c r="B8" s="64" t="inlineStr">
        <is>
          <t>GOV-2</t>
        </is>
      </c>
      <c r="C8" s="542" t="inlineStr">
        <is>
          <t>Information &amp; contrôle des risques ESG</t>
        </is>
      </c>
      <c r="D8" s="542" t="inlineStr">
        <is>
          <t>Comité RSE trimestriel – reporting direct au DG</t>
        </is>
      </c>
    </row>
    <row r="9">
      <c r="A9" s="541" t="n"/>
      <c r="B9" s="63" t="inlineStr">
        <is>
          <t>SBM-1</t>
        </is>
      </c>
      <c r="C9" s="540" t="inlineStr">
        <is>
          <t>Stratégie &amp; modèle d'affaires</t>
        </is>
      </c>
      <c r="D9" s="540" t="inlineStr">
        <is>
          <t>Transition énergétique intégrée dans plan stratégique 2025-2030</t>
        </is>
      </c>
    </row>
    <row r="10">
      <c r="A10" s="541" t="n"/>
      <c r="B10" s="64" t="inlineStr">
        <is>
          <t>IRO-1</t>
        </is>
      </c>
      <c r="C10" s="542" t="inlineStr">
        <is>
          <t>Impacts, risques &amp; opportunités</t>
        </is>
      </c>
      <c r="D10" s="542" t="inlineStr">
        <is>
          <t>Double matérialité réalisée – 18 enjeux identifiés</t>
        </is>
      </c>
    </row>
    <row r="11">
      <c r="A11" s="541" t="n"/>
      <c r="B11" s="541" t="n"/>
      <c r="C11" s="541" t="n"/>
      <c r="D11" s="541" t="n"/>
      <c r="E11" s="541" t="n"/>
      <c r="F11" s="541" t="n"/>
      <c r="G11" s="541" t="n"/>
      <c r="H11" s="541" t="n"/>
    </row>
    <row r="12">
      <c r="A12" s="541" t="n"/>
      <c r="B12" s="537" t="inlineStr">
        <is>
          <t>E1 – CHANGEMENT CLIMATIQUE</t>
        </is>
      </c>
    </row>
    <row r="13">
      <c r="A13" s="541" t="n"/>
      <c r="B13" s="543" t="inlineStr">
        <is>
          <t>Référence ESRS</t>
        </is>
      </c>
      <c r="C13" s="543" t="inlineStr">
        <is>
          <t>Exigence</t>
        </is>
      </c>
      <c r="D13" s="543" t="inlineStr">
        <is>
          <t>Réponse / Données 2025</t>
        </is>
      </c>
    </row>
    <row r="14">
      <c r="A14" s="541" t="n"/>
      <c r="B14" s="64" t="inlineStr">
        <is>
          <t>E1-1</t>
        </is>
      </c>
      <c r="C14" s="542" t="inlineStr">
        <is>
          <t>Plan de transition climatique</t>
        </is>
      </c>
      <c r="D14" s="542" t="inlineStr">
        <is>
          <t>Objectif Net Zéro 2045 · -50% scope 1+2 d'ici 2030 (base 2020)</t>
        </is>
      </c>
    </row>
    <row r="15">
      <c r="A15" s="541" t="n"/>
      <c r="B15" s="63" t="inlineStr">
        <is>
          <t>E1-4</t>
        </is>
      </c>
      <c r="C15" s="540" t="inlineStr">
        <is>
          <t>Cibles réduction GES</t>
        </is>
      </c>
      <c r="D15" s="540" t="inlineStr">
        <is>
          <t>Scope 1+2: -50% en 2030 · Scope 3: -30% en 2030 vs 2020</t>
        </is>
      </c>
    </row>
    <row r="16">
      <c r="A16" s="541" t="n"/>
      <c r="B16" s="64" t="inlineStr">
        <is>
          <t>E1-6</t>
        </is>
      </c>
      <c r="C16" s="542" t="inlineStr">
        <is>
          <t>Émissions GES brutes Scope 1+2</t>
        </is>
      </c>
      <c r="D16" s="542" t="inlineStr">
        <is>
          <t>106 200 tCO₂eq (Scope 1: 68 500 · Scope 2: 37 700)</t>
        </is>
      </c>
    </row>
    <row r="17">
      <c r="A17" s="541" t="n"/>
      <c r="B17" s="63" t="inlineStr">
        <is>
          <t>E1-6</t>
        </is>
      </c>
      <c r="C17" s="540" t="inlineStr">
        <is>
          <t>Émissions GES Scope 3</t>
        </is>
      </c>
      <c r="D17" s="540" t="inlineStr">
        <is>
          <t>512 000 tCO₂eq – catégories 1,4,11 les plus significatives</t>
        </is>
      </c>
    </row>
    <row r="18">
      <c r="A18" s="541" t="n"/>
      <c r="B18" s="64" t="inlineStr">
        <is>
          <t>E1-7</t>
        </is>
      </c>
      <c r="C18" s="542" t="inlineStr">
        <is>
          <t>Absorptions GES</t>
        </is>
      </c>
      <c r="D18" s="542" t="inlineStr">
        <is>
          <t>8 400 tCO₂eq (projets forestiers certifiés Gold Standard)</t>
        </is>
      </c>
    </row>
    <row r="19">
      <c r="A19" s="541" t="n"/>
      <c r="B19" s="63" t="inlineStr">
        <is>
          <t>E1-8</t>
        </is>
      </c>
      <c r="C19" s="540" t="inlineStr">
        <is>
          <t>Prix interne du carbone</t>
        </is>
      </c>
      <c r="D19" s="540" t="inlineStr">
        <is>
          <t>35 €/tCO₂ (utilisé pour décisions investissement)</t>
        </is>
      </c>
    </row>
    <row r="20">
      <c r="A20" s="541" t="n"/>
      <c r="B20" s="64" t="inlineStr">
        <is>
          <t>E1-9</t>
        </is>
      </c>
      <c r="C20" s="542" t="inlineStr">
        <is>
          <t>Exposition risques climatiques physiques</t>
        </is>
      </c>
      <c r="D20" s="542" t="inlineStr">
        <is>
          <t>Risque inondations sites DE &amp; US · évaluation actuarielle</t>
        </is>
      </c>
    </row>
    <row r="21">
      <c r="A21" s="541" t="n"/>
      <c r="B21" s="541" t="n"/>
      <c r="C21" s="541" t="n"/>
      <c r="D21" s="541" t="n"/>
      <c r="E21" s="541" t="n"/>
      <c r="F21" s="541" t="n"/>
      <c r="G21" s="541" t="n"/>
      <c r="H21" s="541" t="n"/>
    </row>
    <row r="22">
      <c r="A22" s="541" t="n"/>
      <c r="B22" s="537" t="inlineStr">
        <is>
          <t>E2 – POLLUTION</t>
        </is>
      </c>
    </row>
    <row r="23">
      <c r="A23" s="541" t="n"/>
      <c r="B23" s="543" t="inlineStr">
        <is>
          <t>Référence ESRS</t>
        </is>
      </c>
      <c r="C23" s="543" t="inlineStr">
        <is>
          <t>Exigence</t>
        </is>
      </c>
      <c r="D23" s="543" t="inlineStr">
        <is>
          <t>Réponse / Données 2025</t>
        </is>
      </c>
    </row>
    <row r="24">
      <c r="A24" s="541" t="n"/>
      <c r="B24" s="64" t="inlineStr">
        <is>
          <t>E2-4</t>
        </is>
      </c>
      <c r="C24" s="542" t="inlineStr">
        <is>
          <t>Émissions polluantes air/eau/sol</t>
        </is>
      </c>
      <c r="D24" s="542" t="inlineStr">
        <is>
          <t>Conformité réglementaire totale – aucun dépassement en 2025</t>
        </is>
      </c>
    </row>
    <row r="25">
      <c r="A25" s="541" t="n"/>
      <c r="B25" s="63" t="inlineStr">
        <is>
          <t>E2-8</t>
        </is>
      </c>
      <c r="C25" s="540" t="inlineStr">
        <is>
          <t>Production déchets &amp; valorisation</t>
        </is>
      </c>
      <c r="D25" s="540" t="inlineStr">
        <is>
          <t>7 450 t déchets produits · 71% valorisés (recyclage + énergie)</t>
        </is>
      </c>
    </row>
    <row r="26">
      <c r="A26" s="541" t="n"/>
      <c r="B26" s="541" t="n"/>
      <c r="C26" s="541" t="n"/>
      <c r="D26" s="541" t="n"/>
      <c r="E26" s="541" t="n"/>
      <c r="F26" s="541" t="n"/>
      <c r="G26" s="541" t="n"/>
      <c r="H26" s="541" t="n"/>
    </row>
    <row r="27">
      <c r="A27" s="541" t="n"/>
      <c r="B27" s="538" t="inlineStr">
        <is>
          <t>S1 – PROPRES EFFECTIFS</t>
        </is>
      </c>
    </row>
    <row r="28">
      <c r="A28" s="541" t="n"/>
      <c r="B28" s="543" t="inlineStr">
        <is>
          <t>Référence ESRS</t>
        </is>
      </c>
      <c r="C28" s="543" t="inlineStr">
        <is>
          <t>Exigence</t>
        </is>
      </c>
      <c r="D28" s="543" t="inlineStr">
        <is>
          <t>Réponse / Données 2025</t>
        </is>
      </c>
    </row>
    <row r="29">
      <c r="A29" s="541" t="n"/>
      <c r="B29" s="63" t="inlineStr">
        <is>
          <t>S1-6</t>
        </is>
      </c>
      <c r="C29" s="540" t="inlineStr">
        <is>
          <t>Caractéristiques de l'effectif</t>
        </is>
      </c>
      <c r="D29" s="540" t="inlineStr">
        <is>
          <t>7 270 ETP · 43% CDI · Présence dans 5 pays</t>
        </is>
      </c>
    </row>
    <row r="30">
      <c r="A30" s="541" t="n"/>
      <c r="B30" s="64" t="inlineStr">
        <is>
          <t>S1-9</t>
        </is>
      </c>
      <c r="C30" s="542" t="inlineStr">
        <is>
          <t>Diversité &amp; inclusion</t>
        </is>
      </c>
      <c r="D30" s="542" t="inlineStr">
        <is>
          <t>43% femmes total · 38% femmes dirigeants · Objectif 45% en 2028</t>
        </is>
      </c>
    </row>
    <row r="31">
      <c r="A31" s="541" t="n"/>
      <c r="B31" s="63" t="inlineStr">
        <is>
          <t>S1-11</t>
        </is>
      </c>
      <c r="C31" s="540" t="inlineStr">
        <is>
          <t>Santé &amp; sécurité</t>
        </is>
      </c>
      <c r="D31" s="540" t="inlineStr">
        <is>
          <t>TRIR consolidé: 2.6 · Objectif 2026: &lt; 2.0 · 0 accident mortel</t>
        </is>
      </c>
    </row>
    <row r="32">
      <c r="A32" s="541" t="n"/>
      <c r="B32" s="64" t="inlineStr">
        <is>
          <t>S1-13</t>
        </is>
      </c>
      <c r="C32" s="542" t="inlineStr">
        <is>
          <t>Formation &amp; développement</t>
        </is>
      </c>
      <c r="D32" s="542" t="inlineStr">
        <is>
          <t>46h/emp/an · Budget formation: 2.8 M€ · Plan développement RH</t>
        </is>
      </c>
    </row>
    <row r="33">
      <c r="A33" s="541" t="n"/>
      <c r="B33" s="63" t="inlineStr">
        <is>
          <t>S1-16</t>
        </is>
      </c>
      <c r="C33" s="540" t="inlineStr">
        <is>
          <t>Rémunération équitable</t>
        </is>
      </c>
      <c r="D33" s="540" t="inlineStr">
        <is>
          <t>Écart salarial H/F: -12% · Plan égalité salariale d'ici 2027</t>
        </is>
      </c>
    </row>
    <row r="34">
      <c r="A34" s="541" t="n"/>
      <c r="B34" s="541" t="n"/>
      <c r="C34" s="541" t="n"/>
      <c r="D34" s="541" t="n"/>
      <c r="E34" s="541" t="n"/>
      <c r="F34" s="541" t="n"/>
      <c r="G34" s="541" t="n"/>
      <c r="H34" s="541" t="n"/>
    </row>
    <row r="35">
      <c r="A35" s="541" t="n"/>
      <c r="B35" s="539" t="inlineStr">
        <is>
          <t>G1 – CONDUITE DES AFFAIRES</t>
        </is>
      </c>
    </row>
    <row r="36">
      <c r="A36" s="541" t="n"/>
      <c r="B36" s="543" t="inlineStr">
        <is>
          <t>Référence ESRS</t>
        </is>
      </c>
      <c r="C36" s="543" t="inlineStr">
        <is>
          <t>Exigence</t>
        </is>
      </c>
      <c r="D36" s="543" t="inlineStr">
        <is>
          <t>Réponse / Données 2025</t>
        </is>
      </c>
    </row>
    <row r="37">
      <c r="A37" s="541" t="n"/>
      <c r="B37" s="63" t="inlineStr">
        <is>
          <t>G1-1</t>
        </is>
      </c>
      <c r="C37" s="540" t="inlineStr">
        <is>
          <t>Culture d'entreprise &amp; éthique</t>
        </is>
      </c>
      <c r="D37" s="540" t="inlineStr">
        <is>
          <t>Code éthique publié · Formation obligatoire 100% collaborateurs</t>
        </is>
      </c>
    </row>
    <row r="38">
      <c r="A38" s="541" t="n"/>
      <c r="B38" s="64" t="inlineStr">
        <is>
          <t>G1-2</t>
        </is>
      </c>
      <c r="C38" s="542" t="inlineStr">
        <is>
          <t>Gestion des relations fournisseurs</t>
        </is>
      </c>
      <c r="D38" s="542" t="inlineStr">
        <is>
          <t>68% fournisseurs (par achats) évalués sur critères ESG</t>
        </is>
      </c>
    </row>
    <row r="39">
      <c r="A39" s="541" t="n"/>
      <c r="B39" s="63" t="inlineStr">
        <is>
          <t>G1-3</t>
        </is>
      </c>
      <c r="C39" s="540" t="inlineStr">
        <is>
          <t>Prévention corruption &amp; corruption active</t>
        </is>
      </c>
      <c r="D39" s="540" t="inlineStr">
        <is>
          <t>2 incidents traités · Ligne alerte externe indépendante active</t>
        </is>
      </c>
    </row>
    <row r="40">
      <c r="A40" s="541" t="n"/>
      <c r="B40" s="64" t="inlineStr">
        <is>
          <t>G1-6</t>
        </is>
      </c>
      <c r="C40" s="542" t="inlineStr">
        <is>
          <t>Pratiques fiscales</t>
        </is>
      </c>
      <c r="D40" s="542" t="inlineStr">
        <is>
          <t>CbCR OCDE publié · ETR: 31.2% · Pas de structure d'optimisation agressive</t>
        </is>
      </c>
    </row>
    <row r="41">
      <c r="A41" s="541" t="n"/>
      <c r="B41" s="541" t="n"/>
      <c r="C41" s="541" t="n"/>
      <c r="D41" s="541" t="n"/>
      <c r="E41" s="541" t="n"/>
      <c r="F41" s="541" t="n"/>
      <c r="G41" s="541" t="n"/>
      <c r="H41" s="541" t="n"/>
    </row>
    <row r="42">
      <c r="A42" s="541" t="n"/>
      <c r="B42" s="541" t="n"/>
      <c r="C42" s="541" t="n"/>
      <c r="D42" s="541" t="n"/>
      <c r="E42" s="541" t="n"/>
      <c r="F42" s="541" t="n"/>
      <c r="G42" s="541" t="n"/>
      <c r="H42" s="541" t="n"/>
    </row>
    <row r="43">
      <c r="A43" s="541" t="n"/>
      <c r="B43" s="541" t="n"/>
      <c r="C43" s="541" t="n"/>
      <c r="D43" s="541" t="n"/>
      <c r="E43" s="541" t="n"/>
      <c r="F43" s="541" t="n"/>
      <c r="G43" s="541" t="n"/>
      <c r="H43" s="541" t="n"/>
    </row>
    <row r="44">
      <c r="A44" s="541" t="n"/>
      <c r="B44" s="541" t="n"/>
      <c r="C44" s="541" t="n"/>
      <c r="D44" s="541" t="n"/>
      <c r="E44" s="541" t="n"/>
      <c r="F44" s="541" t="n"/>
      <c r="G44" s="541" t="n"/>
      <c r="H44" s="541" t="n"/>
    </row>
    <row r="45">
      <c r="A45" s="541" t="n"/>
      <c r="B45" s="541" t="n"/>
      <c r="C45" s="541" t="n"/>
      <c r="D45" s="541" t="n"/>
      <c r="E45" s="541" t="n"/>
      <c r="F45" s="541" t="n"/>
      <c r="G45" s="541" t="n"/>
      <c r="H45" s="541" t="n"/>
    </row>
    <row r="46">
      <c r="A46" s="541" t="n"/>
      <c r="B46" s="541" t="n"/>
      <c r="C46" s="541" t="n"/>
      <c r="D46" s="541" t="n"/>
      <c r="E46" s="541" t="n"/>
      <c r="F46" s="541" t="n"/>
      <c r="G46" s="541" t="n"/>
      <c r="H46" s="541" t="n"/>
    </row>
    <row r="47">
      <c r="A47" s="541" t="n"/>
      <c r="B47" s="541" t="n"/>
      <c r="C47" s="541" t="n"/>
      <c r="D47" s="541" t="n"/>
      <c r="E47" s="541" t="n"/>
      <c r="F47" s="541" t="n"/>
      <c r="G47" s="541" t="n"/>
      <c r="H47" s="541" t="n"/>
    </row>
    <row r="48">
      <c r="A48" s="541" t="n"/>
      <c r="B48" s="541" t="n"/>
      <c r="C48" s="541" t="n"/>
      <c r="D48" s="541" t="n"/>
      <c r="E48" s="541" t="n"/>
      <c r="F48" s="541" t="n"/>
      <c r="G48" s="541" t="n"/>
      <c r="H48" s="541" t="n"/>
    </row>
    <row r="49">
      <c r="A49" s="541" t="n"/>
      <c r="B49" s="541" t="n"/>
      <c r="C49" s="541" t="n"/>
      <c r="D49" s="541" t="n"/>
      <c r="E49" s="541" t="n"/>
      <c r="F49" s="541" t="n"/>
      <c r="G49" s="541" t="n"/>
      <c r="H49" s="541" t="n"/>
    </row>
    <row r="50">
      <c r="A50" s="541" t="n"/>
      <c r="B50" s="541" t="n"/>
      <c r="C50" s="541" t="n"/>
      <c r="D50" s="541" t="n"/>
      <c r="E50" s="541" t="n"/>
      <c r="F50" s="541" t="n"/>
      <c r="G50" s="541" t="n"/>
      <c r="H50" s="541" t="n"/>
    </row>
    <row r="51">
      <c r="A51" s="541" t="n"/>
      <c r="B51" s="541" t="n"/>
      <c r="C51" s="541" t="n"/>
      <c r="D51" s="541" t="n"/>
      <c r="E51" s="541" t="n"/>
      <c r="F51" s="541" t="n"/>
      <c r="G51" s="541" t="n"/>
      <c r="H51" s="541" t="n"/>
    </row>
    <row r="52">
      <c r="A52" s="541" t="n"/>
      <c r="B52" s="541" t="n"/>
      <c r="C52" s="541" t="n"/>
      <c r="D52" s="541" t="n"/>
      <c r="E52" s="541" t="n"/>
      <c r="F52" s="541" t="n"/>
      <c r="G52" s="541" t="n"/>
      <c r="H52" s="541" t="n"/>
    </row>
    <row r="53">
      <c r="A53" s="541" t="n"/>
      <c r="B53" s="541" t="n"/>
      <c r="C53" s="541" t="n"/>
      <c r="D53" s="541" t="n"/>
      <c r="E53" s="541" t="n"/>
      <c r="F53" s="541" t="n"/>
      <c r="G53" s="541" t="n"/>
      <c r="H53" s="541" t="n"/>
    </row>
    <row r="54">
      <c r="A54" s="541" t="n"/>
      <c r="B54" s="541" t="n"/>
      <c r="C54" s="541" t="n"/>
      <c r="D54" s="541" t="n"/>
      <c r="E54" s="541" t="n"/>
      <c r="F54" s="541" t="n"/>
      <c r="G54" s="541" t="n"/>
      <c r="H54" s="541" t="n"/>
    </row>
    <row r="55">
      <c r="A55" s="541" t="n"/>
      <c r="B55" s="541" t="n"/>
      <c r="C55" s="541" t="n"/>
      <c r="D55" s="541" t="n"/>
      <c r="E55" s="541" t="n"/>
      <c r="F55" s="541" t="n"/>
      <c r="G55" s="541" t="n"/>
      <c r="H55" s="541" t="n"/>
    </row>
    <row r="56">
      <c r="A56" s="541" t="n"/>
      <c r="B56" s="541" t="n"/>
      <c r="C56" s="541" t="n"/>
      <c r="D56" s="541" t="n"/>
      <c r="E56" s="541" t="n"/>
      <c r="F56" s="541" t="n"/>
      <c r="G56" s="541" t="n"/>
      <c r="H56" s="541" t="n"/>
    </row>
    <row r="57">
      <c r="A57" s="541" t="n"/>
      <c r="B57" s="541" t="n"/>
      <c r="C57" s="541" t="n"/>
      <c r="D57" s="541" t="n"/>
      <c r="E57" s="541" t="n"/>
      <c r="F57" s="541" t="n"/>
      <c r="G57" s="541" t="n"/>
      <c r="H57" s="541" t="n"/>
    </row>
    <row r="58">
      <c r="A58" s="541" t="n"/>
      <c r="B58" s="541" t="n"/>
      <c r="C58" s="541" t="n"/>
      <c r="D58" s="541" t="n"/>
      <c r="E58" s="541" t="n"/>
      <c r="F58" s="541" t="n"/>
      <c r="G58" s="541" t="n"/>
      <c r="H58" s="541" t="n"/>
    </row>
    <row r="59">
      <c r="A59" s="541" t="n"/>
      <c r="B59" s="541" t="n"/>
      <c r="C59" s="541" t="n"/>
      <c r="D59" s="541" t="n"/>
      <c r="E59" s="541" t="n"/>
      <c r="F59" s="541" t="n"/>
      <c r="G59" s="541" t="n"/>
      <c r="H59" s="541" t="n"/>
    </row>
    <row r="60">
      <c r="A60" s="541" t="n"/>
      <c r="B60" s="541" t="n"/>
      <c r="C60" s="541" t="n"/>
      <c r="D60" s="541" t="n"/>
      <c r="E60" s="541" t="n"/>
      <c r="F60" s="541" t="n"/>
      <c r="G60" s="541" t="n"/>
      <c r="H60" s="541" t="n"/>
    </row>
    <row r="61">
      <c r="A61" s="541" t="n"/>
      <c r="B61" s="541" t="n"/>
      <c r="C61" s="541" t="n"/>
      <c r="D61" s="541" t="n"/>
      <c r="E61" s="541" t="n"/>
      <c r="F61" s="541" t="n"/>
      <c r="G61" s="541" t="n"/>
      <c r="H61" s="541" t="n"/>
    </row>
    <row r="62">
      <c r="A62" s="541" t="n"/>
      <c r="B62" s="541" t="n"/>
      <c r="C62" s="541" t="n"/>
      <c r="D62" s="541" t="n"/>
      <c r="E62" s="541" t="n"/>
      <c r="F62" s="541" t="n"/>
      <c r="G62" s="541" t="n"/>
      <c r="H62" s="541" t="n"/>
    </row>
    <row r="63">
      <c r="A63" s="541" t="n"/>
      <c r="B63" s="541" t="n"/>
      <c r="C63" s="541" t="n"/>
      <c r="D63" s="541" t="n"/>
      <c r="E63" s="541" t="n"/>
      <c r="F63" s="541" t="n"/>
      <c r="G63" s="541" t="n"/>
      <c r="H63" s="541" t="n"/>
    </row>
    <row r="64">
      <c r="A64" s="541" t="n"/>
      <c r="B64" s="541" t="n"/>
      <c r="C64" s="541" t="n"/>
      <c r="D64" s="541" t="n"/>
      <c r="E64" s="541" t="n"/>
      <c r="F64" s="541" t="n"/>
      <c r="G64" s="541" t="n"/>
      <c r="H64" s="541" t="n"/>
    </row>
    <row r="65">
      <c r="A65" s="541" t="n"/>
      <c r="B65" s="541" t="n"/>
      <c r="C65" s="541" t="n"/>
      <c r="D65" s="541" t="n"/>
      <c r="E65" s="541" t="n"/>
      <c r="F65" s="541" t="n"/>
      <c r="G65" s="541" t="n"/>
      <c r="H65" s="541" t="n"/>
    </row>
    <row r="66">
      <c r="A66" s="541" t="n"/>
      <c r="B66" s="541" t="n"/>
      <c r="C66" s="541" t="n"/>
      <c r="D66" s="541" t="n"/>
      <c r="E66" s="541" t="n"/>
      <c r="F66" s="541" t="n"/>
      <c r="G66" s="541" t="n"/>
      <c r="H66" s="541" t="n"/>
    </row>
    <row r="67">
      <c r="A67" s="541" t="n"/>
      <c r="B67" s="541" t="n"/>
      <c r="C67" s="541" t="n"/>
      <c r="D67" s="541" t="n"/>
      <c r="E67" s="541" t="n"/>
      <c r="F67" s="541" t="n"/>
      <c r="G67" s="541" t="n"/>
      <c r="H67" s="541" t="n"/>
    </row>
    <row r="68">
      <c r="A68" s="541" t="n"/>
      <c r="B68" s="541" t="n"/>
      <c r="C68" s="541" t="n"/>
      <c r="D68" s="541" t="n"/>
      <c r="E68" s="541" t="n"/>
      <c r="F68" s="541" t="n"/>
      <c r="G68" s="541" t="n"/>
      <c r="H68" s="541" t="n"/>
    </row>
    <row r="69">
      <c r="A69" s="541" t="n"/>
      <c r="B69" s="541" t="n"/>
      <c r="C69" s="541" t="n"/>
      <c r="D69" s="541" t="n"/>
      <c r="E69" s="541" t="n"/>
      <c r="F69" s="541" t="n"/>
      <c r="G69" s="541" t="n"/>
      <c r="H69" s="541" t="n"/>
    </row>
    <row r="70">
      <c r="A70" s="541" t="n"/>
      <c r="B70" s="541" t="n"/>
      <c r="C70" s="541" t="n"/>
      <c r="D70" s="541" t="n"/>
      <c r="E70" s="541" t="n"/>
      <c r="F70" s="541" t="n"/>
      <c r="G70" s="541" t="n"/>
      <c r="H70" s="541" t="n"/>
    </row>
    <row r="71">
      <c r="A71" s="541" t="n"/>
      <c r="B71" s="541" t="n"/>
      <c r="C71" s="541" t="n"/>
      <c r="D71" s="541" t="n"/>
      <c r="E71" s="541" t="n"/>
      <c r="F71" s="541" t="n"/>
      <c r="G71" s="541" t="n"/>
      <c r="H71" s="541" t="n"/>
    </row>
    <row r="72">
      <c r="A72" s="541" t="n"/>
      <c r="B72" s="541" t="n"/>
      <c r="C72" s="541" t="n"/>
      <c r="D72" s="541" t="n"/>
      <c r="E72" s="541" t="n"/>
      <c r="F72" s="541" t="n"/>
      <c r="G72" s="541" t="n"/>
      <c r="H72" s="541" t="n"/>
    </row>
    <row r="73">
      <c r="A73" s="541" t="n"/>
      <c r="B73" s="541" t="n"/>
      <c r="C73" s="541" t="n"/>
      <c r="D73" s="541" t="n"/>
      <c r="E73" s="541" t="n"/>
      <c r="F73" s="541" t="n"/>
      <c r="G73" s="541" t="n"/>
      <c r="H73" s="541" t="n"/>
    </row>
    <row r="74">
      <c r="A74" s="541" t="n"/>
      <c r="B74" s="541" t="n"/>
      <c r="C74" s="541" t="n"/>
      <c r="D74" s="541" t="n"/>
      <c r="E74" s="541" t="n"/>
      <c r="F74" s="541" t="n"/>
      <c r="G74" s="541" t="n"/>
      <c r="H74" s="541" t="n"/>
    </row>
    <row r="75">
      <c r="A75" s="541" t="n"/>
      <c r="B75" s="541" t="n"/>
      <c r="C75" s="541" t="n"/>
      <c r="D75" s="541" t="n"/>
      <c r="E75" s="541" t="n"/>
      <c r="F75" s="541" t="n"/>
      <c r="G75" s="541" t="n"/>
      <c r="H75" s="541" t="n"/>
    </row>
    <row r="76">
      <c r="A76" s="541" t="n"/>
      <c r="B76" s="541" t="n"/>
      <c r="C76" s="541" t="n"/>
      <c r="D76" s="541" t="n"/>
      <c r="E76" s="541" t="n"/>
      <c r="F76" s="541" t="n"/>
      <c r="G76" s="541" t="n"/>
      <c r="H76" s="541" t="n"/>
    </row>
    <row r="77">
      <c r="A77" s="541" t="n"/>
      <c r="B77" s="541" t="n"/>
      <c r="C77" s="541" t="n"/>
      <c r="D77" s="541" t="n"/>
      <c r="E77" s="541" t="n"/>
      <c r="F77" s="541" t="n"/>
      <c r="G77" s="541" t="n"/>
      <c r="H77" s="541" t="n"/>
    </row>
    <row r="78">
      <c r="A78" s="541" t="n"/>
      <c r="B78" s="541" t="n"/>
      <c r="C78" s="541" t="n"/>
      <c r="D78" s="541" t="n"/>
      <c r="E78" s="541" t="n"/>
      <c r="F78" s="541" t="n"/>
      <c r="G78" s="541" t="n"/>
      <c r="H78" s="541" t="n"/>
    </row>
    <row r="79">
      <c r="A79" s="541" t="n"/>
      <c r="B79" s="541" t="n"/>
      <c r="C79" s="541" t="n"/>
      <c r="D79" s="541" t="n"/>
      <c r="E79" s="541" t="n"/>
      <c r="F79" s="541" t="n"/>
      <c r="G79" s="541" t="n"/>
      <c r="H79" s="541" t="n"/>
    </row>
    <row r="80">
      <c r="A80" s="541" t="n"/>
      <c r="B80" s="541" t="n"/>
      <c r="C80" s="541" t="n"/>
      <c r="D80" s="541" t="n"/>
      <c r="E80" s="541" t="n"/>
      <c r="F80" s="541" t="n"/>
      <c r="G80" s="541" t="n"/>
      <c r="H80" s="541" t="n"/>
    </row>
  </sheetData>
  <mergeCells count="34">
    <mergeCell ref="D20:H20"/>
    <mergeCell ref="D10:H10"/>
    <mergeCell ref="D19:H19"/>
    <mergeCell ref="D31:H31"/>
    <mergeCell ref="B5:H5"/>
    <mergeCell ref="D40:H40"/>
    <mergeCell ref="D36:H36"/>
    <mergeCell ref="D6:H6"/>
    <mergeCell ref="B35:H35"/>
    <mergeCell ref="D13:H13"/>
    <mergeCell ref="D32:H32"/>
    <mergeCell ref="B3:H3"/>
    <mergeCell ref="D17:H17"/>
    <mergeCell ref="B22:H22"/>
    <mergeCell ref="D7:H7"/>
    <mergeCell ref="D16:H16"/>
    <mergeCell ref="B27:H27"/>
    <mergeCell ref="B12:H12"/>
    <mergeCell ref="D28:H28"/>
    <mergeCell ref="B2:H2"/>
    <mergeCell ref="D37:H37"/>
    <mergeCell ref="D18:H18"/>
    <mergeCell ref="D9:H9"/>
    <mergeCell ref="D39:H39"/>
    <mergeCell ref="D8:H8"/>
    <mergeCell ref="D25:H25"/>
    <mergeCell ref="D15:H15"/>
    <mergeCell ref="D30:H30"/>
    <mergeCell ref="D24:H24"/>
    <mergeCell ref="D33:H33"/>
    <mergeCell ref="D29:H29"/>
    <mergeCell ref="D23:H23"/>
    <mergeCell ref="D38:H38"/>
    <mergeCell ref="D14:H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E67E22"/>
    <outlinePr summaryBelow="1" summaryRight="1"/>
    <pageSetUpPr/>
  </sheetPr>
  <dimension ref="A1:S60"/>
  <sheetViews>
    <sheetView workbookViewId="0">
      <selection activeCell="H5" sqref="H5:I5"/>
    </sheetView>
  </sheetViews>
  <sheetFormatPr baseColWidth="10" defaultRowHeight="15"/>
  <cols>
    <col width="3.85546875" customWidth="1" style="500" min="1" max="1"/>
    <col width="38.140625" customWidth="1" style="500" min="2" max="2"/>
    <col width="18.140625" customWidth="1" style="500" min="3" max="6"/>
    <col width="32.5703125" customWidth="1" style="500" min="7" max="7"/>
    <col width="30.5703125" customWidth="1" style="500" min="8" max="8"/>
    <col width="19" customWidth="1" style="500" min="9" max="18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</row>
    <row r="2" ht="24" customHeight="1" s="500">
      <c r="A2" s="47" t="n"/>
      <c r="B2" s="545" t="inlineStr">
        <is>
          <t>📊  DASHBOARD FINANCIER – GROUPE MULTINATIONAL · Exercice 2025-2026</t>
        </is>
      </c>
      <c r="S2" s="47" t="n"/>
    </row>
    <row r="3">
      <c r="A3" s="47" t="n"/>
      <c r="B3" s="546" t="inlineStr">
        <is>
          <t>Consolidé IFRS 18 · 5 entités · Données en k€ · ↻ Automatique (liée à CONSOL_CR &amp; CONSOL_BILAN)</t>
        </is>
      </c>
      <c r="S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</row>
    <row r="5">
      <c r="A5" s="47" t="n"/>
      <c r="B5" s="905" t="inlineStr">
        <is>
          <t>CHIFFRE D'AFFAIRES</t>
        </is>
      </c>
      <c r="D5" s="47" t="n"/>
      <c r="E5" s="903" t="inlineStr">
        <is>
          <t>EBIT OPÉRATIONNEL</t>
        </is>
      </c>
      <c r="G5" s="47" t="n"/>
      <c r="H5" s="908" t="inlineStr">
        <is>
          <t>MARGE EBIT</t>
        </is>
      </c>
      <c r="J5" s="47" t="n"/>
      <c r="K5" s="913" t="inlineStr">
        <is>
          <t>RÉSULTAT NET GROUPE</t>
        </is>
      </c>
      <c r="M5" s="47" t="n"/>
      <c r="N5" s="918" t="inlineStr">
        <is>
          <t>TRÉSORERIE CLÔTURE</t>
        </is>
      </c>
      <c r="P5" s="47" t="n"/>
      <c r="Q5" s="47" t="n"/>
      <c r="R5" s="47" t="n"/>
      <c r="S5" s="47" t="n"/>
    </row>
    <row r="6" ht="24" customHeight="1" s="500">
      <c r="A6" s="47" t="n"/>
      <c r="B6" s="1046">
        <f>CONSOL_CR!K7</f>
        <v/>
      </c>
      <c r="D6" s="47" t="n"/>
      <c r="E6" s="1047">
        <f>CONSOL_CR!K14</f>
        <v/>
      </c>
      <c r="G6" s="47" t="n"/>
      <c r="H6" s="909">
        <f>IFERROR(CONSOL_CR!K14/CONSOL_CR!K7,0)</f>
        <v/>
      </c>
      <c r="J6" s="47" t="n"/>
      <c r="K6" s="1048">
        <f>CONSOL_CR!K30</f>
        <v/>
      </c>
      <c r="M6" s="47" t="n"/>
      <c r="N6" s="1049">
        <f>CONSOL_TRESORERIE!C28</f>
        <v/>
      </c>
      <c r="P6" s="47" t="n"/>
      <c r="Q6" s="47" t="n"/>
      <c r="R6" s="47" t="n"/>
      <c r="S6" s="47" t="n"/>
    </row>
    <row r="7">
      <c r="A7" s="47" t="n"/>
      <c r="B7" s="907" t="inlineStr">
        <is>
          <t>Groupe consolidé N-2025</t>
        </is>
      </c>
      <c r="D7" s="47" t="n"/>
      <c r="E7" s="904" t="inlineStr">
        <is>
          <t>Résultat opérationnel IFRS 18</t>
        </is>
      </c>
      <c r="G7" s="47" t="n"/>
      <c r="H7" s="910" t="inlineStr">
        <is>
          <t>% du CA consolidé</t>
        </is>
      </c>
      <c r="J7" s="47" t="n"/>
      <c r="K7" s="915" t="inlineStr">
        <is>
          <t>Après impôts &amp; NCI</t>
        </is>
      </c>
      <c r="M7" s="47" t="n"/>
      <c r="N7" s="920" t="inlineStr">
        <is>
          <t>IAS 7 · 31/12/2025</t>
        </is>
      </c>
      <c r="P7" s="47" t="n"/>
      <c r="Q7" s="47" t="n"/>
      <c r="R7" s="47" t="n"/>
      <c r="S7" s="47" t="n"/>
    </row>
    <row r="8">
      <c r="A8" s="47" t="n"/>
      <c r="D8" s="47" t="n"/>
      <c r="G8" s="47" t="n"/>
      <c r="J8" s="47" t="n"/>
      <c r="M8" s="47" t="n"/>
      <c r="P8" s="47" t="n"/>
      <c r="Q8" s="47" t="n"/>
      <c r="R8" s="47" t="n"/>
      <c r="S8" s="47" t="n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</row>
    <row r="10">
      <c r="A10" s="47" t="n"/>
      <c r="B10" s="925" t="inlineStr">
        <is>
          <t>EBITDA</t>
        </is>
      </c>
      <c r="D10" s="47" t="n"/>
      <c r="E10" s="926" t="inlineStr">
        <is>
          <t>MARGE EBITDA</t>
        </is>
      </c>
      <c r="G10" s="47" t="n"/>
      <c r="H10" s="911" t="inlineStr">
        <is>
          <t>CAPEX (INVEST.)</t>
        </is>
      </c>
      <c r="J10" s="47" t="n"/>
      <c r="K10" s="916" t="inlineStr">
        <is>
          <t>DETTE NETTE</t>
        </is>
      </c>
      <c r="M10" s="47" t="n"/>
      <c r="N10" s="921" t="inlineStr">
        <is>
          <t>PROF. AVT FIN. &amp; IMPÔT (IFRS 18)</t>
        </is>
      </c>
      <c r="P10" s="47" t="n"/>
      <c r="Q10" s="47" t="n"/>
      <c r="R10" s="47" t="n"/>
      <c r="S10" s="47" t="n"/>
    </row>
    <row r="11" ht="18.75" customHeight="1" s="500">
      <c r="A11" s="47" t="n"/>
      <c r="B11" s="1050">
        <f>CONSOL_CR!K14-CONSOL_CR!K12</f>
        <v/>
      </c>
      <c r="D11" s="47" t="n"/>
      <c r="E11" s="927">
        <f>IFERROR((CONSOL_CR!K14-CONSOL_CR!K12)/CONSOL_CR!K7,0)</f>
        <v/>
      </c>
      <c r="G11" s="47" t="n"/>
      <c r="H11" s="1051">
        <f>ABS(CONSOL_TRESORERIE!C14)</f>
        <v/>
      </c>
      <c r="J11" s="47" t="n"/>
      <c r="K11" s="1052">
        <f>CONSOL_BILAN!J30+CONSOL_BILAN!J37-CONSOL_BILAN!J18</f>
        <v/>
      </c>
      <c r="M11" s="47" t="n"/>
      <c r="N11" s="1053">
        <f>CONSOL_CR!K24</f>
        <v/>
      </c>
      <c r="P11" s="47" t="n"/>
      <c r="Q11" s="47" t="n"/>
      <c r="R11" s="47" t="n"/>
      <c r="S11" s="47" t="n"/>
    </row>
    <row r="12">
      <c r="A12" s="47" t="n"/>
      <c r="D12" s="47" t="n"/>
      <c r="G12" s="47" t="n"/>
      <c r="J12" s="47" t="n"/>
      <c r="M12" s="47" t="n"/>
      <c r="P12" s="47" t="n"/>
      <c r="Q12" s="47" t="n"/>
      <c r="R12" s="47" t="n"/>
      <c r="S12" s="47" t="n"/>
    </row>
    <row r="13">
      <c r="A13" s="47" t="n"/>
      <c r="B13" s="47" t="n"/>
      <c r="C13" s="47" t="n"/>
      <c r="D13" s="47" t="n"/>
      <c r="E13" s="923" t="inlineStr">
        <is>
          <t>Levier DN/EBITDA :</t>
        </is>
      </c>
      <c r="F13" s="1054">
        <f>IFERROR(K11/CONSOL_CR!C38,"")</f>
        <v/>
      </c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</row>
    <row r="14" ht="15.75" customHeight="1" s="500">
      <c r="A14" s="47" t="n"/>
      <c r="B14" s="547" t="inlineStr">
        <is>
          <t>CONTRIBUTION CA PAR ENTITÉ (PART DU CA GROUPE)</t>
        </is>
      </c>
      <c r="M14" s="47" t="n"/>
      <c r="N14" s="47" t="n"/>
      <c r="O14" s="47" t="n"/>
      <c r="P14" s="47" t="n"/>
      <c r="Q14" s="47" t="n"/>
      <c r="R14" s="47" t="n"/>
      <c r="S14" s="47" t="n"/>
    </row>
    <row r="15">
      <c r="A15" s="47" t="n"/>
      <c r="B15" s="543" t="inlineStr">
        <is>
          <t>Entité</t>
        </is>
      </c>
      <c r="C15" s="543" t="inlineStr">
        <is>
          <t>Devise</t>
        </is>
      </c>
      <c r="D15" s="543" t="inlineStr">
        <is>
          <t>CA Local</t>
        </is>
      </c>
      <c r="E15" s="543" t="inlineStr">
        <is>
          <t>CA en EUR k€</t>
        </is>
      </c>
      <c r="F15" s="543" t="inlineStr">
        <is>
          <t>% Groupe</t>
        </is>
      </c>
      <c r="G15" s="543" t="inlineStr">
        <is>
          <t>Marge EBIT %</t>
        </is>
      </c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</row>
    <row r="16">
      <c r="A16" s="47" t="n"/>
      <c r="B16" s="65" t="inlineStr">
        <is>
          <t>FR_ParentCo</t>
        </is>
      </c>
      <c r="C16" s="65" t="inlineStr">
        <is>
          <t>EUR</t>
        </is>
      </c>
      <c r="D16" s="652">
        <f>CONSOL_CR!D7</f>
        <v/>
      </c>
      <c r="E16" s="652">
        <f>CONSOL_CR!D7</f>
        <v/>
      </c>
      <c r="F16" s="68">
        <f>IFERROR(D16/CONSOL_CR!K7,0)</f>
        <v/>
      </c>
      <c r="G16" s="68">
        <f>IFERROR(CONSOL_CR!D14/CONSOL_CR!D7,0)</f>
        <v/>
      </c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</row>
    <row r="17">
      <c r="A17" s="47" t="n"/>
      <c r="B17" s="8" t="inlineStr">
        <is>
          <t>DE_Filiale</t>
        </is>
      </c>
      <c r="C17" s="8" t="inlineStr">
        <is>
          <t>EUR</t>
        </is>
      </c>
      <c r="D17" s="653">
        <f>CONSOL_CR!E7</f>
        <v/>
      </c>
      <c r="E17" s="653">
        <f>CONSOL_CR!E7</f>
        <v/>
      </c>
      <c r="F17" s="69">
        <f>IFERROR(D17/CONSOL_CR!K7,0)</f>
        <v/>
      </c>
      <c r="G17" s="69">
        <f>IFERROR(CONSOL_CR!E14/CONSOL_CR!E7,0)</f>
        <v/>
      </c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</row>
    <row r="18">
      <c r="A18" s="47" t="n"/>
      <c r="B18" s="65" t="inlineStr">
        <is>
          <t>UK_Filiale</t>
        </is>
      </c>
      <c r="C18" s="65" t="inlineStr">
        <is>
          <t>GBP→EUR</t>
        </is>
      </c>
      <c r="D18" s="652">
        <f>CONSOL_CR!F7/1.152</f>
        <v/>
      </c>
      <c r="E18" s="652">
        <f>CONSOL_CR!F7</f>
        <v/>
      </c>
      <c r="F18" s="68">
        <f>IFERROR(D18/CONSOL_CR!K7,0)</f>
        <v/>
      </c>
      <c r="G18" s="68">
        <f>IFERROR(CONSOL_CR!F14/CONSOL_CR!F7,0)</f>
        <v/>
      </c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</row>
    <row r="19">
      <c r="A19" s="47" t="n"/>
      <c r="B19" s="8" t="inlineStr">
        <is>
          <t>US_Filiale</t>
        </is>
      </c>
      <c r="C19" s="8" t="inlineStr">
        <is>
          <t>USD→EUR</t>
        </is>
      </c>
      <c r="D19" s="653">
        <f>CONSOL_CR!G7/0.925</f>
        <v/>
      </c>
      <c r="E19" s="653">
        <f>CONSOL_CR!G7</f>
        <v/>
      </c>
      <c r="F19" s="69">
        <f>IFERROR(D19/CONSOL_CR!K7,0)</f>
        <v/>
      </c>
      <c r="G19" s="69">
        <f>IFERROR(CONSOL_CR!G14/CONSOL_CR!G7,0)</f>
        <v/>
      </c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</row>
    <row r="20">
      <c r="A20" s="47" t="n"/>
      <c r="B20" s="65" t="inlineStr">
        <is>
          <t>SG_Filiale</t>
        </is>
      </c>
      <c r="C20" s="65" t="inlineStr">
        <is>
          <t>SGD→EUR</t>
        </is>
      </c>
      <c r="D20" s="652">
        <f>CONSOL_CR!H7/0.682</f>
        <v/>
      </c>
      <c r="E20" s="652">
        <f>CONSOL_CR!H7</f>
        <v/>
      </c>
      <c r="F20" s="68">
        <f>IFERROR(D20/CONSOL_CR!K7,0)</f>
        <v/>
      </c>
      <c r="G20" s="68">
        <f>IFERROR(CONSOL_CR!H14/CONSOL_CR!H7,0)</f>
        <v/>
      </c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</row>
    <row r="21">
      <c r="A21" s="47" t="n"/>
      <c r="B21" s="67" t="inlineStr">
        <is>
          <t>TOTAL GROUPE</t>
        </is>
      </c>
      <c r="C21" s="67" t="inlineStr">
        <is>
          <t>EUR</t>
        </is>
      </c>
      <c r="D21" s="654" t="inlineStr">
        <is>
          <t>—</t>
        </is>
      </c>
      <c r="E21" s="654">
        <f>CONSOL_CR!K7</f>
        <v/>
      </c>
      <c r="F21" s="70">
        <f>SUM(E16:E20)</f>
        <v/>
      </c>
      <c r="G21" s="70">
        <f>IFERROR(CONSOL_CR!K14/CONSOL_CR!K7,0)</f>
        <v/>
      </c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</row>
    <row r="23" ht="15.75" customHeight="1" s="500">
      <c r="A23" s="47" t="n"/>
      <c r="B23" s="547" t="inlineStr">
        <is>
          <t>DÉCOMPOSITION RÉSULTAT PAR CATÉGORIE IFRS 18</t>
        </is>
      </c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</row>
    <row r="24">
      <c r="A24" s="47" t="n"/>
      <c r="B24" s="543" t="inlineStr">
        <is>
          <t>Catégorie IFRS 18</t>
        </is>
      </c>
      <c r="C24" s="543" t="inlineStr">
        <is>
          <t>Montant N (k€)</t>
        </is>
      </c>
      <c r="D24" s="543" t="inlineStr">
        <is>
          <t>Montant N-1 (k€)</t>
        </is>
      </c>
      <c r="E24" s="543" t="inlineStr">
        <is>
          <t>Δ</t>
        </is>
      </c>
      <c r="F24" s="543" t="inlineStr">
        <is>
          <t>% du CA</t>
        </is>
      </c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</row>
    <row r="25">
      <c r="A25" s="47" t="n"/>
      <c r="B25" s="199" t="inlineStr">
        <is>
          <t>① Résultat Exploitation (EBIT)</t>
        </is>
      </c>
      <c r="C25" s="1055">
        <f>CONSOL_CR!K14</f>
        <v/>
      </c>
      <c r="D25" s="1055">
        <f>CONSOL_CR!L14</f>
        <v/>
      </c>
      <c r="E25" s="1056">
        <f>C25-D25</f>
        <v/>
      </c>
      <c r="F25" s="404">
        <f>IFERROR(C25/CONSOL_CR!K7,"")</f>
        <v/>
      </c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</row>
    <row r="26">
      <c r="A26" s="47" t="n"/>
      <c r="B26" s="53" t="inlineStr">
        <is>
          <t>② Résultat Investissement</t>
        </is>
      </c>
      <c r="C26" s="1057">
        <f>CONSOL_CR!K19</f>
        <v/>
      </c>
      <c r="D26" s="1057">
        <f>CONSOL_CR!L19</f>
        <v/>
      </c>
      <c r="E26" s="1058">
        <f>C26-D26</f>
        <v/>
      </c>
      <c r="F26" s="405">
        <f>IFERROR(C26/CONSOL_CR!K7,"")</f>
        <v/>
      </c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</row>
    <row r="27">
      <c r="A27" s="47" t="n"/>
      <c r="B27" s="67" t="inlineStr">
        <is>
          <t>🔑 Profit avant Fin. &amp; Impôt (IFRS 18)</t>
        </is>
      </c>
      <c r="C27" s="1059">
        <f>CONSOL_CR!K24</f>
        <v/>
      </c>
      <c r="D27" s="1059">
        <f>CONSOL_CR!L24</f>
        <v/>
      </c>
      <c r="E27" s="1060">
        <f>C27-D27</f>
        <v/>
      </c>
      <c r="F27" s="70">
        <f>IFERROR(C27/CONSOL_CR!K7,"")</f>
        <v/>
      </c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</row>
    <row r="28">
      <c r="A28" s="47" t="n"/>
      <c r="B28" s="54" t="inlineStr">
        <is>
          <t>③ Résultat Financement</t>
        </is>
      </c>
      <c r="C28" s="1061">
        <f>CONSOL_CR!K23</f>
        <v/>
      </c>
      <c r="D28" s="1061">
        <f>CONSOL_CR!L23</f>
        <v/>
      </c>
      <c r="E28" s="1062">
        <f>C28-D28</f>
        <v/>
      </c>
      <c r="F28" s="406">
        <f>IFERROR(C28/CONSOL_CR!K7,"")</f>
        <v/>
      </c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</row>
    <row r="29">
      <c r="A29" s="47" t="n"/>
      <c r="B29" s="71" t="inlineStr">
        <is>
          <t>④ Impôts sur résultats</t>
        </is>
      </c>
      <c r="C29" s="1063">
        <f>CONSOL_CR!K26+CONSOL_CR!K27</f>
        <v/>
      </c>
      <c r="D29" s="1063" t="n"/>
      <c r="E29" s="1064">
        <f>IFERROR(C29-D29,"")</f>
        <v/>
      </c>
      <c r="F29" s="407">
        <f>IFERROR(C29/CONSOL_CR!K7,"")</f>
        <v/>
      </c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</row>
    <row r="30">
      <c r="A30" s="47" t="n"/>
      <c r="B30" s="56" t="inlineStr">
        <is>
          <t>⑤ Activités abandonnées</t>
        </is>
      </c>
      <c r="C30" s="1065">
        <f>CONSOL_CR!K29</f>
        <v/>
      </c>
      <c r="D30" s="1065" t="n"/>
      <c r="E30" s="1066">
        <f>C30-0</f>
        <v/>
      </c>
      <c r="F30" s="408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</row>
    <row r="31">
      <c r="A31" s="47" t="n"/>
      <c r="B31" s="72" t="inlineStr">
        <is>
          <t>🏆 Résultat Net Consolidé</t>
        </is>
      </c>
      <c r="C31" s="1067">
        <f>CONSOL_CR!K30</f>
        <v/>
      </c>
      <c r="D31" s="1067">
        <f>CONSOL_CR!L30</f>
        <v/>
      </c>
      <c r="E31" s="1068">
        <f>C31-D31</f>
        <v/>
      </c>
      <c r="F31" s="409">
        <f>IFERROR(C31/CONSOL_CR!K7,"")</f>
        <v/>
      </c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</row>
    <row r="36">
      <c r="A36" s="47" t="n"/>
      <c r="B36" s="536" t="inlineStr">
        <is>
          <t>DONNÉES GRAPHIQUES – Répartition CA par Entité</t>
        </is>
      </c>
      <c r="G36" s="535" t="inlineStr">
        <is>
          <t>DONNÉES GRAPHIQUES – Décomposition IFRS 18</t>
        </is>
      </c>
      <c r="L36" s="47" t="n"/>
      <c r="M36" s="47" t="n"/>
      <c r="N36" s="47" t="n"/>
      <c r="O36" s="47" t="n"/>
      <c r="P36" s="47" t="n"/>
      <c r="Q36" s="47" t="n"/>
      <c r="R36" s="47" t="n"/>
      <c r="S36" s="47" t="n"/>
    </row>
    <row r="37">
      <c r="A37" s="47" t="n"/>
      <c r="B37" s="543" t="inlineStr">
        <is>
          <t>Entité</t>
        </is>
      </c>
      <c r="C37" s="295" t="inlineStr">
        <is>
          <t>CA Groupe (k€)</t>
        </is>
      </c>
      <c r="D37" s="295" t="inlineStr">
        <is>
          <t>EBIT (k€)</t>
        </is>
      </c>
      <c r="E37" s="295" t="inlineStr">
        <is>
          <t>Marge EBIT</t>
        </is>
      </c>
      <c r="F37" s="47" t="n"/>
      <c r="G37" s="543" t="inlineStr">
        <is>
          <t>Catégorie</t>
        </is>
      </c>
      <c r="H37" s="543" t="inlineStr">
        <is>
          <t>Montant N (k€)</t>
        </is>
      </c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</row>
    <row r="38">
      <c r="A38" s="47" t="n"/>
      <c r="B38" s="928" t="inlineStr">
        <is>
          <t>FR_ParentCo</t>
        </is>
      </c>
      <c r="C38" s="930">
        <f>CONSOL_CR!D7</f>
        <v/>
      </c>
      <c r="D38" s="930">
        <f>CONSOL_CR!D14</f>
        <v/>
      </c>
      <c r="E38" s="931">
        <f>IFERROR(CONSOL_CR!D14/CONSOL_CR!D7,0)</f>
        <v/>
      </c>
      <c r="F38" s="47" t="n"/>
      <c r="G38" s="199" t="inlineStr">
        <is>
          <t>Exploitation (EBIT)</t>
        </is>
      </c>
      <c r="H38" s="1056">
        <f>CONSOL_CR!K14</f>
        <v/>
      </c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</row>
    <row r="39">
      <c r="A39" s="47" t="n"/>
      <c r="B39" s="929" t="inlineStr">
        <is>
          <t>DE_Filiale</t>
        </is>
      </c>
      <c r="C39" s="932">
        <f>CONSOL_CR!E7</f>
        <v/>
      </c>
      <c r="D39" s="932">
        <f>CONSOL_CR!E14</f>
        <v/>
      </c>
      <c r="E39" s="933">
        <f>IFERROR(CONSOL_CR!E14/CONSOL_CR!E7,0)</f>
        <v/>
      </c>
      <c r="F39" s="47" t="n"/>
      <c r="G39" s="53" t="inlineStr">
        <is>
          <t>Investissement</t>
        </is>
      </c>
      <c r="H39" s="1058">
        <f>CONSOL_CR!K19</f>
        <v/>
      </c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</row>
    <row r="40">
      <c r="A40" s="47" t="n"/>
      <c r="B40" s="928" t="inlineStr">
        <is>
          <t>UK_Filiale</t>
        </is>
      </c>
      <c r="C40" s="930">
        <f>CONSOL_CR!F7</f>
        <v/>
      </c>
      <c r="D40" s="930">
        <f>CONSOL_CR!F14</f>
        <v/>
      </c>
      <c r="E40" s="931">
        <f>IFERROR(CONSOL_CR!F14/CONSOL_CR!F7,0)</f>
        <v/>
      </c>
      <c r="F40" s="47" t="n"/>
      <c r="G40" s="54" t="inlineStr">
        <is>
          <t>Financement</t>
        </is>
      </c>
      <c r="H40" s="1062">
        <f>CONSOL_CR!K23</f>
        <v/>
      </c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</row>
    <row r="41">
      <c r="A41" s="47" t="n"/>
      <c r="B41" s="929" t="inlineStr">
        <is>
          <t>US_Filiale</t>
        </is>
      </c>
      <c r="C41" s="932">
        <f>CONSOL_CR!G7</f>
        <v/>
      </c>
      <c r="D41" s="932">
        <f>CONSOL_CR!G14</f>
        <v/>
      </c>
      <c r="E41" s="933">
        <f>IFERROR(CONSOL_CR!G14/CONSOL_CR!G7,0)</f>
        <v/>
      </c>
      <c r="F41" s="47" t="n"/>
      <c r="G41" s="71" t="inlineStr">
        <is>
          <t>Impôts</t>
        </is>
      </c>
      <c r="H41" s="1064">
        <f>CONSOL_CR!K26+CONSOL_CR!K27</f>
        <v/>
      </c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</row>
    <row r="42">
      <c r="A42" s="47" t="n"/>
      <c r="B42" s="928" t="inlineStr">
        <is>
          <t>SG_Filiale</t>
        </is>
      </c>
      <c r="C42" s="930">
        <f>CONSOL_CR!H7</f>
        <v/>
      </c>
      <c r="D42" s="930">
        <f>CONSOL_CR!H14</f>
        <v/>
      </c>
      <c r="E42" s="931">
        <f>IFERROR(CONSOL_CR!H14/CONSOL_CR!H7,0)</f>
        <v/>
      </c>
      <c r="F42" s="47" t="n"/>
      <c r="G42" s="66" t="inlineStr">
        <is>
          <t>Résultat Net</t>
        </is>
      </c>
      <c r="H42" s="1069">
        <f>CONSOL_CR!K30</f>
        <v/>
      </c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</row>
  </sheetData>
  <mergeCells count="31">
    <mergeCell ref="H10:I10"/>
    <mergeCell ref="H7:I8"/>
    <mergeCell ref="G36:K36"/>
    <mergeCell ref="E11:F12"/>
    <mergeCell ref="K5:L5"/>
    <mergeCell ref="E5:F5"/>
    <mergeCell ref="B3:R3"/>
    <mergeCell ref="K11:L12"/>
    <mergeCell ref="K7:L8"/>
    <mergeCell ref="H6:I6"/>
    <mergeCell ref="E10:F10"/>
    <mergeCell ref="E7:F8"/>
    <mergeCell ref="B2:R2"/>
    <mergeCell ref="N5:O5"/>
    <mergeCell ref="B14:L14"/>
    <mergeCell ref="N11:O12"/>
    <mergeCell ref="E6:F6"/>
    <mergeCell ref="B7:C8"/>
    <mergeCell ref="N7:O8"/>
    <mergeCell ref="B10:C10"/>
    <mergeCell ref="N10:O10"/>
    <mergeCell ref="B23:H23"/>
    <mergeCell ref="B6:C6"/>
    <mergeCell ref="B11:C12"/>
    <mergeCell ref="N6:O6"/>
    <mergeCell ref="B5:C5"/>
    <mergeCell ref="K10:L10"/>
    <mergeCell ref="H11:I12"/>
    <mergeCell ref="H5:I5"/>
    <mergeCell ref="B36:F36"/>
    <mergeCell ref="K6:L6"/>
  </mergeCells>
  <conditionalFormatting sqref="E25:E31">
    <cfRule type="cellIs" priority="2" operator="greaterThan" dxfId="5">
      <formula>0</formula>
    </cfRule>
    <cfRule type="cellIs" priority="3" operator="lessThan" dxfId="3">
      <formula>0</formula>
    </cfRule>
    <cfRule type="cellIs" priority="5" operator="lessThan" dxfId="3">
      <formula>0</formula>
    </cfRule>
    <cfRule type="cellIs" priority="6" operator="greaterThanOrEqual" dxfId="5">
      <formula>0</formula>
    </cfRule>
  </conditionalFormatting>
  <conditionalFormatting sqref="G16:G20">
    <cfRule type="colorScale" priority="1">
      <colorScale>
        <cfvo type="min"/>
        <cfvo type="max"/>
        <color rgb="FFFF7128"/>
        <color rgb="FFFFEF9C"/>
      </colorScale>
    </cfRule>
    <cfRule type="top10" rank="1" priority="4" dxfId="7"/>
  </conditionalFormatting>
  <printOptions horizontalCentered="1"/>
  <pageMargins left="0.7" right="0.7" top="0.75" bottom="0.75" header="0.3" footer="0.3"/>
  <pageSetup orientation="landscape" paperSize="9" scale="0" horizontalDpi="0" verticalDpi="0" copies="0"/>
</worksheet>
</file>

<file path=xl/worksheets/sheet20.xml><?xml version="1.0" encoding="utf-8"?>
<worksheet xmlns="http://schemas.openxmlformats.org/spreadsheetml/2006/main">
  <sheetPr>
    <tabColor rgb="FFE67E22"/>
    <outlinePr summaryBelow="1" summaryRight="1"/>
    <pageSetUpPr/>
  </sheetPr>
  <dimension ref="A1:R60"/>
  <sheetViews>
    <sheetView workbookViewId="0">
      <selection activeCell="F12" sqref="F12"/>
    </sheetView>
  </sheetViews>
  <sheetFormatPr baseColWidth="10" defaultRowHeight="15"/>
  <cols>
    <col width="3.85546875" customWidth="1" style="500" min="1" max="1"/>
    <col width="40" customWidth="1" style="500" min="2" max="2"/>
    <col width="25.5703125" customWidth="1" style="500" min="3" max="3"/>
    <col width="32.28515625" bestFit="1" customWidth="1" style="500" min="4" max="4"/>
    <col width="27.7109375" customWidth="1" style="500" min="5" max="5"/>
    <col width="19" customWidth="1" style="500" min="6" max="7"/>
    <col width="15.28515625" customWidth="1" style="500" min="8" max="8"/>
    <col width="19" customWidth="1" style="500" min="9" max="18"/>
  </cols>
  <sheetData>
    <row r="1">
      <c r="A1" s="73" t="n"/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</row>
    <row r="2" ht="24" customHeight="1" s="500">
      <c r="A2" s="73" t="n"/>
      <c r="B2" s="549" t="inlineStr">
        <is>
          <t>🌿  DASHBOARD ESG – GROUPE MULTINATIONAL · Exercice 2025-2026 · Conformité CSRD/ESRS</t>
        </is>
      </c>
    </row>
    <row r="3">
      <c r="A3" s="73" t="n"/>
      <c r="B3" s="550" t="inlineStr">
        <is>
          <t>Données liées à ESG_DATA · Indicateurs ESRS E1/S1/G1 · Mise à jour automatique</t>
        </is>
      </c>
    </row>
    <row r="4">
      <c r="A4" s="73" t="n"/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</row>
    <row r="5" ht="15.75" customHeight="1" s="500">
      <c r="A5" s="73" t="n"/>
      <c r="B5" s="551" t="inlineStr">
        <is>
          <t>SCORE ESG GLOBAL GROUPE</t>
        </is>
      </c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</row>
    <row r="6">
      <c r="A6" s="73" t="n"/>
      <c r="B6" s="934" t="inlineStr">
        <is>
          <t>E – Score Environnement</t>
        </is>
      </c>
      <c r="E6" s="936" t="inlineStr">
        <is>
          <t>S – Score Social</t>
        </is>
      </c>
      <c r="H6" s="938" t="inlineStr">
        <is>
          <t>G – Score Gouvernance</t>
        </is>
      </c>
      <c r="K6" s="939" t="inlineStr">
        <is>
          <t>🏆 SCORE GLOBAL ESG</t>
        </is>
      </c>
      <c r="N6" s="73" t="n"/>
      <c r="O6" s="73" t="n"/>
      <c r="P6" s="73" t="n"/>
      <c r="Q6" s="73" t="n"/>
      <c r="R6" s="73" t="n"/>
    </row>
    <row r="7" ht="28.5" customHeight="1" s="500">
      <c r="A7" s="73" t="n"/>
      <c r="B7" s="935" t="inlineStr">
        <is>
          <t>72/100</t>
        </is>
      </c>
      <c r="E7" s="937" t="inlineStr">
        <is>
          <t>68/100</t>
        </is>
      </c>
      <c r="H7" s="941" t="inlineStr">
        <is>
          <t>81/100</t>
        </is>
      </c>
      <c r="K7" s="940" t="inlineStr">
        <is>
          <t>74/100</t>
        </is>
      </c>
      <c r="N7" s="73" t="n"/>
      <c r="O7" s="73" t="n"/>
      <c r="P7" s="73" t="n"/>
      <c r="Q7" s="73" t="n"/>
      <c r="R7" s="73" t="n"/>
    </row>
    <row r="8">
      <c r="A8" s="73" t="n"/>
      <c r="B8" s="1070" t="inlineStr">
        <is>
          <t>Objectif 2026: 78</t>
        </is>
      </c>
      <c r="C8" s="1071" t="n"/>
      <c r="D8" s="1072" t="n"/>
      <c r="E8" s="1073" t="inlineStr">
        <is>
          <t>Objectif 2026: 75</t>
        </is>
      </c>
      <c r="F8" s="1071" t="n"/>
      <c r="G8" s="1072" t="n"/>
      <c r="H8" s="1074" t="inlineStr">
        <is>
          <t>Objectif 2026: 85</t>
        </is>
      </c>
      <c r="I8" s="1071" t="n"/>
      <c r="J8" s="1072" t="n"/>
      <c r="K8" s="1075" t="inlineStr">
        <is>
          <t>Benchmark sectoriel: 65/100</t>
        </is>
      </c>
      <c r="L8" s="1071" t="n"/>
      <c r="M8" s="1072" t="n"/>
      <c r="N8" s="73" t="n"/>
      <c r="O8" s="73" t="n"/>
      <c r="P8" s="73" t="n"/>
      <c r="Q8" s="73" t="n"/>
      <c r="R8" s="73" t="n"/>
    </row>
    <row r="9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</row>
    <row r="10" ht="15.75" customHeight="1" s="500">
      <c r="A10" s="73" t="n"/>
      <c r="B10" s="552" t="inlineStr">
        <is>
          <t>🌍 INDICATEURS CLIMATIQUES – ESRS E1</t>
        </is>
      </c>
      <c r="M10" s="73" t="n"/>
      <c r="N10" s="73" t="n"/>
      <c r="O10" s="73" t="n"/>
      <c r="P10" s="73" t="n"/>
      <c r="Q10" s="73" t="n"/>
      <c r="R10" s="73" t="n"/>
    </row>
    <row r="11">
      <c r="A11" s="73" t="n"/>
      <c r="B11" s="954" t="inlineStr">
        <is>
          <t>KPI</t>
        </is>
      </c>
      <c r="C11" s="954" t="inlineStr">
        <is>
          <t>Groupe 2025</t>
        </is>
      </c>
      <c r="D11" s="954" t="inlineStr">
        <is>
          <t>Groupe 2024</t>
        </is>
      </c>
      <c r="E11" s="954" t="inlineStr">
        <is>
          <t>Δ %</t>
        </is>
      </c>
      <c r="F11" s="954" t="inlineStr">
        <is>
          <t>Objectif 2030</t>
        </is>
      </c>
      <c r="G11" s="954" t="inlineStr">
        <is>
          <t>Statut</t>
        </is>
      </c>
      <c r="H11" s="954" t="inlineStr">
        <is>
          <t>Source</t>
        </is>
      </c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</row>
    <row r="12">
      <c r="A12" s="73" t="n"/>
      <c r="B12" s="74" t="inlineStr">
        <is>
          <t>Scope 1+2 (tCO₂eq)</t>
        </is>
      </c>
      <c r="C12" s="670">
        <f>ESG_DATA!I6+ESG_DATA!I7</f>
        <v/>
      </c>
      <c r="D12" s="670" t="n">
        <v>118000</v>
      </c>
      <c r="E12" s="672">
        <f>IFERROR((C12-D12)/ABS(D12),0)</f>
        <v/>
      </c>
      <c r="F12" s="670" t="n">
        <v>53100</v>
      </c>
      <c r="G12" s="74">
        <f>IF(C12&lt;D12,"↓ Bon","↑ Effort requis")</f>
        <v/>
      </c>
      <c r="H12" s="74" t="inlineStr">
        <is>
          <t>ESG_DATA</t>
        </is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</row>
    <row r="13">
      <c r="A13" s="73" t="n"/>
      <c r="B13" s="75" t="inlineStr">
        <is>
          <t>Intensité carbone (tCO₂/M€ CA)</t>
        </is>
      </c>
      <c r="C13" s="671">
        <f>ESG_DATA!J9</f>
        <v/>
      </c>
      <c r="D13" s="671" t="n">
        <v>138</v>
      </c>
      <c r="E13" s="673">
        <f>IFERROR((C13-D13)/ABS(D13),0)</f>
        <v/>
      </c>
      <c r="F13" s="671" t="n">
        <v>60</v>
      </c>
      <c r="G13" s="75">
        <f>IF(C13&lt;D13,"↓ Bon","↑ Effort requis")</f>
        <v/>
      </c>
      <c r="H13" s="75" t="inlineStr">
        <is>
          <t>ESG_DATA</t>
        </is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</row>
    <row r="14">
      <c r="A14" s="73" t="n"/>
      <c r="B14" s="74" t="inlineStr">
        <is>
          <t>Énergie renouvelable (%)</t>
        </is>
      </c>
      <c r="C14" s="672">
        <f>ESG_DATA!J11</f>
        <v/>
      </c>
      <c r="D14" s="672" t="n">
        <v>0.42</v>
      </c>
      <c r="E14" s="672">
        <f>IFERROR((C14-D14)/ABS(D14),0)</f>
        <v/>
      </c>
      <c r="F14" s="672" t="n">
        <v>0.8</v>
      </c>
      <c r="G14" s="74">
        <f>IF(C14&gt;D14,"↑ Bon","↓ À améliorer")</f>
        <v/>
      </c>
      <c r="H14" s="74" t="inlineStr">
        <is>
          <t>ESG_DATA</t>
        </is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</row>
    <row r="15">
      <c r="A15" s="73" t="n"/>
      <c r="B15" s="75" t="inlineStr">
        <is>
          <t>Consommation eau (m³k)</t>
        </is>
      </c>
      <c r="C15" s="671">
        <f>ESG_DATA!J12</f>
        <v/>
      </c>
      <c r="D15" s="671" t="n">
        <v>128</v>
      </c>
      <c r="E15" s="673">
        <f>IFERROR((C15-D15)/ABS(D15),0)</f>
        <v/>
      </c>
      <c r="F15" s="671" t="n">
        <v>95</v>
      </c>
      <c r="G15" s="75">
        <f>IF(C15&lt;D15,"↓ Bon","↑ Effort requis")</f>
        <v/>
      </c>
      <c r="H15" s="75" t="inlineStr">
        <is>
          <t>ESG_DATA</t>
        </is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</row>
    <row r="16">
      <c r="A16" s="73" t="n"/>
      <c r="B16" s="74" t="inlineStr">
        <is>
          <t>Taux valorisation déchets (%)</t>
        </is>
      </c>
      <c r="C16" s="672">
        <f>ESG_DATA!J14</f>
        <v/>
      </c>
      <c r="D16" s="672" t="n">
        <v>0.68</v>
      </c>
      <c r="E16" s="672">
        <f>IFERROR((C16-D16)/ABS(D16),0)</f>
        <v/>
      </c>
      <c r="F16" s="672" t="n">
        <v>0.85</v>
      </c>
      <c r="G16" s="74">
        <f>IF(C16&gt;D16,"↑ Bon","↓ À améliorer")</f>
        <v/>
      </c>
      <c r="H16" s="74" t="inlineStr">
        <is>
          <t>ESG_DATA</t>
        </is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</row>
    <row r="17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</row>
    <row r="18" ht="15.75" customHeight="1" s="500">
      <c r="A18" s="73" t="n"/>
      <c r="B18" s="553" t="inlineStr">
        <is>
          <t>👥 INDICATEURS SOCIAUX – ESRS S1</t>
        </is>
      </c>
      <c r="M18" s="73" t="n"/>
      <c r="N18" s="73" t="n"/>
      <c r="O18" s="73" t="n"/>
      <c r="P18" s="73" t="n"/>
      <c r="Q18" s="73" t="n"/>
      <c r="R18" s="73" t="n"/>
    </row>
    <row r="19">
      <c r="A19" s="73" t="n"/>
      <c r="B19" s="543" t="inlineStr">
        <is>
          <t>KPI</t>
        </is>
      </c>
      <c r="C19" s="543" t="inlineStr">
        <is>
          <t>Groupe 2025</t>
        </is>
      </c>
      <c r="D19" s="543" t="inlineStr">
        <is>
          <t>Groupe 2024</t>
        </is>
      </c>
      <c r="E19" s="543" t="inlineStr">
        <is>
          <t>Δ %</t>
        </is>
      </c>
      <c r="F19" s="543" t="inlineStr">
        <is>
          <t>Objectif 2026</t>
        </is>
      </c>
      <c r="G19" s="543" t="inlineStr">
        <is>
          <t>Statut</t>
        </is>
      </c>
      <c r="H19" s="543" t="inlineStr">
        <is>
          <t>Référence</t>
        </is>
      </c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</row>
    <row r="20">
      <c r="A20" s="73" t="n"/>
      <c r="B20" s="76" t="inlineStr">
        <is>
          <t>Effectifs totaux (ETP)</t>
        </is>
      </c>
      <c r="C20" s="674">
        <f>ESG_DATA!J18</f>
        <v/>
      </c>
      <c r="D20" s="674" t="n">
        <v>7050</v>
      </c>
      <c r="E20" s="676">
        <f>IFERROR((C20-D20)/ABS(D20),0)</f>
        <v/>
      </c>
      <c r="F20" s="674" t="n">
        <v>7500</v>
      </c>
      <c r="G20" s="76" t="inlineStr">
        <is>
          <t>→ Croissance</t>
        </is>
      </c>
      <c r="H20" s="76" t="inlineStr">
        <is>
          <t>ESG_DATA</t>
        </is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</row>
    <row r="21">
      <c r="A21" s="73" t="n"/>
      <c r="B21" s="77" t="inlineStr">
        <is>
          <t>% Femmes (total)</t>
        </is>
      </c>
      <c r="C21" s="675">
        <f>ESG_DATA!I21</f>
        <v/>
      </c>
      <c r="D21" s="675" t="n">
        <v>0.41</v>
      </c>
      <c r="E21" s="675">
        <f>IFERROR((C21-D21)/ABS(D21),0)</f>
        <v/>
      </c>
      <c r="F21" s="675" t="n">
        <v>0.45</v>
      </c>
      <c r="G21" s="77">
        <f>IF(C21&gt;D21,"↑ Bon","↓ À améliorer")</f>
        <v/>
      </c>
      <c r="H21" s="77" t="inlineStr">
        <is>
          <t>ESG_DATA</t>
        </is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</row>
    <row r="22">
      <c r="A22" s="73" t="n"/>
      <c r="B22" s="76" t="inlineStr">
        <is>
          <t>% Femmes dirigeantes</t>
        </is>
      </c>
      <c r="C22" s="676">
        <f>ESG_DATA!I22</f>
        <v/>
      </c>
      <c r="D22" s="676" t="n">
        <v>0.35</v>
      </c>
      <c r="E22" s="676">
        <f>IFERROR((C22-D22)/ABS(D22),0)</f>
        <v/>
      </c>
      <c r="F22" s="676" t="n">
        <v>0.45</v>
      </c>
      <c r="G22" s="76">
        <f>IF(C22&gt;D22,"↑ Bon","↓ À améliorer")</f>
        <v/>
      </c>
      <c r="H22" s="76" t="inlineStr">
        <is>
          <t>ESG_DATA</t>
        </is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</row>
    <row r="23">
      <c r="A23" s="73" t="n"/>
      <c r="B23" s="77" t="inlineStr">
        <is>
          <t>TRIR (accidents)</t>
        </is>
      </c>
      <c r="C23" s="1076">
        <f>ESG_DATA!J23</f>
        <v/>
      </c>
      <c r="D23" s="1076" t="n">
        <v>3.1</v>
      </c>
      <c r="E23" s="675">
        <f>IFERROR((C23-D23)/ABS(D23),0)</f>
        <v/>
      </c>
      <c r="F23" s="1076" t="n">
        <v>2</v>
      </c>
      <c r="G23" s="77">
        <f>IF(C23&lt;D23,"↓ Bon","↑ Effort requis")</f>
        <v/>
      </c>
      <c r="H23" s="77" t="inlineStr">
        <is>
          <t>ESG_DATA</t>
        </is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</row>
    <row r="24">
      <c r="A24" s="73" t="n"/>
      <c r="B24" s="76" t="inlineStr">
        <is>
          <t>Formation h/emp/an</t>
        </is>
      </c>
      <c r="C24" s="1077">
        <f>ESG_DATA!J24</f>
        <v/>
      </c>
      <c r="D24" s="1077" t="n">
        <v>40</v>
      </c>
      <c r="E24" s="676">
        <f>IFERROR((C24-D24)/ABS(D24),0)</f>
        <v/>
      </c>
      <c r="F24" s="1077" t="n">
        <v>50</v>
      </c>
      <c r="G24" s="76">
        <f>IF(C24&gt;D24,"↑ Bon","↓ À améliorer")</f>
        <v/>
      </c>
      <c r="H24" s="76" t="inlineStr">
        <is>
          <t>ESG_DATA</t>
        </is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</row>
    <row r="25">
      <c r="A25" s="73" t="n"/>
      <c r="B25" s="77" t="inlineStr">
        <is>
          <t>Écart salarial H/F (%)</t>
        </is>
      </c>
      <c r="C25" s="675">
        <f>ESG_DATA!J27</f>
        <v/>
      </c>
      <c r="D25" s="675" t="n">
        <v>-0.14</v>
      </c>
      <c r="E25" s="675">
        <f>IFERROR((C25-D25)/ABS(D25),0)</f>
        <v/>
      </c>
      <c r="F25" s="675" t="n">
        <v>-0.08</v>
      </c>
      <c r="G25" s="77" t="inlineStr">
        <is>
          <t>→ Réduction en cours</t>
        </is>
      </c>
      <c r="H25" s="77" t="inlineStr">
        <is>
          <t>ESG_DATA</t>
        </is>
      </c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</row>
    <row r="26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</row>
    <row r="27" ht="15.75" customHeight="1" s="500">
      <c r="A27" s="73" t="n"/>
      <c r="B27" s="548" t="inlineStr">
        <is>
          <t>⚖️ INDICATEURS GOUVERNANCE – ESRS G1</t>
        </is>
      </c>
      <c r="M27" s="73" t="n"/>
      <c r="N27" s="73" t="n"/>
      <c r="O27" s="73" t="n"/>
      <c r="P27" s="73" t="n"/>
      <c r="Q27" s="73" t="n"/>
      <c r="R27" s="73" t="n"/>
    </row>
    <row r="28">
      <c r="A28" s="73" t="n"/>
      <c r="B28" s="65" t="inlineStr">
        <is>
          <t>Indicateur</t>
        </is>
      </c>
      <c r="C28" s="65" t="inlineStr">
        <is>
          <t>Valeur 2025</t>
        </is>
      </c>
      <c r="D28" s="65" t="inlineStr">
        <is>
          <t>Commentaire</t>
        </is>
      </c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</row>
    <row r="29">
      <c r="A29" s="73" t="n"/>
      <c r="B29" s="78" t="inlineStr">
        <is>
          <t>% Femmes au CA</t>
        </is>
      </c>
      <c r="C29" s="679">
        <f>ESG_DATA!C31</f>
        <v/>
      </c>
      <c r="D29" s="78" t="inlineStr">
        <is>
          <t>Objectif réglementaire: 40% (loi Rixain FR)</t>
        </is>
      </c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</row>
    <row r="30">
      <c r="A30" s="73" t="n"/>
      <c r="B30" s="79" t="inlineStr">
        <is>
          <t>Fournisseurs évalués ESG</t>
        </is>
      </c>
      <c r="C30" s="680">
        <f>ESG_DATA!C37</f>
        <v/>
      </c>
      <c r="D30" s="79" t="inlineStr">
        <is>
          <t>Sur volume d'achats &gt; seuil</t>
        </is>
      </c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</row>
    <row r="31">
      <c r="A31" s="73" t="n"/>
      <c r="B31" s="78" t="inlineStr">
        <is>
          <t>Alertes whistleblowing traitées</t>
        </is>
      </c>
      <c r="C31" s="78">
        <f>ESG_DATA!C36</f>
        <v/>
      </c>
      <c r="D31" s="78" t="inlineStr">
        <is>
          <t>100% de traitement – objectif atteint</t>
        </is>
      </c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</row>
    <row r="32">
      <c r="A32" s="73" t="n"/>
      <c r="B32" s="79" t="inlineStr">
        <is>
          <t>Politique anti-corruption</t>
        </is>
      </c>
      <c r="C32" s="79">
        <f>ESG_DATA!C33</f>
        <v/>
      </c>
      <c r="D32" s="79" t="inlineStr">
        <is>
          <t>Déploiement: 100% dirigeants</t>
        </is>
      </c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</row>
    <row r="33">
      <c r="A33" s="73" t="n"/>
      <c r="B33" s="78" t="inlineStr">
        <is>
          <t>Taux effectif d'imposition (ETR)</t>
        </is>
      </c>
      <c r="C33" s="679">
        <f>CONSOL_CR!C41</f>
        <v/>
      </c>
      <c r="D33" s="78" t="inlineStr">
        <is>
          <t>CbCR publié – OCDE BEPS conforme</t>
        </is>
      </c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</row>
    <row r="34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</row>
    <row r="35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</row>
    <row r="36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</row>
    <row r="37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</row>
    <row r="38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</row>
    <row r="39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</row>
    <row r="4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</row>
    <row r="41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</row>
    <row r="42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</row>
    <row r="43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</row>
    <row r="44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</row>
    <row r="45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</row>
    <row r="46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</row>
    <row r="47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</row>
    <row r="48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</row>
    <row r="49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</row>
    <row r="5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</row>
    <row r="51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</row>
    <row r="52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</row>
    <row r="53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</row>
    <row r="54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</row>
    <row r="55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</row>
    <row r="56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</row>
    <row r="57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</row>
    <row r="58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</row>
    <row r="59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</row>
    <row r="6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</row>
  </sheetData>
  <mergeCells count="18">
    <mergeCell ref="K8:M8"/>
    <mergeCell ref="B5:D5"/>
    <mergeCell ref="B27:L27"/>
    <mergeCell ref="B6:D6"/>
    <mergeCell ref="K6:M6"/>
    <mergeCell ref="B8:D8"/>
    <mergeCell ref="E8:G8"/>
    <mergeCell ref="H8:J8"/>
    <mergeCell ref="B2:R2"/>
    <mergeCell ref="B10:L10"/>
    <mergeCell ref="E6:G6"/>
    <mergeCell ref="B3:R3"/>
    <mergeCell ref="H7:J7"/>
    <mergeCell ref="B7:D7"/>
    <mergeCell ref="E7:G7"/>
    <mergeCell ref="K7:M7"/>
    <mergeCell ref="B18:L18"/>
    <mergeCell ref="H6:J6"/>
  </mergeCells>
  <conditionalFormatting sqref="E12:E16">
    <cfRule type="cellIs" priority="1" operator="lessThan" dxfId="4">
      <formula>0</formula>
    </cfRule>
    <cfRule type="cellIs" priority="2" operator="greaterThan" dxfId="3">
      <formula>0</formula>
    </cfRule>
  </conditionalFormatting>
  <printOptions horizontalCentered="1"/>
  <pageMargins left="0.7" right="0.7" top="0.75" bottom="0.75" header="0.3" footer="0.3"/>
  <pageSetup orientation="landscape" paperSize="9" scale="0" horizontalDpi="0" verticalDpi="0" copies="0"/>
</worksheet>
</file>

<file path=xl/worksheets/sheet21.xml><?xml version="1.0" encoding="utf-8"?>
<worksheet xmlns="http://schemas.openxmlformats.org/spreadsheetml/2006/main">
  <sheetPr>
    <tabColor rgb="FF1E8449"/>
    <outlinePr summaryBelow="1" summaryRight="1"/>
    <pageSetUpPr/>
  </sheetPr>
  <dimension ref="A1:H59"/>
  <sheetViews>
    <sheetView showGridLines="0" workbookViewId="0">
      <selection activeCell="A9" sqref="A9"/>
    </sheetView>
  </sheetViews>
  <sheetFormatPr baseColWidth="10" defaultRowHeight="15"/>
  <cols>
    <col width="16" customWidth="1" style="500" min="1" max="1"/>
    <col width="60" customWidth="1" style="500" min="2" max="2"/>
    <col width="24" customWidth="1" style="500" min="3" max="3"/>
    <col width="13.28515625" customWidth="1" style="500" min="4" max="4"/>
    <col width="10.7109375" customWidth="1" style="500" min="5" max="5"/>
    <col width="24" customWidth="1" style="500" min="6" max="6"/>
    <col width="20" customWidth="1" style="500" min="7" max="7"/>
    <col width="26.7109375" customWidth="1" style="500" min="8" max="8"/>
  </cols>
  <sheetData>
    <row r="1" ht="15.75" customHeight="1" s="500">
      <c r="A1" s="552" t="inlineStr">
        <is>
          <t>📁  SRC_FR – FR_ParentCo · Fichier Source Liasse Comptable 2025 (Format CSV simulé)</t>
        </is>
      </c>
    </row>
    <row r="2">
      <c r="A2" s="543" t="inlineStr">
        <is>
          <t>CodeCompte</t>
        </is>
      </c>
      <c r="B2" s="543" t="inlineStr">
        <is>
          <t>Libellé</t>
        </is>
      </c>
      <c r="C2" s="543" t="inlineStr">
        <is>
          <t>Montant</t>
        </is>
      </c>
      <c r="D2" s="543" t="inlineStr">
        <is>
          <t>Devise</t>
        </is>
      </c>
      <c r="E2" s="543" t="inlineStr">
        <is>
          <t>Mois</t>
        </is>
      </c>
      <c r="F2" s="543" t="inlineStr">
        <is>
          <t>Entité</t>
        </is>
      </c>
      <c r="G2" s="543" t="inlineStr">
        <is>
          <t>TypeFlux</t>
        </is>
      </c>
      <c r="H2" s="543" t="inlineStr">
        <is>
          <t>CatIFRS18</t>
        </is>
      </c>
    </row>
    <row r="3">
      <c r="A3" s="542" t="n">
        <v>701000</v>
      </c>
      <c r="B3" s="542" t="inlineStr">
        <is>
          <t>Ventes de marchandises</t>
        </is>
      </c>
      <c r="C3" s="542" t="n">
        <v>12800000</v>
      </c>
      <c r="D3" s="542" t="inlineStr">
        <is>
          <t>EUR</t>
        </is>
      </c>
      <c r="E3" s="542" t="n">
        <v>1</v>
      </c>
      <c r="F3" s="542" t="inlineStr">
        <is>
          <t>FR_ParentCo</t>
        </is>
      </c>
      <c r="G3" s="542" t="inlineStr">
        <is>
          <t>Crédit</t>
        </is>
      </c>
      <c r="H3" s="542" t="inlineStr">
        <is>
          <t>Opérationnel</t>
        </is>
      </c>
    </row>
    <row r="4">
      <c r="A4" s="540" t="n">
        <v>701000</v>
      </c>
      <c r="B4" s="540" t="inlineStr">
        <is>
          <t>Ventes de marchandises</t>
        </is>
      </c>
      <c r="C4" s="540" t="n">
        <v>14200000</v>
      </c>
      <c r="D4" s="540" t="inlineStr">
        <is>
          <t>EUR</t>
        </is>
      </c>
      <c r="E4" s="540" t="n">
        <v>2</v>
      </c>
      <c r="F4" s="540" t="inlineStr">
        <is>
          <t>FR_ParentCo</t>
        </is>
      </c>
      <c r="G4" s="540" t="inlineStr">
        <is>
          <t>Crédit</t>
        </is>
      </c>
      <c r="H4" s="540" t="inlineStr">
        <is>
          <t>Opérationnel</t>
        </is>
      </c>
    </row>
    <row r="5">
      <c r="A5" s="542" t="n">
        <v>701000</v>
      </c>
      <c r="B5" s="542" t="inlineStr">
        <is>
          <t>Ventes de marchandises</t>
        </is>
      </c>
      <c r="C5" s="542" t="n">
        <v>18500000</v>
      </c>
      <c r="D5" s="542" t="inlineStr">
        <is>
          <t>EUR</t>
        </is>
      </c>
      <c r="E5" s="542" t="n">
        <v>3</v>
      </c>
      <c r="F5" s="542" t="inlineStr">
        <is>
          <t>FR_ParentCo</t>
        </is>
      </c>
      <c r="G5" s="542" t="inlineStr">
        <is>
          <t>Crédit</t>
        </is>
      </c>
      <c r="H5" s="542" t="inlineStr">
        <is>
          <t>Opérationnel</t>
        </is>
      </c>
    </row>
    <row r="6">
      <c r="A6" s="540" t="n">
        <v>701000</v>
      </c>
      <c r="B6" s="540" t="inlineStr">
        <is>
          <t>Ventes de marchandises</t>
        </is>
      </c>
      <c r="C6" s="540" t="n">
        <v>21000000</v>
      </c>
      <c r="D6" s="540" t="inlineStr">
        <is>
          <t>EUR</t>
        </is>
      </c>
      <c r="E6" s="540" t="n">
        <v>4</v>
      </c>
      <c r="F6" s="540" t="inlineStr">
        <is>
          <t>FR_ParentCo</t>
        </is>
      </c>
      <c r="G6" s="540" t="inlineStr">
        <is>
          <t>Crédit</t>
        </is>
      </c>
      <c r="H6" s="540" t="inlineStr">
        <is>
          <t>Opérationnel</t>
        </is>
      </c>
    </row>
    <row r="7">
      <c r="A7" s="542" t="n">
        <v>701000</v>
      </c>
      <c r="B7" s="542" t="inlineStr">
        <is>
          <t>Ventes de marchandises</t>
        </is>
      </c>
      <c r="C7" s="542" t="n">
        <v>19800000</v>
      </c>
      <c r="D7" s="542" t="inlineStr">
        <is>
          <t>EUR</t>
        </is>
      </c>
      <c r="E7" s="542" t="n">
        <v>5</v>
      </c>
      <c r="F7" s="542" t="inlineStr">
        <is>
          <t>FR_ParentCo</t>
        </is>
      </c>
      <c r="G7" s="542" t="inlineStr">
        <is>
          <t>Crédit</t>
        </is>
      </c>
      <c r="H7" s="542" t="inlineStr">
        <is>
          <t>Opérationnel</t>
        </is>
      </c>
    </row>
    <row r="8">
      <c r="A8" s="540" t="n">
        <v>701000</v>
      </c>
      <c r="B8" s="540" t="inlineStr">
        <is>
          <t>Ventes de marchandises</t>
        </is>
      </c>
      <c r="C8" s="540" t="n">
        <v>22500000</v>
      </c>
      <c r="D8" s="540" t="inlineStr">
        <is>
          <t>EUR</t>
        </is>
      </c>
      <c r="E8" s="540" t="n">
        <v>6</v>
      </c>
      <c r="F8" s="540" t="inlineStr">
        <is>
          <t>FR_ParentCo</t>
        </is>
      </c>
      <c r="G8" s="540" t="inlineStr">
        <is>
          <t>Crédit</t>
        </is>
      </c>
      <c r="H8" s="540" t="inlineStr">
        <is>
          <t>Opérationnel</t>
        </is>
      </c>
    </row>
    <row r="9">
      <c r="A9" s="542" t="n">
        <v>701000</v>
      </c>
      <c r="B9" s="542" t="inlineStr">
        <is>
          <t>Ventes de marchandises</t>
        </is>
      </c>
      <c r="C9" s="542" t="n">
        <v>24200000</v>
      </c>
      <c r="D9" s="542" t="inlineStr">
        <is>
          <t>EUR</t>
        </is>
      </c>
      <c r="E9" s="542" t="n">
        <v>7</v>
      </c>
      <c r="F9" s="542" t="inlineStr">
        <is>
          <t>FR_ParentCo</t>
        </is>
      </c>
      <c r="G9" s="542" t="inlineStr">
        <is>
          <t>Crédit</t>
        </is>
      </c>
      <c r="H9" s="542" t="inlineStr">
        <is>
          <t>Opérationnel</t>
        </is>
      </c>
    </row>
    <row r="10">
      <c r="A10" s="540" t="n">
        <v>701000</v>
      </c>
      <c r="B10" s="540" t="inlineStr">
        <is>
          <t>Ventes de marchandises</t>
        </is>
      </c>
      <c r="C10" s="540" t="n">
        <v>28000000</v>
      </c>
      <c r="D10" s="540" t="inlineStr">
        <is>
          <t>EUR</t>
        </is>
      </c>
      <c r="E10" s="540" t="n">
        <v>8</v>
      </c>
      <c r="F10" s="540" t="inlineStr">
        <is>
          <t>FR_ParentCo</t>
        </is>
      </c>
      <c r="G10" s="540" t="inlineStr">
        <is>
          <t>Crédit</t>
        </is>
      </c>
      <c r="H10" s="540" t="inlineStr">
        <is>
          <t>Opérationnel</t>
        </is>
      </c>
    </row>
    <row r="11">
      <c r="A11" s="542" t="n">
        <v>701000</v>
      </c>
      <c r="B11" s="542" t="inlineStr">
        <is>
          <t>Ventes de marchandises</t>
        </is>
      </c>
      <c r="C11" s="542" t="n">
        <v>26500000</v>
      </c>
      <c r="D11" s="542" t="inlineStr">
        <is>
          <t>EUR</t>
        </is>
      </c>
      <c r="E11" s="542" t="n">
        <v>9</v>
      </c>
      <c r="F11" s="542" t="inlineStr">
        <is>
          <t>FR_ParentCo</t>
        </is>
      </c>
      <c r="G11" s="542" t="inlineStr">
        <is>
          <t>Crédit</t>
        </is>
      </c>
      <c r="H11" s="542" t="inlineStr">
        <is>
          <t>Opérationnel</t>
        </is>
      </c>
    </row>
    <row r="12">
      <c r="A12" s="540" t="n">
        <v>701000</v>
      </c>
      <c r="B12" s="540" t="inlineStr">
        <is>
          <t>Ventes de marchandises</t>
        </is>
      </c>
      <c r="C12" s="540" t="n">
        <v>30500000</v>
      </c>
      <c r="D12" s="540" t="inlineStr">
        <is>
          <t>EUR</t>
        </is>
      </c>
      <c r="E12" s="540" t="n">
        <v>10</v>
      </c>
      <c r="F12" s="540" t="inlineStr">
        <is>
          <t>FR_ParentCo</t>
        </is>
      </c>
      <c r="G12" s="540" t="inlineStr">
        <is>
          <t>Crédit</t>
        </is>
      </c>
      <c r="H12" s="540" t="inlineStr">
        <is>
          <t>Opérationnel</t>
        </is>
      </c>
    </row>
    <row r="13">
      <c r="A13" s="542" t="n">
        <v>701000</v>
      </c>
      <c r="B13" s="542" t="inlineStr">
        <is>
          <t>Ventes de marchandises</t>
        </is>
      </c>
      <c r="C13" s="542" t="n">
        <v>34000000</v>
      </c>
      <c r="D13" s="542" t="inlineStr">
        <is>
          <t>EUR</t>
        </is>
      </c>
      <c r="E13" s="542" t="n">
        <v>11</v>
      </c>
      <c r="F13" s="542" t="inlineStr">
        <is>
          <t>FR_ParentCo</t>
        </is>
      </c>
      <c r="G13" s="542" t="inlineStr">
        <is>
          <t>Crédit</t>
        </is>
      </c>
      <c r="H13" s="542" t="inlineStr">
        <is>
          <t>Opérationnel</t>
        </is>
      </c>
    </row>
    <row r="14">
      <c r="A14" s="540" t="n">
        <v>701000</v>
      </c>
      <c r="B14" s="540" t="inlineStr">
        <is>
          <t>Ventes de marchandises</t>
        </is>
      </c>
      <c r="C14" s="540" t="n">
        <v>33000000</v>
      </c>
      <c r="D14" s="540" t="inlineStr">
        <is>
          <t>EUR</t>
        </is>
      </c>
      <c r="E14" s="540" t="n">
        <v>12</v>
      </c>
      <c r="F14" s="540" t="inlineStr">
        <is>
          <t>FR_ParentCo</t>
        </is>
      </c>
      <c r="G14" s="540" t="inlineStr">
        <is>
          <t>Crédit</t>
        </is>
      </c>
      <c r="H14" s="540" t="inlineStr">
        <is>
          <t>Opérationnel</t>
        </is>
      </c>
    </row>
    <row r="15">
      <c r="A15" s="542" t="n">
        <v>706000</v>
      </c>
      <c r="B15" s="542" t="inlineStr">
        <is>
          <t>Prestations de services</t>
        </is>
      </c>
      <c r="C15" s="542" t="n">
        <v>1800000</v>
      </c>
      <c r="D15" s="542" t="inlineStr">
        <is>
          <t>EUR</t>
        </is>
      </c>
      <c r="E15" s="542" t="n">
        <v>3</v>
      </c>
      <c r="F15" s="542" t="inlineStr">
        <is>
          <t>FR_ParentCo</t>
        </is>
      </c>
      <c r="G15" s="542" t="inlineStr">
        <is>
          <t>Crédit</t>
        </is>
      </c>
      <c r="H15" s="542" t="inlineStr">
        <is>
          <t>Opérationnel</t>
        </is>
      </c>
    </row>
    <row r="16">
      <c r="A16" s="540" t="n">
        <v>706000</v>
      </c>
      <c r="B16" s="540" t="inlineStr">
        <is>
          <t>Prestations de services</t>
        </is>
      </c>
      <c r="C16" s="540" t="n">
        <v>2200000</v>
      </c>
      <c r="D16" s="540" t="inlineStr">
        <is>
          <t>EUR</t>
        </is>
      </c>
      <c r="E16" s="540" t="n">
        <v>6</v>
      </c>
      <c r="F16" s="540" t="inlineStr">
        <is>
          <t>FR_ParentCo</t>
        </is>
      </c>
      <c r="G16" s="540" t="inlineStr">
        <is>
          <t>Crédit</t>
        </is>
      </c>
      <c r="H16" s="540" t="inlineStr">
        <is>
          <t>Opérationnel</t>
        </is>
      </c>
    </row>
    <row r="17">
      <c r="A17" s="542" t="n">
        <v>706000</v>
      </c>
      <c r="B17" s="542" t="inlineStr">
        <is>
          <t>Prestations de services</t>
        </is>
      </c>
      <c r="C17" s="542" t="n">
        <v>2800000</v>
      </c>
      <c r="D17" s="542" t="inlineStr">
        <is>
          <t>EUR</t>
        </is>
      </c>
      <c r="E17" s="542" t="n">
        <v>9</v>
      </c>
      <c r="F17" s="542" t="inlineStr">
        <is>
          <t>FR_ParentCo</t>
        </is>
      </c>
      <c r="G17" s="542" t="inlineStr">
        <is>
          <t>Crédit</t>
        </is>
      </c>
      <c r="H17" s="542" t="inlineStr">
        <is>
          <t>Opérationnel</t>
        </is>
      </c>
    </row>
    <row r="18">
      <c r="A18" s="540" t="n">
        <v>706000</v>
      </c>
      <c r="B18" s="540" t="inlineStr">
        <is>
          <t>Prestations de services</t>
        </is>
      </c>
      <c r="C18" s="540" t="n">
        <v>3200000</v>
      </c>
      <c r="D18" s="540" t="inlineStr">
        <is>
          <t>EUR</t>
        </is>
      </c>
      <c r="E18" s="540" t="n">
        <v>12</v>
      </c>
      <c r="F18" s="540" t="inlineStr">
        <is>
          <t>FR_ParentCo</t>
        </is>
      </c>
      <c r="G18" s="540" t="inlineStr">
        <is>
          <t>Crédit</t>
        </is>
      </c>
      <c r="H18" s="540" t="inlineStr">
        <is>
          <t>Opérationnel</t>
        </is>
      </c>
    </row>
    <row r="19">
      <c r="A19" s="542" t="n">
        <v>708500</v>
      </c>
      <c r="B19" s="542" t="inlineStr">
        <is>
          <t>Refacturations interco (IC)</t>
        </is>
      </c>
      <c r="C19" s="542" t="n">
        <v>4200000</v>
      </c>
      <c r="D19" s="542" t="inlineStr">
        <is>
          <t>EUR</t>
        </is>
      </c>
      <c r="E19" s="542" t="n">
        <v>3</v>
      </c>
      <c r="F19" s="542" t="inlineStr">
        <is>
          <t>FR_ParentCo</t>
        </is>
      </c>
      <c r="G19" s="542" t="inlineStr">
        <is>
          <t>Crédit</t>
        </is>
      </c>
      <c r="H19" s="542" t="inlineStr">
        <is>
          <t>Élimination_IC</t>
        </is>
      </c>
    </row>
    <row r="20">
      <c r="A20" s="540" t="n">
        <v>708500</v>
      </c>
      <c r="B20" s="540" t="inlineStr">
        <is>
          <t>Refacturations interco (IC)</t>
        </is>
      </c>
      <c r="C20" s="540" t="n">
        <v>4500000</v>
      </c>
      <c r="D20" s="540" t="inlineStr">
        <is>
          <t>EUR</t>
        </is>
      </c>
      <c r="E20" s="540" t="n">
        <v>6</v>
      </c>
      <c r="F20" s="540" t="inlineStr">
        <is>
          <t>FR_ParentCo</t>
        </is>
      </c>
      <c r="G20" s="540" t="inlineStr">
        <is>
          <t>Crédit</t>
        </is>
      </c>
      <c r="H20" s="540" t="inlineStr">
        <is>
          <t>Élimination_IC</t>
        </is>
      </c>
    </row>
    <row r="21">
      <c r="A21" s="542" t="n">
        <v>708500</v>
      </c>
      <c r="B21" s="542" t="inlineStr">
        <is>
          <t>Refacturations interco (IC)</t>
        </is>
      </c>
      <c r="C21" s="542" t="n">
        <v>5000000</v>
      </c>
      <c r="D21" s="542" t="inlineStr">
        <is>
          <t>EUR</t>
        </is>
      </c>
      <c r="E21" s="542" t="n">
        <v>9</v>
      </c>
      <c r="F21" s="542" t="inlineStr">
        <is>
          <t>FR_ParentCo</t>
        </is>
      </c>
      <c r="G21" s="542" t="inlineStr">
        <is>
          <t>Crédit</t>
        </is>
      </c>
      <c r="H21" s="542" t="inlineStr">
        <is>
          <t>Élimination_IC</t>
        </is>
      </c>
    </row>
    <row r="22">
      <c r="A22" s="540" t="n">
        <v>708500</v>
      </c>
      <c r="B22" s="540" t="inlineStr">
        <is>
          <t>Refacturations interco (IC)</t>
        </is>
      </c>
      <c r="C22" s="540" t="n">
        <v>4800000</v>
      </c>
      <c r="D22" s="540" t="inlineStr">
        <is>
          <t>EUR</t>
        </is>
      </c>
      <c r="E22" s="540" t="n">
        <v>12</v>
      </c>
      <c r="F22" s="540" t="inlineStr">
        <is>
          <t>FR_ParentCo</t>
        </is>
      </c>
      <c r="G22" s="540" t="inlineStr">
        <is>
          <t>Crédit</t>
        </is>
      </c>
      <c r="H22" s="540" t="inlineStr">
        <is>
          <t>Élimination_IC</t>
        </is>
      </c>
    </row>
    <row r="23">
      <c r="A23" s="542" t="n">
        <v>601000</v>
      </c>
      <c r="B23" s="542" t="inlineStr">
        <is>
          <t>Achats de marchandises</t>
        </is>
      </c>
      <c r="C23" s="542" t="n">
        <v>-38500000</v>
      </c>
      <c r="D23" s="542" t="inlineStr">
        <is>
          <t>EUR</t>
        </is>
      </c>
      <c r="E23" s="542" t="n">
        <v>6</v>
      </c>
      <c r="F23" s="542" t="inlineStr">
        <is>
          <t>FR_ParentCo</t>
        </is>
      </c>
      <c r="G23" s="542" t="inlineStr">
        <is>
          <t>Débit</t>
        </is>
      </c>
      <c r="H23" s="542" t="inlineStr">
        <is>
          <t>Opérationnel</t>
        </is>
      </c>
    </row>
    <row r="24">
      <c r="A24" s="540" t="n">
        <v>601000</v>
      </c>
      <c r="B24" s="540" t="inlineStr">
        <is>
          <t>Achats de marchandises</t>
        </is>
      </c>
      <c r="C24" s="540" t="n">
        <v>-40200000</v>
      </c>
      <c r="D24" s="540" t="inlineStr">
        <is>
          <t>EUR</t>
        </is>
      </c>
      <c r="E24" s="540" t="n">
        <v>12</v>
      </c>
      <c r="F24" s="540" t="inlineStr">
        <is>
          <t>FR_ParentCo</t>
        </is>
      </c>
      <c r="G24" s="540" t="inlineStr">
        <is>
          <t>Débit</t>
        </is>
      </c>
      <c r="H24" s="540" t="inlineStr">
        <is>
          <t>Opérationnel</t>
        </is>
      </c>
    </row>
    <row r="25">
      <c r="A25" s="542" t="n">
        <v>621000</v>
      </c>
      <c r="B25" s="542" t="inlineStr">
        <is>
          <t>Sous-traitance générale</t>
        </is>
      </c>
      <c r="C25" s="542" t="n">
        <v>-12800000</v>
      </c>
      <c r="D25" s="542" t="inlineStr">
        <is>
          <t>EUR</t>
        </is>
      </c>
      <c r="E25" s="542" t="n">
        <v>6</v>
      </c>
      <c r="F25" s="542" t="inlineStr">
        <is>
          <t>FR_ParentCo</t>
        </is>
      </c>
      <c r="G25" s="542" t="inlineStr">
        <is>
          <t>Débit</t>
        </is>
      </c>
      <c r="H25" s="542" t="inlineStr">
        <is>
          <t>Opérationnel</t>
        </is>
      </c>
    </row>
    <row r="26">
      <c r="A26" s="540" t="n">
        <v>621000</v>
      </c>
      <c r="B26" s="540" t="inlineStr">
        <is>
          <t>Sous-traitance générale</t>
        </is>
      </c>
      <c r="C26" s="540" t="n">
        <v>-13200000</v>
      </c>
      <c r="D26" s="540" t="inlineStr">
        <is>
          <t>EUR</t>
        </is>
      </c>
      <c r="E26" s="540" t="n">
        <v>12</v>
      </c>
      <c r="F26" s="540" t="inlineStr">
        <is>
          <t>FR_ParentCo</t>
        </is>
      </c>
      <c r="G26" s="540" t="inlineStr">
        <is>
          <t>Débit</t>
        </is>
      </c>
      <c r="H26" s="540" t="inlineStr">
        <is>
          <t>Opérationnel</t>
        </is>
      </c>
    </row>
    <row r="27">
      <c r="A27" s="542" t="n">
        <v>631000</v>
      </c>
      <c r="B27" s="542" t="inlineStr">
        <is>
          <t>Charges de personnel</t>
        </is>
      </c>
      <c r="C27" s="542" t="n">
        <v>-32500000</v>
      </c>
      <c r="D27" s="542" t="inlineStr">
        <is>
          <t>EUR</t>
        </is>
      </c>
      <c r="E27" s="542" t="n">
        <v>6</v>
      </c>
      <c r="F27" s="542" t="inlineStr">
        <is>
          <t>FR_ParentCo</t>
        </is>
      </c>
      <c r="G27" s="542" t="inlineStr">
        <is>
          <t>Débit</t>
        </is>
      </c>
      <c r="H27" s="542" t="inlineStr">
        <is>
          <t>Opérationnel</t>
        </is>
      </c>
    </row>
    <row r="28">
      <c r="A28" s="540" t="n">
        <v>631000</v>
      </c>
      <c r="B28" s="540" t="inlineStr">
        <is>
          <t>Charges de personnel</t>
        </is>
      </c>
      <c r="C28" s="540" t="n">
        <v>-34200000</v>
      </c>
      <c r="D28" s="540" t="inlineStr">
        <is>
          <t>EUR</t>
        </is>
      </c>
      <c r="E28" s="540" t="n">
        <v>12</v>
      </c>
      <c r="F28" s="540" t="inlineStr">
        <is>
          <t>FR_ParentCo</t>
        </is>
      </c>
      <c r="G28" s="540" t="inlineStr">
        <is>
          <t>Débit</t>
        </is>
      </c>
      <c r="H28" s="540" t="inlineStr">
        <is>
          <t>Opérationnel</t>
        </is>
      </c>
    </row>
    <row r="29">
      <c r="A29" s="542" t="n">
        <v>641100</v>
      </c>
      <c r="B29" s="542" t="inlineStr">
        <is>
          <t>Salaires bruts</t>
        </is>
      </c>
      <c r="C29" s="542" t="n">
        <v>-18500000</v>
      </c>
      <c r="D29" s="542" t="inlineStr">
        <is>
          <t>EUR</t>
        </is>
      </c>
      <c r="E29" s="542" t="n">
        <v>6</v>
      </c>
      <c r="F29" s="542" t="inlineStr">
        <is>
          <t>FR_ParentCo</t>
        </is>
      </c>
      <c r="G29" s="542" t="inlineStr">
        <is>
          <t>Débit</t>
        </is>
      </c>
      <c r="H29" s="542" t="inlineStr">
        <is>
          <t>Opérationnel</t>
        </is>
      </c>
    </row>
    <row r="30">
      <c r="A30" s="540" t="n">
        <v>641100</v>
      </c>
      <c r="B30" s="540" t="inlineStr">
        <is>
          <t>Salaires bruts</t>
        </is>
      </c>
      <c r="C30" s="540" t="n">
        <v>-19800000</v>
      </c>
      <c r="D30" s="540" t="inlineStr">
        <is>
          <t>EUR</t>
        </is>
      </c>
      <c r="E30" s="540" t="n">
        <v>12</v>
      </c>
      <c r="F30" s="540" t="inlineStr">
        <is>
          <t>FR_ParentCo</t>
        </is>
      </c>
      <c r="G30" s="540" t="inlineStr">
        <is>
          <t>Débit</t>
        </is>
      </c>
      <c r="H30" s="540" t="inlineStr">
        <is>
          <t>Opérationnel</t>
        </is>
      </c>
    </row>
    <row r="31">
      <c r="A31" s="542" t="n">
        <v>681100</v>
      </c>
      <c r="B31" s="542" t="inlineStr">
        <is>
          <t>Amortissement immobilisations</t>
        </is>
      </c>
      <c r="C31" s="542" t="n">
        <v>-10200000</v>
      </c>
      <c r="D31" s="542" t="inlineStr">
        <is>
          <t>EUR</t>
        </is>
      </c>
      <c r="E31" s="542" t="n">
        <v>6</v>
      </c>
      <c r="F31" s="542" t="inlineStr">
        <is>
          <t>FR_ParentCo</t>
        </is>
      </c>
      <c r="G31" s="542" t="inlineStr">
        <is>
          <t>Débit</t>
        </is>
      </c>
      <c r="H31" s="542" t="inlineStr">
        <is>
          <t>Opérationnel</t>
        </is>
      </c>
    </row>
    <row r="32">
      <c r="A32" s="540" t="n">
        <v>681100</v>
      </c>
      <c r="B32" s="540" t="inlineStr">
        <is>
          <t>Amortissement immobilisations</t>
        </is>
      </c>
      <c r="C32" s="540" t="n">
        <v>-11800000</v>
      </c>
      <c r="D32" s="540" t="inlineStr">
        <is>
          <t>EUR</t>
        </is>
      </c>
      <c r="E32" s="540" t="n">
        <v>12</v>
      </c>
      <c r="F32" s="540" t="inlineStr">
        <is>
          <t>FR_ParentCo</t>
        </is>
      </c>
      <c r="G32" s="540" t="inlineStr">
        <is>
          <t>Débit</t>
        </is>
      </c>
      <c r="H32" s="540" t="inlineStr">
        <is>
          <t>Opérationnel</t>
        </is>
      </c>
    </row>
    <row r="33">
      <c r="A33" s="542" t="n">
        <v>686200</v>
      </c>
      <c r="B33" s="542" t="inlineStr">
        <is>
          <t>Amortissement droits d'utilisation (IFRS 16)</t>
        </is>
      </c>
      <c r="C33" s="542" t="n">
        <v>-2200000</v>
      </c>
      <c r="D33" s="542" t="inlineStr">
        <is>
          <t>EUR</t>
        </is>
      </c>
      <c r="E33" s="542" t="n">
        <v>6</v>
      </c>
      <c r="F33" s="542" t="inlineStr">
        <is>
          <t>FR_ParentCo</t>
        </is>
      </c>
      <c r="G33" s="542" t="inlineStr">
        <is>
          <t>Débit</t>
        </is>
      </c>
      <c r="H33" s="542" t="inlineStr">
        <is>
          <t>Opérationnel</t>
        </is>
      </c>
    </row>
    <row r="34">
      <c r="A34" s="540" t="n">
        <v>686200</v>
      </c>
      <c r="B34" s="540" t="inlineStr">
        <is>
          <t>Amortissement droits d'utilisation (IFRS 16)</t>
        </is>
      </c>
      <c r="C34" s="540" t="n">
        <v>-2400000</v>
      </c>
      <c r="D34" s="540" t="inlineStr">
        <is>
          <t>EUR</t>
        </is>
      </c>
      <c r="E34" s="540" t="n">
        <v>12</v>
      </c>
      <c r="F34" s="540" t="inlineStr">
        <is>
          <t>FR_ParentCo</t>
        </is>
      </c>
      <c r="G34" s="540" t="inlineStr">
        <is>
          <t>Débit</t>
        </is>
      </c>
      <c r="H34" s="540" t="inlineStr">
        <is>
          <t>Opérationnel</t>
        </is>
      </c>
    </row>
    <row r="35">
      <c r="A35" s="542" t="n">
        <v>761000</v>
      </c>
      <c r="B35" s="542" t="inlineStr">
        <is>
          <t>Produits de participations (dividendes IC)</t>
        </is>
      </c>
      <c r="C35" s="542" t="n">
        <v>4200000</v>
      </c>
      <c r="D35" s="542" t="inlineStr">
        <is>
          <t>EUR</t>
        </is>
      </c>
      <c r="E35" s="542" t="n">
        <v>12</v>
      </c>
      <c r="F35" s="542" t="inlineStr">
        <is>
          <t>FR_ParentCo</t>
        </is>
      </c>
      <c r="G35" s="542" t="inlineStr">
        <is>
          <t>Crédit</t>
        </is>
      </c>
      <c r="H35" s="542" t="inlineStr">
        <is>
          <t>Investissement_IC</t>
        </is>
      </c>
    </row>
    <row r="36">
      <c r="A36" s="540" t="n">
        <v>762000</v>
      </c>
      <c r="B36" s="540" t="inlineStr">
        <is>
          <t>Produits sur cessions actifs</t>
        </is>
      </c>
      <c r="C36" s="540" t="n">
        <v>1500000</v>
      </c>
      <c r="D36" s="540" t="inlineStr">
        <is>
          <t>EUR</t>
        </is>
      </c>
      <c r="E36" s="540" t="n">
        <v>9</v>
      </c>
      <c r="F36" s="540" t="inlineStr">
        <is>
          <t>FR_ParentCo</t>
        </is>
      </c>
      <c r="G36" s="540" t="inlineStr">
        <is>
          <t>Crédit</t>
        </is>
      </c>
      <c r="H36" s="540" t="inlineStr">
        <is>
          <t>Investissement</t>
        </is>
      </c>
    </row>
    <row r="37">
      <c r="A37" s="542" t="n">
        <v>764000</v>
      </c>
      <c r="B37" s="542" t="inlineStr">
        <is>
          <t>Revenus des placements CT</t>
        </is>
      </c>
      <c r="C37" s="542" t="n">
        <v>890000</v>
      </c>
      <c r="D37" s="542" t="inlineStr">
        <is>
          <t>EUR</t>
        </is>
      </c>
      <c r="E37" s="542" t="n">
        <v>12</v>
      </c>
      <c r="F37" s="542" t="inlineStr">
        <is>
          <t>FR_ParentCo</t>
        </is>
      </c>
      <c r="G37" s="542" t="inlineStr">
        <is>
          <t>Crédit</t>
        </is>
      </c>
      <c r="H37" s="542" t="inlineStr">
        <is>
          <t>Investissement</t>
        </is>
      </c>
    </row>
    <row r="38">
      <c r="A38" s="540" t="n">
        <v>661100</v>
      </c>
      <c r="B38" s="540" t="inlineStr">
        <is>
          <t>Charges d'intérêts emprunts</t>
        </is>
      </c>
      <c r="C38" s="540" t="n">
        <v>-4200000</v>
      </c>
      <c r="D38" s="540" t="inlineStr">
        <is>
          <t>EUR</t>
        </is>
      </c>
      <c r="E38" s="540" t="n">
        <v>6</v>
      </c>
      <c r="F38" s="540" t="inlineStr">
        <is>
          <t>FR_ParentCo</t>
        </is>
      </c>
      <c r="G38" s="540" t="inlineStr">
        <is>
          <t>Débit</t>
        </is>
      </c>
      <c r="H38" s="540" t="inlineStr">
        <is>
          <t>Financement</t>
        </is>
      </c>
    </row>
    <row r="39">
      <c r="A39" s="542" t="n">
        <v>661100</v>
      </c>
      <c r="B39" s="542" t="inlineStr">
        <is>
          <t>Charges d'intérêts emprunts</t>
        </is>
      </c>
      <c r="C39" s="542" t="n">
        <v>-4000000</v>
      </c>
      <c r="D39" s="542" t="inlineStr">
        <is>
          <t>EUR</t>
        </is>
      </c>
      <c r="E39" s="542" t="n">
        <v>12</v>
      </c>
      <c r="F39" s="542" t="inlineStr">
        <is>
          <t>FR_ParentCo</t>
        </is>
      </c>
      <c r="G39" s="542" t="inlineStr">
        <is>
          <t>Débit</t>
        </is>
      </c>
      <c r="H39" s="542" t="inlineStr">
        <is>
          <t>Financement</t>
        </is>
      </c>
    </row>
    <row r="40">
      <c r="A40" s="540" t="n">
        <v>661200</v>
      </c>
      <c r="B40" s="540" t="inlineStr">
        <is>
          <t>Intérêts dettes locatives IFRS 16</t>
        </is>
      </c>
      <c r="C40" s="540" t="n">
        <v>-900000</v>
      </c>
      <c r="D40" s="540" t="inlineStr">
        <is>
          <t>EUR</t>
        </is>
      </c>
      <c r="E40" s="540" t="n">
        <v>6</v>
      </c>
      <c r="F40" s="540" t="inlineStr">
        <is>
          <t>FR_ParentCo</t>
        </is>
      </c>
      <c r="G40" s="540" t="inlineStr">
        <is>
          <t>Débit</t>
        </is>
      </c>
      <c r="H40" s="540" t="inlineStr">
        <is>
          <t>Financement</t>
        </is>
      </c>
    </row>
    <row r="41">
      <c r="A41" s="542" t="n">
        <v>661200</v>
      </c>
      <c r="B41" s="542" t="inlineStr">
        <is>
          <t>Intérêts dettes locatives IFRS 16</t>
        </is>
      </c>
      <c r="C41" s="542" t="n">
        <v>-900000</v>
      </c>
      <c r="D41" s="542" t="inlineStr">
        <is>
          <t>EUR</t>
        </is>
      </c>
      <c r="E41" s="542" t="n">
        <v>12</v>
      </c>
      <c r="F41" s="542" t="inlineStr">
        <is>
          <t>FR_ParentCo</t>
        </is>
      </c>
      <c r="G41" s="542" t="inlineStr">
        <is>
          <t>Débit</t>
        </is>
      </c>
      <c r="H41" s="542" t="inlineStr">
        <is>
          <t>Financement</t>
        </is>
      </c>
    </row>
    <row r="42">
      <c r="A42" s="540" t="n">
        <v>695000</v>
      </c>
      <c r="B42" s="540" t="inlineStr">
        <is>
          <t>Charge IS courant</t>
        </is>
      </c>
      <c r="C42" s="540" t="n">
        <v>-6200000</v>
      </c>
      <c r="D42" s="540" t="inlineStr">
        <is>
          <t>EUR</t>
        </is>
      </c>
      <c r="E42" s="540" t="n">
        <v>6</v>
      </c>
      <c r="F42" s="540" t="inlineStr">
        <is>
          <t>FR_ParentCo</t>
        </is>
      </c>
      <c r="G42" s="540" t="inlineStr">
        <is>
          <t>Débit</t>
        </is>
      </c>
      <c r="H42" s="540" t="inlineStr">
        <is>
          <t>Impôts</t>
        </is>
      </c>
    </row>
    <row r="43">
      <c r="A43" s="542" t="n">
        <v>695000</v>
      </c>
      <c r="B43" s="542" t="inlineStr">
        <is>
          <t>Charge IS courant</t>
        </is>
      </c>
      <c r="C43" s="542" t="n">
        <v>-6200000</v>
      </c>
      <c r="D43" s="542" t="inlineStr">
        <is>
          <t>EUR</t>
        </is>
      </c>
      <c r="E43" s="542" t="n">
        <v>12</v>
      </c>
      <c r="F43" s="542" t="inlineStr">
        <is>
          <t>FR_ParentCo</t>
        </is>
      </c>
      <c r="G43" s="542" t="inlineStr">
        <is>
          <t>Débit</t>
        </is>
      </c>
      <c r="H43" s="542" t="inlineStr">
        <is>
          <t>Impôts</t>
        </is>
      </c>
    </row>
    <row r="44">
      <c r="A44" s="540" t="n">
        <v>693000</v>
      </c>
      <c r="B44" s="540" t="inlineStr">
        <is>
          <t>Variation impôts différés</t>
        </is>
      </c>
      <c r="C44" s="540" t="n">
        <v>-600000</v>
      </c>
      <c r="D44" s="540" t="inlineStr">
        <is>
          <t>EUR</t>
        </is>
      </c>
      <c r="E44" s="540" t="n">
        <v>6</v>
      </c>
      <c r="F44" s="540" t="inlineStr">
        <is>
          <t>FR_ParentCo</t>
        </is>
      </c>
      <c r="G44" s="540" t="inlineStr">
        <is>
          <t>Débit</t>
        </is>
      </c>
      <c r="H44" s="540" t="inlineStr">
        <is>
          <t>Impôts</t>
        </is>
      </c>
    </row>
    <row r="45">
      <c r="A45" s="542" t="n">
        <v>693000</v>
      </c>
      <c r="B45" s="542" t="inlineStr">
        <is>
          <t>Variation impôts différés</t>
        </is>
      </c>
      <c r="C45" s="542" t="n">
        <v>-600000</v>
      </c>
      <c r="D45" s="542" t="inlineStr">
        <is>
          <t>EUR</t>
        </is>
      </c>
      <c r="E45" s="542" t="n">
        <v>12</v>
      </c>
      <c r="F45" s="542" t="inlineStr">
        <is>
          <t>FR_ParentCo</t>
        </is>
      </c>
      <c r="G45" s="542" t="inlineStr">
        <is>
          <t>Débit</t>
        </is>
      </c>
      <c r="H45" s="542" t="inlineStr">
        <is>
          <t>Impôts</t>
        </is>
      </c>
    </row>
    <row r="46">
      <c r="A46" s="540" t="n">
        <v>211000</v>
      </c>
      <c r="B46" s="540" t="inlineStr">
        <is>
          <t>Fonds commercial (Goodwill)</t>
        </is>
      </c>
      <c r="C46" s="540" t="n">
        <v>85000000</v>
      </c>
      <c r="D46" s="540" t="inlineStr">
        <is>
          <t>EUR</t>
        </is>
      </c>
      <c r="E46" s="540" t="n">
        <v>12</v>
      </c>
      <c r="F46" s="540" t="inlineStr">
        <is>
          <t>FR_ParentCo</t>
        </is>
      </c>
      <c r="G46" s="540" t="inlineStr">
        <is>
          <t>Actif</t>
        </is>
      </c>
      <c r="H46" s="540" t="inlineStr">
        <is>
          <t>Bilan</t>
        </is>
      </c>
    </row>
    <row r="47">
      <c r="A47" s="542" t="n">
        <v>215000</v>
      </c>
      <c r="B47" s="542" t="inlineStr">
        <is>
          <t>Installations &amp; agencements</t>
        </is>
      </c>
      <c r="C47" s="542" t="n">
        <v>142000000</v>
      </c>
      <c r="D47" s="542" t="inlineStr">
        <is>
          <t>EUR</t>
        </is>
      </c>
      <c r="E47" s="542" t="n">
        <v>12</v>
      </c>
      <c r="F47" s="542" t="inlineStr">
        <is>
          <t>FR_ParentCo</t>
        </is>
      </c>
      <c r="G47" s="542" t="inlineStr">
        <is>
          <t>Actif</t>
        </is>
      </c>
      <c r="H47" s="542" t="inlineStr">
        <is>
          <t>Bilan</t>
        </is>
      </c>
    </row>
    <row r="48">
      <c r="A48" s="540" t="n">
        <v>232100</v>
      </c>
      <c r="B48" s="540" t="inlineStr">
        <is>
          <t>Droits d'utilisation IFRS 16</t>
        </is>
      </c>
      <c r="C48" s="540" t="n">
        <v>28500000</v>
      </c>
      <c r="D48" s="540" t="inlineStr">
        <is>
          <t>EUR</t>
        </is>
      </c>
      <c r="E48" s="540" t="n">
        <v>12</v>
      </c>
      <c r="F48" s="540" t="inlineStr">
        <is>
          <t>FR_ParentCo</t>
        </is>
      </c>
      <c r="G48" s="540" t="inlineStr">
        <is>
          <t>Actif</t>
        </is>
      </c>
      <c r="H48" s="540" t="inlineStr">
        <is>
          <t>Bilan</t>
        </is>
      </c>
    </row>
    <row r="49">
      <c r="A49" s="542" t="n">
        <v>261000</v>
      </c>
      <c r="B49" s="542" t="inlineStr">
        <is>
          <t>Titres de participation</t>
        </is>
      </c>
      <c r="C49" s="542" t="n">
        <v>95000000</v>
      </c>
      <c r="D49" s="542" t="inlineStr">
        <is>
          <t>EUR</t>
        </is>
      </c>
      <c r="E49" s="542" t="n">
        <v>12</v>
      </c>
      <c r="F49" s="542" t="inlineStr">
        <is>
          <t>FR_ParentCo</t>
        </is>
      </c>
      <c r="G49" s="542" t="inlineStr">
        <is>
          <t>Actif</t>
        </is>
      </c>
      <c r="H49" s="542" t="inlineStr">
        <is>
          <t>Bilan</t>
        </is>
      </c>
    </row>
    <row r="50">
      <c r="A50" s="540" t="n">
        <v>311000</v>
      </c>
      <c r="B50" s="540" t="inlineStr">
        <is>
          <t>Stocks de marchandises</t>
        </is>
      </c>
      <c r="C50" s="540" t="n">
        <v>45200000</v>
      </c>
      <c r="D50" s="540" t="inlineStr">
        <is>
          <t>EUR</t>
        </is>
      </c>
      <c r="E50" s="540" t="n">
        <v>12</v>
      </c>
      <c r="F50" s="540" t="inlineStr">
        <is>
          <t>FR_ParentCo</t>
        </is>
      </c>
      <c r="G50" s="540" t="inlineStr">
        <is>
          <t>Actif</t>
        </is>
      </c>
      <c r="H50" s="540" t="inlineStr">
        <is>
          <t>Bilan</t>
        </is>
      </c>
    </row>
    <row r="51">
      <c r="A51" s="542" t="n">
        <v>411000</v>
      </c>
      <c r="B51" s="542" t="inlineStr">
        <is>
          <t>Créances clients</t>
        </is>
      </c>
      <c r="C51" s="542" t="n">
        <v>67800000</v>
      </c>
      <c r="D51" s="542" t="inlineStr">
        <is>
          <t>EUR</t>
        </is>
      </c>
      <c r="E51" s="542" t="n">
        <v>12</v>
      </c>
      <c r="F51" s="542" t="inlineStr">
        <is>
          <t>FR_ParentCo</t>
        </is>
      </c>
      <c r="G51" s="542" t="inlineStr">
        <is>
          <t>Actif</t>
        </is>
      </c>
      <c r="H51" s="542" t="inlineStr">
        <is>
          <t>Bilan</t>
        </is>
      </c>
    </row>
    <row r="52">
      <c r="A52" s="540" t="n">
        <v>451000</v>
      </c>
      <c r="B52" s="540" t="inlineStr">
        <is>
          <t>Créances interco (IC)</t>
        </is>
      </c>
      <c r="C52" s="540" t="n">
        <v>23500000</v>
      </c>
      <c r="D52" s="540" t="inlineStr">
        <is>
          <t>EUR</t>
        </is>
      </c>
      <c r="E52" s="540" t="n">
        <v>12</v>
      </c>
      <c r="F52" s="540" t="inlineStr">
        <is>
          <t>FR_ParentCo</t>
        </is>
      </c>
      <c r="G52" s="540" t="inlineStr">
        <is>
          <t>Actif</t>
        </is>
      </c>
      <c r="H52" s="540" t="inlineStr">
        <is>
          <t>Bilan_IC</t>
        </is>
      </c>
    </row>
    <row r="53">
      <c r="A53" s="542" t="n">
        <v>512000</v>
      </c>
      <c r="B53" s="542" t="inlineStr">
        <is>
          <t>Banques &amp; caisses</t>
        </is>
      </c>
      <c r="C53" s="542" t="n">
        <v>54300000</v>
      </c>
      <c r="D53" s="542" t="inlineStr">
        <is>
          <t>EUR</t>
        </is>
      </c>
      <c r="E53" s="542" t="n">
        <v>12</v>
      </c>
      <c r="F53" s="542" t="inlineStr">
        <is>
          <t>FR_ParentCo</t>
        </is>
      </c>
      <c r="G53" s="542" t="inlineStr">
        <is>
          <t>Actif</t>
        </is>
      </c>
      <c r="H53" s="542" t="inlineStr">
        <is>
          <t>Bilan</t>
        </is>
      </c>
    </row>
    <row r="54">
      <c r="A54" s="540" t="n">
        <v>101000</v>
      </c>
      <c r="B54" s="540" t="inlineStr">
        <is>
          <t>Capital social</t>
        </is>
      </c>
      <c r="C54" s="540" t="n">
        <v>50000000</v>
      </c>
      <c r="D54" s="540" t="inlineStr">
        <is>
          <t>EUR</t>
        </is>
      </c>
      <c r="E54" s="540" t="n">
        <v>12</v>
      </c>
      <c r="F54" s="540" t="inlineStr">
        <is>
          <t>FR_ParentCo</t>
        </is>
      </c>
      <c r="G54" s="540" t="inlineStr">
        <is>
          <t>Passif</t>
        </is>
      </c>
      <c r="H54" s="540" t="inlineStr">
        <is>
          <t>Bilan</t>
        </is>
      </c>
    </row>
    <row r="55">
      <c r="A55" s="542" t="n">
        <v>106000</v>
      </c>
      <c r="B55" s="542" t="inlineStr">
        <is>
          <t>Réserves consolidées</t>
        </is>
      </c>
      <c r="C55" s="542" t="n">
        <v>128500000</v>
      </c>
      <c r="D55" s="542" t="inlineStr">
        <is>
          <t>EUR</t>
        </is>
      </c>
      <c r="E55" s="542" t="n">
        <v>12</v>
      </c>
      <c r="F55" s="542" t="inlineStr">
        <is>
          <t>FR_ParentCo</t>
        </is>
      </c>
      <c r="G55" s="542" t="inlineStr">
        <is>
          <t>Passif</t>
        </is>
      </c>
      <c r="H55" s="542" t="inlineStr">
        <is>
          <t>Bilan</t>
        </is>
      </c>
    </row>
    <row r="56">
      <c r="A56" s="540" t="n">
        <v>164000</v>
      </c>
      <c r="B56" s="540" t="inlineStr">
        <is>
          <t>Emprunts LT</t>
        </is>
      </c>
      <c r="C56" s="540" t="n">
        <v>125000000</v>
      </c>
      <c r="D56" s="540" t="inlineStr">
        <is>
          <t>EUR</t>
        </is>
      </c>
      <c r="E56" s="540" t="n">
        <v>12</v>
      </c>
      <c r="F56" s="540" t="inlineStr">
        <is>
          <t>FR_ParentCo</t>
        </is>
      </c>
      <c r="G56" s="540" t="inlineStr">
        <is>
          <t>Passif</t>
        </is>
      </c>
      <c r="H56" s="540" t="inlineStr">
        <is>
          <t>Bilan</t>
        </is>
      </c>
    </row>
    <row r="57">
      <c r="A57" s="542" t="n">
        <v>167400</v>
      </c>
      <c r="B57" s="542" t="inlineStr">
        <is>
          <t>Dettes locatives LT IFRS 16</t>
        </is>
      </c>
      <c r="C57" s="542" t="n">
        <v>22800000</v>
      </c>
      <c r="D57" s="542" t="inlineStr">
        <is>
          <t>EUR</t>
        </is>
      </c>
      <c r="E57" s="542" t="n">
        <v>12</v>
      </c>
      <c r="F57" s="542" t="inlineStr">
        <is>
          <t>FR_ParentCo</t>
        </is>
      </c>
      <c r="G57" s="542" t="inlineStr">
        <is>
          <t>Passif</t>
        </is>
      </c>
      <c r="H57" s="542" t="inlineStr">
        <is>
          <t>Bilan</t>
        </is>
      </c>
    </row>
    <row r="58">
      <c r="A58" s="540" t="n">
        <v>401000</v>
      </c>
      <c r="B58" s="540" t="inlineStr">
        <is>
          <t>Dettes fournisseurs</t>
        </is>
      </c>
      <c r="C58" s="540" t="n">
        <v>38200000</v>
      </c>
      <c r="D58" s="540" t="inlineStr">
        <is>
          <t>EUR</t>
        </is>
      </c>
      <c r="E58" s="540" t="n">
        <v>12</v>
      </c>
      <c r="F58" s="540" t="inlineStr">
        <is>
          <t>FR_ParentCo</t>
        </is>
      </c>
      <c r="G58" s="540" t="inlineStr">
        <is>
          <t>Passif</t>
        </is>
      </c>
      <c r="H58" s="540" t="inlineStr">
        <is>
          <t>Bilan</t>
        </is>
      </c>
    </row>
    <row r="59">
      <c r="A59" s="542" t="n">
        <v>451500</v>
      </c>
      <c r="B59" s="542" t="inlineStr">
        <is>
          <t>Dettes interco (IC)</t>
        </is>
      </c>
      <c r="C59" s="542" t="n">
        <v>21400000</v>
      </c>
      <c r="D59" s="542" t="inlineStr">
        <is>
          <t>EUR</t>
        </is>
      </c>
      <c r="E59" s="542" t="n">
        <v>12</v>
      </c>
      <c r="F59" s="542" t="inlineStr">
        <is>
          <t>FR_ParentCo</t>
        </is>
      </c>
      <c r="G59" s="542" t="inlineStr">
        <is>
          <t>Passif</t>
        </is>
      </c>
      <c r="H59" s="542" t="inlineStr">
        <is>
          <t>Bilan_IC</t>
        </is>
      </c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1E8449"/>
    <outlinePr summaryBelow="1" summaryRight="1"/>
    <pageSetUpPr/>
  </sheetPr>
  <dimension ref="A1:H27"/>
  <sheetViews>
    <sheetView showGridLines="0" workbookViewId="0">
      <selection activeCell="A1" sqref="A1:H1"/>
    </sheetView>
  </sheetViews>
  <sheetFormatPr baseColWidth="10" defaultRowHeight="15"/>
  <cols>
    <col width="16" customWidth="1" style="500" min="1" max="1"/>
    <col width="64" customWidth="1" style="500" min="2" max="2"/>
    <col width="24" customWidth="1" style="500" min="3" max="3"/>
    <col width="10.7109375" customWidth="1" style="500" min="4" max="4"/>
    <col width="9.28515625" customWidth="1" style="500" min="5" max="5"/>
    <col width="21.28515625" customWidth="1" style="500" min="6" max="6"/>
    <col width="18.7109375" customWidth="1" style="500" min="7" max="7"/>
    <col width="26.7109375" customWidth="1" style="500" min="8" max="8"/>
  </cols>
  <sheetData>
    <row r="1" ht="15.75" customHeight="1" s="500">
      <c r="A1" s="552" t="inlineStr">
        <is>
          <t>📁  SRC_DE – DE_Filiale · Fichier Source Liasse Comptable 2025 · Devise: EUR</t>
        </is>
      </c>
    </row>
    <row r="2">
      <c r="A2" s="543" t="inlineStr">
        <is>
          <t>CodeCompte</t>
        </is>
      </c>
      <c r="B2" s="543" t="inlineStr">
        <is>
          <t>Libellé</t>
        </is>
      </c>
      <c r="C2" s="543" t="inlineStr">
        <is>
          <t>Montant</t>
        </is>
      </c>
      <c r="D2" s="543" t="inlineStr">
        <is>
          <t>Devise</t>
        </is>
      </c>
      <c r="E2" s="543" t="inlineStr">
        <is>
          <t>Mois</t>
        </is>
      </c>
      <c r="F2" s="543" t="inlineStr">
        <is>
          <t>Entité</t>
        </is>
      </c>
      <c r="G2" s="543" t="inlineStr">
        <is>
          <t>TypeFlux</t>
        </is>
      </c>
      <c r="H2" s="543" t="inlineStr">
        <is>
          <t>CatIFRS18</t>
        </is>
      </c>
    </row>
    <row r="3">
      <c r="A3" s="542" t="n">
        <v>701000</v>
      </c>
      <c r="B3" s="542" t="inlineStr">
        <is>
          <t>Umsatzerlöse Waren (CA marchandises)</t>
        </is>
      </c>
      <c r="C3" s="542" t="n">
        <v>42000000</v>
      </c>
      <c r="D3" s="542" t="inlineStr">
        <is>
          <t>EUR</t>
        </is>
      </c>
      <c r="E3" s="542" t="n">
        <v>6</v>
      </c>
      <c r="F3" s="542" t="inlineStr">
        <is>
          <t>DE_Filiale</t>
        </is>
      </c>
      <c r="G3" s="542" t="inlineStr">
        <is>
          <t>Crédit</t>
        </is>
      </c>
      <c r="H3" s="542" t="inlineStr">
        <is>
          <t>Opérationnel</t>
        </is>
      </c>
    </row>
    <row r="4">
      <c r="A4" s="540" t="n">
        <v>701000</v>
      </c>
      <c r="B4" s="540" t="inlineStr">
        <is>
          <t>Umsatzerlöse Waren (CA marchandises)</t>
        </is>
      </c>
      <c r="C4" s="540" t="n">
        <v>51200000</v>
      </c>
      <c r="D4" s="540" t="inlineStr">
        <is>
          <t>EUR</t>
        </is>
      </c>
      <c r="E4" s="540" t="n">
        <v>12</v>
      </c>
      <c r="F4" s="540" t="inlineStr">
        <is>
          <t>DE_Filiale</t>
        </is>
      </c>
      <c r="G4" s="540" t="inlineStr">
        <is>
          <t>Crédit</t>
        </is>
      </c>
      <c r="H4" s="540" t="inlineStr">
        <is>
          <t>Opérationnel</t>
        </is>
      </c>
    </row>
    <row r="5">
      <c r="A5" s="542" t="n">
        <v>706000</v>
      </c>
      <c r="B5" s="542" t="inlineStr">
        <is>
          <t>Dienstleistungserlöse (Prestations svcs)</t>
        </is>
      </c>
      <c r="C5" s="542" t="n">
        <v>8400000</v>
      </c>
      <c r="D5" s="542" t="inlineStr">
        <is>
          <t>EUR</t>
        </is>
      </c>
      <c r="E5" s="542" t="n">
        <v>6</v>
      </c>
      <c r="F5" s="542" t="inlineStr">
        <is>
          <t>DE_Filiale</t>
        </is>
      </c>
      <c r="G5" s="542" t="inlineStr">
        <is>
          <t>Crédit</t>
        </is>
      </c>
      <c r="H5" s="542" t="inlineStr">
        <is>
          <t>Opérationnel</t>
        </is>
      </c>
    </row>
    <row r="6">
      <c r="A6" s="540" t="n">
        <v>706000</v>
      </c>
      <c r="B6" s="540" t="inlineStr">
        <is>
          <t>Dienstleistungserlöse (Prestations svcs)</t>
        </is>
      </c>
      <c r="C6" s="540" t="n">
        <v>9600000</v>
      </c>
      <c r="D6" s="540" t="inlineStr">
        <is>
          <t>EUR</t>
        </is>
      </c>
      <c r="E6" s="540" t="n">
        <v>12</v>
      </c>
      <c r="F6" s="540" t="inlineStr">
        <is>
          <t>DE_Filiale</t>
        </is>
      </c>
      <c r="G6" s="540" t="inlineStr">
        <is>
          <t>Crédit</t>
        </is>
      </c>
      <c r="H6" s="540" t="inlineStr">
        <is>
          <t>Opérationnel</t>
        </is>
      </c>
    </row>
    <row r="7">
      <c r="A7" s="542" t="n">
        <v>708500</v>
      </c>
      <c r="B7" s="542" t="inlineStr">
        <is>
          <t>Konzernverrechnungen (Interco reçu)</t>
        </is>
      </c>
      <c r="C7" s="542" t="n">
        <v>3200000</v>
      </c>
      <c r="D7" s="542" t="inlineStr">
        <is>
          <t>EUR</t>
        </is>
      </c>
      <c r="E7" s="542" t="n">
        <v>6</v>
      </c>
      <c r="F7" s="542" t="inlineStr">
        <is>
          <t>DE_Filiale</t>
        </is>
      </c>
      <c r="G7" s="542" t="inlineStr">
        <is>
          <t>Crédit</t>
        </is>
      </c>
      <c r="H7" s="542" t="inlineStr">
        <is>
          <t>Élimination_IC</t>
        </is>
      </c>
    </row>
    <row r="8">
      <c r="A8" s="540" t="n">
        <v>708500</v>
      </c>
      <c r="B8" s="540" t="inlineStr">
        <is>
          <t>Konzernverrechnungen (Interco reçu)</t>
        </is>
      </c>
      <c r="C8" s="540" t="n">
        <v>3800000</v>
      </c>
      <c r="D8" s="540" t="inlineStr">
        <is>
          <t>EUR</t>
        </is>
      </c>
      <c r="E8" s="540" t="n">
        <v>12</v>
      </c>
      <c r="F8" s="540" t="inlineStr">
        <is>
          <t>DE_Filiale</t>
        </is>
      </c>
      <c r="G8" s="540" t="inlineStr">
        <is>
          <t>Crédit</t>
        </is>
      </c>
      <c r="H8" s="540" t="inlineStr">
        <is>
          <t>Élimination_IC</t>
        </is>
      </c>
    </row>
    <row r="9">
      <c r="A9" s="542" t="n">
        <v>601000</v>
      </c>
      <c r="B9" s="542" t="inlineStr">
        <is>
          <t>Wareneinkauf (Achats marchandises)</t>
        </is>
      </c>
      <c r="C9" s="542" t="n">
        <v>-36800000</v>
      </c>
      <c r="D9" s="542" t="inlineStr">
        <is>
          <t>EUR</t>
        </is>
      </c>
      <c r="E9" s="542" t="n">
        <v>6</v>
      </c>
      <c r="F9" s="542" t="inlineStr">
        <is>
          <t>DE_Filiale</t>
        </is>
      </c>
      <c r="G9" s="542" t="inlineStr">
        <is>
          <t>Débit</t>
        </is>
      </c>
      <c r="H9" s="542" t="inlineStr">
        <is>
          <t>Opérationnel</t>
        </is>
      </c>
    </row>
    <row r="10">
      <c r="A10" s="540" t="n">
        <v>601000</v>
      </c>
      <c r="B10" s="540" t="inlineStr">
        <is>
          <t>Wareneinkauf (Achats marchandises)</t>
        </is>
      </c>
      <c r="C10" s="540" t="n">
        <v>-43500000</v>
      </c>
      <c r="D10" s="540" t="inlineStr">
        <is>
          <t>EUR</t>
        </is>
      </c>
      <c r="E10" s="540" t="n">
        <v>12</v>
      </c>
      <c r="F10" s="540" t="inlineStr">
        <is>
          <t>DE_Filiale</t>
        </is>
      </c>
      <c r="G10" s="540" t="inlineStr">
        <is>
          <t>Débit</t>
        </is>
      </c>
      <c r="H10" s="540" t="inlineStr">
        <is>
          <t>Opérationnel</t>
        </is>
      </c>
    </row>
    <row r="11">
      <c r="A11" s="542" t="n">
        <v>631000</v>
      </c>
      <c r="B11" s="542" t="inlineStr">
        <is>
          <t>Personalkosten (Charges personnel)</t>
        </is>
      </c>
      <c r="C11" s="542" t="n">
        <v>-21500000</v>
      </c>
      <c r="D11" s="542" t="inlineStr">
        <is>
          <t>EUR</t>
        </is>
      </c>
      <c r="E11" s="542" t="n">
        <v>6</v>
      </c>
      <c r="F11" s="542" t="inlineStr">
        <is>
          <t>DE_Filiale</t>
        </is>
      </c>
      <c r="G11" s="542" t="inlineStr">
        <is>
          <t>Débit</t>
        </is>
      </c>
      <c r="H11" s="542" t="inlineStr">
        <is>
          <t>Opérationnel</t>
        </is>
      </c>
    </row>
    <row r="12">
      <c r="A12" s="540" t="n">
        <v>631000</v>
      </c>
      <c r="B12" s="540" t="inlineStr">
        <is>
          <t>Personalkosten (Charges personnel)</t>
        </is>
      </c>
      <c r="C12" s="540" t="n">
        <v>-24800000</v>
      </c>
      <c r="D12" s="540" t="inlineStr">
        <is>
          <t>EUR</t>
        </is>
      </c>
      <c r="E12" s="540" t="n">
        <v>12</v>
      </c>
      <c r="F12" s="540" t="inlineStr">
        <is>
          <t>DE_Filiale</t>
        </is>
      </c>
      <c r="G12" s="540" t="inlineStr">
        <is>
          <t>Débit</t>
        </is>
      </c>
      <c r="H12" s="540" t="inlineStr">
        <is>
          <t>Opérationnel</t>
        </is>
      </c>
    </row>
    <row r="13">
      <c r="A13" s="542" t="n">
        <v>681100</v>
      </c>
      <c r="B13" s="542" t="inlineStr">
        <is>
          <t>Abschreibungen (Amortissements)</t>
        </is>
      </c>
      <c r="C13" s="542" t="n">
        <v>-5800000</v>
      </c>
      <c r="D13" s="542" t="inlineStr">
        <is>
          <t>EUR</t>
        </is>
      </c>
      <c r="E13" s="542" t="n">
        <v>6</v>
      </c>
      <c r="F13" s="542" t="inlineStr">
        <is>
          <t>DE_Filiale</t>
        </is>
      </c>
      <c r="G13" s="542" t="inlineStr">
        <is>
          <t>Débit</t>
        </is>
      </c>
      <c r="H13" s="542" t="inlineStr">
        <is>
          <t>Opérationnel</t>
        </is>
      </c>
    </row>
    <row r="14">
      <c r="A14" s="540" t="n">
        <v>681100</v>
      </c>
      <c r="B14" s="540" t="inlineStr">
        <is>
          <t>Abschreibungen (Amortissements)</t>
        </is>
      </c>
      <c r="C14" s="540" t="n">
        <v>-6200000</v>
      </c>
      <c r="D14" s="540" t="inlineStr">
        <is>
          <t>EUR</t>
        </is>
      </c>
      <c r="E14" s="540" t="n">
        <v>12</v>
      </c>
      <c r="F14" s="540" t="inlineStr">
        <is>
          <t>DE_Filiale</t>
        </is>
      </c>
      <c r="G14" s="540" t="inlineStr">
        <is>
          <t>Débit</t>
        </is>
      </c>
      <c r="H14" s="540" t="inlineStr">
        <is>
          <t>Opérationnel</t>
        </is>
      </c>
    </row>
    <row r="15">
      <c r="A15" s="542" t="n">
        <v>762000</v>
      </c>
      <c r="B15" s="542" t="inlineStr">
        <is>
          <t>Veräußerungsgewinne (Cessions actifs)</t>
        </is>
      </c>
      <c r="C15" s="542" t="n">
        <v>800000</v>
      </c>
      <c r="D15" s="542" t="inlineStr">
        <is>
          <t>EUR</t>
        </is>
      </c>
      <c r="E15" s="542" t="n">
        <v>9</v>
      </c>
      <c r="F15" s="542" t="inlineStr">
        <is>
          <t>DE_Filiale</t>
        </is>
      </c>
      <c r="G15" s="542" t="inlineStr">
        <is>
          <t>Crédit</t>
        </is>
      </c>
      <c r="H15" s="542" t="inlineStr">
        <is>
          <t>Investissement</t>
        </is>
      </c>
    </row>
    <row r="16">
      <c r="A16" s="540" t="n">
        <v>764000</v>
      </c>
      <c r="B16" s="540" t="inlineStr">
        <is>
          <t>Zinserträge (Produits financiers)</t>
        </is>
      </c>
      <c r="C16" s="540" t="n">
        <v>420000</v>
      </c>
      <c r="D16" s="540" t="inlineStr">
        <is>
          <t>EUR</t>
        </is>
      </c>
      <c r="E16" s="540" t="n">
        <v>12</v>
      </c>
      <c r="F16" s="540" t="inlineStr">
        <is>
          <t>DE_Filiale</t>
        </is>
      </c>
      <c r="G16" s="540" t="inlineStr">
        <is>
          <t>Crédit</t>
        </is>
      </c>
      <c r="H16" s="540" t="inlineStr">
        <is>
          <t>Investissement</t>
        </is>
      </c>
    </row>
    <row r="17">
      <c r="A17" s="542" t="n">
        <v>661100</v>
      </c>
      <c r="B17" s="542" t="inlineStr">
        <is>
          <t>Zinsaufwendungen (Charges intérêts)</t>
        </is>
      </c>
      <c r="C17" s="542" t="n">
        <v>-4500000</v>
      </c>
      <c r="D17" s="542" t="inlineStr">
        <is>
          <t>EUR</t>
        </is>
      </c>
      <c r="E17" s="542" t="n">
        <v>12</v>
      </c>
      <c r="F17" s="542" t="inlineStr">
        <is>
          <t>DE_Filiale</t>
        </is>
      </c>
      <c r="G17" s="542" t="inlineStr">
        <is>
          <t>Débit</t>
        </is>
      </c>
      <c r="H17" s="542" t="inlineStr">
        <is>
          <t>Financement</t>
        </is>
      </c>
    </row>
    <row r="18">
      <c r="A18" s="540" t="n">
        <v>695000</v>
      </c>
      <c r="B18" s="540" t="inlineStr">
        <is>
          <t>Körperschaftsteuer (IS courant)</t>
        </is>
      </c>
      <c r="C18" s="540" t="n">
        <v>-8200000</v>
      </c>
      <c r="D18" s="540" t="inlineStr">
        <is>
          <t>EUR</t>
        </is>
      </c>
      <c r="E18" s="540" t="n">
        <v>12</v>
      </c>
      <c r="F18" s="540" t="inlineStr">
        <is>
          <t>DE_Filiale</t>
        </is>
      </c>
      <c r="G18" s="540" t="inlineStr">
        <is>
          <t>Débit</t>
        </is>
      </c>
      <c r="H18" s="540" t="inlineStr">
        <is>
          <t>Impôts</t>
        </is>
      </c>
    </row>
    <row r="19">
      <c r="A19" s="542" t="n">
        <v>211000</v>
      </c>
      <c r="B19" s="542" t="inlineStr">
        <is>
          <t>Geschäftswert (Goodwill)</t>
        </is>
      </c>
      <c r="C19" s="542" t="n">
        <v>20000000</v>
      </c>
      <c r="D19" s="542" t="inlineStr">
        <is>
          <t>EUR</t>
        </is>
      </c>
      <c r="E19" s="542" t="n">
        <v>12</v>
      </c>
      <c r="F19" s="542" t="inlineStr">
        <is>
          <t>DE_Filiale</t>
        </is>
      </c>
      <c r="G19" s="542" t="inlineStr">
        <is>
          <t>Actif</t>
        </is>
      </c>
      <c r="H19" s="542" t="inlineStr">
        <is>
          <t>Bilan</t>
        </is>
      </c>
    </row>
    <row r="20">
      <c r="A20" s="540" t="n">
        <v>215000</v>
      </c>
      <c r="B20" s="540" t="inlineStr">
        <is>
          <t>Sachanlagen (PP&amp;E)</t>
        </is>
      </c>
      <c r="C20" s="540" t="n">
        <v>95000000</v>
      </c>
      <c r="D20" s="540" t="inlineStr">
        <is>
          <t>EUR</t>
        </is>
      </c>
      <c r="E20" s="540" t="n">
        <v>12</v>
      </c>
      <c r="F20" s="540" t="inlineStr">
        <is>
          <t>DE_Filiale</t>
        </is>
      </c>
      <c r="G20" s="540" t="inlineStr">
        <is>
          <t>Actif</t>
        </is>
      </c>
      <c r="H20" s="540" t="inlineStr">
        <is>
          <t>Bilan</t>
        </is>
      </c>
    </row>
    <row r="21">
      <c r="A21" s="542" t="n">
        <v>311000</v>
      </c>
      <c r="B21" s="542" t="inlineStr">
        <is>
          <t>Vorräte (Stocks)</t>
        </is>
      </c>
      <c r="C21" s="542" t="n">
        <v>62000000</v>
      </c>
      <c r="D21" s="542" t="inlineStr">
        <is>
          <t>EUR</t>
        </is>
      </c>
      <c r="E21" s="542" t="n">
        <v>12</v>
      </c>
      <c r="F21" s="542" t="inlineStr">
        <is>
          <t>DE_Filiale</t>
        </is>
      </c>
      <c r="G21" s="542" t="inlineStr">
        <is>
          <t>Actif</t>
        </is>
      </c>
      <c r="H21" s="542" t="inlineStr">
        <is>
          <t>Bilan</t>
        </is>
      </c>
    </row>
    <row r="22">
      <c r="A22" s="540" t="n">
        <v>411000</v>
      </c>
      <c r="B22" s="540" t="inlineStr">
        <is>
          <t>Forderungen (Créances clients)</t>
        </is>
      </c>
      <c r="C22" s="540" t="n">
        <v>38000000</v>
      </c>
      <c r="D22" s="540" t="inlineStr">
        <is>
          <t>EUR</t>
        </is>
      </c>
      <c r="E22" s="540" t="n">
        <v>12</v>
      </c>
      <c r="F22" s="540" t="inlineStr">
        <is>
          <t>DE_Filiale</t>
        </is>
      </c>
      <c r="G22" s="540" t="inlineStr">
        <is>
          <t>Actif</t>
        </is>
      </c>
      <c r="H22" s="540" t="inlineStr">
        <is>
          <t>Bilan</t>
        </is>
      </c>
    </row>
    <row r="23">
      <c r="A23" s="542" t="n">
        <v>451000</v>
      </c>
      <c r="B23" s="542" t="inlineStr">
        <is>
          <t>Konzernforderungen (Créances IC)</t>
        </is>
      </c>
      <c r="C23" s="542" t="n">
        <v>12500000</v>
      </c>
      <c r="D23" s="542" t="inlineStr">
        <is>
          <t>EUR</t>
        </is>
      </c>
      <c r="E23" s="542" t="n">
        <v>12</v>
      </c>
      <c r="F23" s="542" t="inlineStr">
        <is>
          <t>DE_Filiale</t>
        </is>
      </c>
      <c r="G23" s="542" t="inlineStr">
        <is>
          <t>Actif</t>
        </is>
      </c>
      <c r="H23" s="542" t="inlineStr">
        <is>
          <t>Bilan_IC</t>
        </is>
      </c>
    </row>
    <row r="24">
      <c r="A24" s="540" t="n">
        <v>512000</v>
      </c>
      <c r="B24" s="540" t="inlineStr">
        <is>
          <t>Bankguthaben (Trésorerie)</t>
        </is>
      </c>
      <c r="C24" s="540" t="n">
        <v>24000000</v>
      </c>
      <c r="D24" s="540" t="inlineStr">
        <is>
          <t>EUR</t>
        </is>
      </c>
      <c r="E24" s="540" t="n">
        <v>12</v>
      </c>
      <c r="F24" s="540" t="inlineStr">
        <is>
          <t>DE_Filiale</t>
        </is>
      </c>
      <c r="G24" s="540" t="inlineStr">
        <is>
          <t>Actif</t>
        </is>
      </c>
      <c r="H24" s="540" t="inlineStr">
        <is>
          <t>Bilan</t>
        </is>
      </c>
    </row>
    <row r="25">
      <c r="A25" s="542" t="n">
        <v>164000</v>
      </c>
      <c r="B25" s="542" t="inlineStr">
        <is>
          <t>Bankverbindlichkeiten (Emprunts LT)</t>
        </is>
      </c>
      <c r="C25" s="542" t="n">
        <v>48000000</v>
      </c>
      <c r="D25" s="542" t="inlineStr">
        <is>
          <t>EUR</t>
        </is>
      </c>
      <c r="E25" s="542" t="n">
        <v>12</v>
      </c>
      <c r="F25" s="542" t="inlineStr">
        <is>
          <t>DE_Filiale</t>
        </is>
      </c>
      <c r="G25" s="542" t="inlineStr">
        <is>
          <t>Passif</t>
        </is>
      </c>
      <c r="H25" s="542" t="inlineStr">
        <is>
          <t>Bilan</t>
        </is>
      </c>
    </row>
    <row r="26">
      <c r="A26" s="540" t="n">
        <v>401000</v>
      </c>
      <c r="B26" s="540" t="inlineStr">
        <is>
          <t>Verbindlichkeiten (Fournisseurs)</t>
        </is>
      </c>
      <c r="C26" s="540" t="n">
        <v>22000000</v>
      </c>
      <c r="D26" s="540" t="inlineStr">
        <is>
          <t>EUR</t>
        </is>
      </c>
      <c r="E26" s="540" t="n">
        <v>12</v>
      </c>
      <c r="F26" s="540" t="inlineStr">
        <is>
          <t>DE_Filiale</t>
        </is>
      </c>
      <c r="G26" s="540" t="inlineStr">
        <is>
          <t>Passif</t>
        </is>
      </c>
      <c r="H26" s="540" t="inlineStr">
        <is>
          <t>Bilan</t>
        </is>
      </c>
    </row>
    <row r="27">
      <c r="A27" s="542" t="n">
        <v>451500</v>
      </c>
      <c r="B27" s="542" t="inlineStr">
        <is>
          <t>Konzernverbindlichkeiten (Dettes IC)</t>
        </is>
      </c>
      <c r="C27" s="542" t="n">
        <v>11800000</v>
      </c>
      <c r="D27" s="542" t="inlineStr">
        <is>
          <t>EUR</t>
        </is>
      </c>
      <c r="E27" s="542" t="n">
        <v>12</v>
      </c>
      <c r="F27" s="542" t="inlineStr">
        <is>
          <t>DE_Filiale</t>
        </is>
      </c>
      <c r="G27" s="542" t="inlineStr">
        <is>
          <t>Passif</t>
        </is>
      </c>
      <c r="H27" s="542" t="inlineStr">
        <is>
          <t>Bilan_IC</t>
        </is>
      </c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1E8449"/>
    <outlinePr summaryBelow="1" summaryRight="1"/>
    <pageSetUpPr/>
  </sheetPr>
  <dimension ref="A1:H30"/>
  <sheetViews>
    <sheetView showGridLines="0" workbookViewId="0">
      <selection activeCell="A1" sqref="A1:H1"/>
    </sheetView>
  </sheetViews>
  <sheetFormatPr baseColWidth="10" defaultRowHeight="15"/>
  <cols>
    <col width="16" customWidth="1" style="500" min="1" max="1"/>
    <col width="64" customWidth="1" style="500" min="2" max="2"/>
    <col width="24" customWidth="1" style="500" min="3" max="3"/>
    <col width="10.7109375" customWidth="1" style="500" min="4" max="4"/>
    <col width="9.28515625" customWidth="1" style="500" min="5" max="5"/>
    <col width="21.28515625" customWidth="1" style="500" min="6" max="6"/>
    <col width="18.7109375" customWidth="1" style="500" min="7" max="7"/>
    <col width="26.7109375" customWidth="1" style="500" min="8" max="8"/>
  </cols>
  <sheetData>
    <row r="1" ht="15.75" customHeight="1" s="500">
      <c r="A1" s="552" t="inlineStr">
        <is>
          <t>📁  SRC_UK – UK_Filiale · Fichier Source Liasse Comptable 2025 · Devise: GBP</t>
        </is>
      </c>
    </row>
    <row r="2">
      <c r="A2" s="543" t="inlineStr">
        <is>
          <t>CodeCompte</t>
        </is>
      </c>
      <c r="B2" s="543" t="inlineStr">
        <is>
          <t>Libellé</t>
        </is>
      </c>
      <c r="C2" s="543" t="inlineStr">
        <is>
          <t>Montant</t>
        </is>
      </c>
      <c r="D2" s="543" t="inlineStr">
        <is>
          <t>Devise</t>
        </is>
      </c>
      <c r="E2" s="543" t="inlineStr">
        <is>
          <t>Mois</t>
        </is>
      </c>
      <c r="F2" s="543" t="inlineStr">
        <is>
          <t>Entité</t>
        </is>
      </c>
      <c r="G2" s="543" t="inlineStr">
        <is>
          <t>TypeFlux</t>
        </is>
      </c>
      <c r="H2" s="543" t="inlineStr">
        <is>
          <t>CatIFRS18</t>
        </is>
      </c>
    </row>
    <row r="3">
      <c r="A3" s="542" t="n">
        <v>701000</v>
      </c>
      <c r="B3" s="542" t="inlineStr">
        <is>
          <t>Revenue from goods (CA marchandises)</t>
        </is>
      </c>
      <c r="C3" s="542" t="n">
        <v>36500000</v>
      </c>
      <c r="D3" s="542" t="inlineStr">
        <is>
          <t>GBP</t>
        </is>
      </c>
      <c r="E3" s="542" t="n">
        <v>6</v>
      </c>
      <c r="F3" s="542" t="inlineStr">
        <is>
          <t>UK_Filiale</t>
        </is>
      </c>
      <c r="G3" s="542" t="inlineStr">
        <is>
          <t>Crédit</t>
        </is>
      </c>
      <c r="H3" s="542" t="inlineStr">
        <is>
          <t>Opérationnel</t>
        </is>
      </c>
    </row>
    <row r="4">
      <c r="A4" s="540" t="n">
        <v>701000</v>
      </c>
      <c r="B4" s="540" t="inlineStr">
        <is>
          <t>Revenue from goods (CA marchandises)</t>
        </is>
      </c>
      <c r="C4" s="540" t="n">
        <v>44200000</v>
      </c>
      <c r="D4" s="540" t="inlineStr">
        <is>
          <t>GBP</t>
        </is>
      </c>
      <c r="E4" s="540" t="n">
        <v>12</v>
      </c>
      <c r="F4" s="540" t="inlineStr">
        <is>
          <t>UK_Filiale</t>
        </is>
      </c>
      <c r="G4" s="540" t="inlineStr">
        <is>
          <t>Crédit</t>
        </is>
      </c>
      <c r="H4" s="540" t="inlineStr">
        <is>
          <t>Opérationnel</t>
        </is>
      </c>
    </row>
    <row r="5">
      <c r="A5" s="542" t="n">
        <v>706000</v>
      </c>
      <c r="B5" s="542" t="inlineStr">
        <is>
          <t>Technology services revenue</t>
        </is>
      </c>
      <c r="C5" s="542" t="n">
        <v>18500000</v>
      </c>
      <c r="D5" s="542" t="inlineStr">
        <is>
          <t>GBP</t>
        </is>
      </c>
      <c r="E5" s="542" t="n">
        <v>6</v>
      </c>
      <c r="F5" s="542" t="inlineStr">
        <is>
          <t>UK_Filiale</t>
        </is>
      </c>
      <c r="G5" s="542" t="inlineStr">
        <is>
          <t>Crédit</t>
        </is>
      </c>
      <c r="H5" s="542" t="inlineStr">
        <is>
          <t>Opérationnel</t>
        </is>
      </c>
    </row>
    <row r="6">
      <c r="A6" s="540" t="n">
        <v>706000</v>
      </c>
      <c r="B6" s="540" t="inlineStr">
        <is>
          <t>Technology services revenue</t>
        </is>
      </c>
      <c r="C6" s="540" t="n">
        <v>22800000</v>
      </c>
      <c r="D6" s="540" t="inlineStr">
        <is>
          <t>GBP</t>
        </is>
      </c>
      <c r="E6" s="540" t="n">
        <v>12</v>
      </c>
      <c r="F6" s="540" t="inlineStr">
        <is>
          <t>UK_Filiale</t>
        </is>
      </c>
      <c r="G6" s="540" t="inlineStr">
        <is>
          <t>Crédit</t>
        </is>
      </c>
      <c r="H6" s="540" t="inlineStr">
        <is>
          <t>Opérationnel</t>
        </is>
      </c>
    </row>
    <row r="7">
      <c r="A7" s="542" t="n">
        <v>708500</v>
      </c>
      <c r="B7" s="542" t="inlineStr">
        <is>
          <t>Intercompany management fees (IC)</t>
        </is>
      </c>
      <c r="C7" s="542" t="n">
        <v>5200000</v>
      </c>
      <c r="D7" s="542" t="inlineStr">
        <is>
          <t>GBP</t>
        </is>
      </c>
      <c r="E7" s="542" t="n">
        <v>6</v>
      </c>
      <c r="F7" s="542" t="inlineStr">
        <is>
          <t>UK_Filiale</t>
        </is>
      </c>
      <c r="G7" s="542" t="inlineStr">
        <is>
          <t>Crédit</t>
        </is>
      </c>
      <c r="H7" s="542" t="inlineStr">
        <is>
          <t>Élimination_IC</t>
        </is>
      </c>
    </row>
    <row r="8">
      <c r="A8" s="540" t="n">
        <v>708500</v>
      </c>
      <c r="B8" s="540" t="inlineStr">
        <is>
          <t>Intercompany management fees (IC)</t>
        </is>
      </c>
      <c r="C8" s="540" t="n">
        <v>5800000</v>
      </c>
      <c r="D8" s="540" t="inlineStr">
        <is>
          <t>GBP</t>
        </is>
      </c>
      <c r="E8" s="540" t="n">
        <v>12</v>
      </c>
      <c r="F8" s="540" t="inlineStr">
        <is>
          <t>UK_Filiale</t>
        </is>
      </c>
      <c r="G8" s="540" t="inlineStr">
        <is>
          <t>Crédit</t>
        </is>
      </c>
      <c r="H8" s="540" t="inlineStr">
        <is>
          <t>Élimination_IC</t>
        </is>
      </c>
    </row>
    <row r="9">
      <c r="A9" s="542" t="n">
        <v>601000</v>
      </c>
      <c r="B9" s="542" t="inlineStr">
        <is>
          <t>Cost of goods sold</t>
        </is>
      </c>
      <c r="C9" s="542" t="n">
        <v>-24200000</v>
      </c>
      <c r="D9" s="542" t="inlineStr">
        <is>
          <t>GBP</t>
        </is>
      </c>
      <c r="E9" s="542" t="n">
        <v>6</v>
      </c>
      <c r="F9" s="542" t="inlineStr">
        <is>
          <t>UK_Filiale</t>
        </is>
      </c>
      <c r="G9" s="542" t="inlineStr">
        <is>
          <t>Débit</t>
        </is>
      </c>
      <c r="H9" s="542" t="inlineStr">
        <is>
          <t>Opérationnel</t>
        </is>
      </c>
    </row>
    <row r="10">
      <c r="A10" s="540" t="n">
        <v>601000</v>
      </c>
      <c r="B10" s="540" t="inlineStr">
        <is>
          <t>Cost of goods sold</t>
        </is>
      </c>
      <c r="C10" s="540" t="n">
        <v>-28400000</v>
      </c>
      <c r="D10" s="540" t="inlineStr">
        <is>
          <t>GBP</t>
        </is>
      </c>
      <c r="E10" s="540" t="n">
        <v>12</v>
      </c>
      <c r="F10" s="540" t="inlineStr">
        <is>
          <t>UK_Filiale</t>
        </is>
      </c>
      <c r="G10" s="540" t="inlineStr">
        <is>
          <t>Débit</t>
        </is>
      </c>
      <c r="H10" s="540" t="inlineStr">
        <is>
          <t>Opérationnel</t>
        </is>
      </c>
    </row>
    <row r="11">
      <c r="A11" s="542" t="n">
        <v>621000</v>
      </c>
      <c r="B11" s="542" t="inlineStr">
        <is>
          <t>External services &amp; consulting</t>
        </is>
      </c>
      <c r="C11" s="542" t="n">
        <v>-9800000</v>
      </c>
      <c r="D11" s="542" t="inlineStr">
        <is>
          <t>GBP</t>
        </is>
      </c>
      <c r="E11" s="542" t="n">
        <v>6</v>
      </c>
      <c r="F11" s="542" t="inlineStr">
        <is>
          <t>UK_Filiale</t>
        </is>
      </c>
      <c r="G11" s="542" t="inlineStr">
        <is>
          <t>Débit</t>
        </is>
      </c>
      <c r="H11" s="542" t="inlineStr">
        <is>
          <t>Opérationnel</t>
        </is>
      </c>
    </row>
    <row r="12">
      <c r="A12" s="540" t="n">
        <v>621000</v>
      </c>
      <c r="B12" s="540" t="inlineStr">
        <is>
          <t>External services &amp; consulting</t>
        </is>
      </c>
      <c r="C12" s="540" t="n">
        <v>-11200000</v>
      </c>
      <c r="D12" s="540" t="inlineStr">
        <is>
          <t>GBP</t>
        </is>
      </c>
      <c r="E12" s="540" t="n">
        <v>12</v>
      </c>
      <c r="F12" s="540" t="inlineStr">
        <is>
          <t>UK_Filiale</t>
        </is>
      </c>
      <c r="G12" s="540" t="inlineStr">
        <is>
          <t>Débit</t>
        </is>
      </c>
      <c r="H12" s="540" t="inlineStr">
        <is>
          <t>Opérationnel</t>
        </is>
      </c>
    </row>
    <row r="13">
      <c r="A13" s="542" t="n">
        <v>631000</v>
      </c>
      <c r="B13" s="542" t="inlineStr">
        <is>
          <t>Staff costs (Charges personnel)</t>
        </is>
      </c>
      <c r="C13" s="542" t="n">
        <v>-18500000</v>
      </c>
      <c r="D13" s="542" t="inlineStr">
        <is>
          <t>GBP</t>
        </is>
      </c>
      <c r="E13" s="542" t="n">
        <v>6</v>
      </c>
      <c r="F13" s="542" t="inlineStr">
        <is>
          <t>UK_Filiale</t>
        </is>
      </c>
      <c r="G13" s="542" t="inlineStr">
        <is>
          <t>Débit</t>
        </is>
      </c>
      <c r="H13" s="542" t="inlineStr">
        <is>
          <t>Opérationnel</t>
        </is>
      </c>
    </row>
    <row r="14">
      <c r="A14" s="540" t="n">
        <v>631000</v>
      </c>
      <c r="B14" s="540" t="inlineStr">
        <is>
          <t>Staff costs (Charges personnel)</t>
        </is>
      </c>
      <c r="C14" s="540" t="n">
        <v>-20800000</v>
      </c>
      <c r="D14" s="540" t="inlineStr">
        <is>
          <t>GBP</t>
        </is>
      </c>
      <c r="E14" s="540" t="n">
        <v>12</v>
      </c>
      <c r="F14" s="540" t="inlineStr">
        <is>
          <t>UK_Filiale</t>
        </is>
      </c>
      <c r="G14" s="540" t="inlineStr">
        <is>
          <t>Débit</t>
        </is>
      </c>
      <c r="H14" s="540" t="inlineStr">
        <is>
          <t>Opérationnel</t>
        </is>
      </c>
    </row>
    <row r="15">
      <c r="A15" s="542" t="n">
        <v>681100</v>
      </c>
      <c r="B15" s="542" t="inlineStr">
        <is>
          <t>Depreciation (Amortissements)</t>
        </is>
      </c>
      <c r="C15" s="542" t="n">
        <v>-4800000</v>
      </c>
      <c r="D15" s="542" t="inlineStr">
        <is>
          <t>GBP</t>
        </is>
      </c>
      <c r="E15" s="542" t="n">
        <v>6</v>
      </c>
      <c r="F15" s="542" t="inlineStr">
        <is>
          <t>UK_Filiale</t>
        </is>
      </c>
      <c r="G15" s="542" t="inlineStr">
        <is>
          <t>Débit</t>
        </is>
      </c>
      <c r="H15" s="542" t="inlineStr">
        <is>
          <t>Opérationnel</t>
        </is>
      </c>
    </row>
    <row r="16">
      <c r="A16" s="540" t="n">
        <v>681100</v>
      </c>
      <c r="B16" s="540" t="inlineStr">
        <is>
          <t>Depreciation (Amortissements)</t>
        </is>
      </c>
      <c r="C16" s="540" t="n">
        <v>-5200000</v>
      </c>
      <c r="D16" s="540" t="inlineStr">
        <is>
          <t>GBP</t>
        </is>
      </c>
      <c r="E16" s="540" t="n">
        <v>12</v>
      </c>
      <c r="F16" s="540" t="inlineStr">
        <is>
          <t>UK_Filiale</t>
        </is>
      </c>
      <c r="G16" s="540" t="inlineStr">
        <is>
          <t>Débit</t>
        </is>
      </c>
      <c r="H16" s="540" t="inlineStr">
        <is>
          <t>Opérationnel</t>
        </is>
      </c>
    </row>
    <row r="17">
      <c r="A17" s="542" t="n">
        <v>762000</v>
      </c>
      <c r="B17" s="542" t="inlineStr">
        <is>
          <t>Proceeds from asset disposal</t>
        </is>
      </c>
      <c r="C17" s="542" t="n">
        <v>600000</v>
      </c>
      <c r="D17" s="542" t="inlineStr">
        <is>
          <t>GBP</t>
        </is>
      </c>
      <c r="E17" s="542" t="n">
        <v>9</v>
      </c>
      <c r="F17" s="542" t="inlineStr">
        <is>
          <t>UK_Filiale</t>
        </is>
      </c>
      <c r="G17" s="542" t="inlineStr">
        <is>
          <t>Crédit</t>
        </is>
      </c>
      <c r="H17" s="542" t="inlineStr">
        <is>
          <t>Investissement</t>
        </is>
      </c>
    </row>
    <row r="18">
      <c r="A18" s="540" t="n">
        <v>764000</v>
      </c>
      <c r="B18" s="540" t="inlineStr">
        <is>
          <t>Interest income (Produits fin.)</t>
        </is>
      </c>
      <c r="C18" s="540" t="n">
        <v>380000</v>
      </c>
      <c r="D18" s="540" t="inlineStr">
        <is>
          <t>GBP</t>
        </is>
      </c>
      <c r="E18" s="540" t="n">
        <v>12</v>
      </c>
      <c r="F18" s="540" t="inlineStr">
        <is>
          <t>UK_Filiale</t>
        </is>
      </c>
      <c r="G18" s="540" t="inlineStr">
        <is>
          <t>Crédit</t>
        </is>
      </c>
      <c r="H18" s="540" t="inlineStr">
        <is>
          <t>Investissement</t>
        </is>
      </c>
    </row>
    <row r="19">
      <c r="A19" s="542" t="n">
        <v>661100</v>
      </c>
      <c r="B19" s="542" t="inlineStr">
        <is>
          <t>Interest expense (Charges intérêts)</t>
        </is>
      </c>
      <c r="C19" s="542" t="n">
        <v>-5200000</v>
      </c>
      <c r="D19" s="542" t="inlineStr">
        <is>
          <t>GBP</t>
        </is>
      </c>
      <c r="E19" s="542" t="n">
        <v>12</v>
      </c>
      <c r="F19" s="542" t="inlineStr">
        <is>
          <t>UK_Filiale</t>
        </is>
      </c>
      <c r="G19" s="542" t="inlineStr">
        <is>
          <t>Débit</t>
        </is>
      </c>
      <c r="H19" s="542" t="inlineStr">
        <is>
          <t>Financement</t>
        </is>
      </c>
    </row>
    <row r="20">
      <c r="A20" s="540" t="n">
        <v>661200</v>
      </c>
      <c r="B20" s="540" t="inlineStr">
        <is>
          <t>IFRS 16 lease interest</t>
        </is>
      </c>
      <c r="C20" s="540" t="n">
        <v>-1200000</v>
      </c>
      <c r="D20" s="540" t="inlineStr">
        <is>
          <t>GBP</t>
        </is>
      </c>
      <c r="E20" s="540" t="n">
        <v>12</v>
      </c>
      <c r="F20" s="540" t="inlineStr">
        <is>
          <t>UK_Filiale</t>
        </is>
      </c>
      <c r="G20" s="540" t="inlineStr">
        <is>
          <t>Débit</t>
        </is>
      </c>
      <c r="H20" s="540" t="inlineStr">
        <is>
          <t>Financement</t>
        </is>
      </c>
    </row>
    <row r="21">
      <c r="A21" s="542" t="n">
        <v>695000</v>
      </c>
      <c r="B21" s="542" t="inlineStr">
        <is>
          <t>Corporation tax (IS)</t>
        </is>
      </c>
      <c r="C21" s="542" t="n">
        <v>-9800000</v>
      </c>
      <c r="D21" s="542" t="inlineStr">
        <is>
          <t>GBP</t>
        </is>
      </c>
      <c r="E21" s="542" t="n">
        <v>12</v>
      </c>
      <c r="F21" s="542" t="inlineStr">
        <is>
          <t>UK_Filiale</t>
        </is>
      </c>
      <c r="G21" s="542" t="inlineStr">
        <is>
          <t>Débit</t>
        </is>
      </c>
      <c r="H21" s="542" t="inlineStr">
        <is>
          <t>Impôts</t>
        </is>
      </c>
    </row>
    <row r="22">
      <c r="A22" s="540" t="n">
        <v>211000</v>
      </c>
      <c r="B22" s="540" t="inlineStr">
        <is>
          <t>Goodwill &amp; intangibles</t>
        </is>
      </c>
      <c r="C22" s="540" t="n">
        <v>45000000</v>
      </c>
      <c r="D22" s="540" t="inlineStr">
        <is>
          <t>GBP</t>
        </is>
      </c>
      <c r="E22" s="540" t="n">
        <v>12</v>
      </c>
      <c r="F22" s="540" t="inlineStr">
        <is>
          <t>UK_Filiale</t>
        </is>
      </c>
      <c r="G22" s="540" t="inlineStr">
        <is>
          <t>Actif</t>
        </is>
      </c>
      <c r="H22" s="540" t="inlineStr">
        <is>
          <t>Bilan</t>
        </is>
      </c>
    </row>
    <row r="23">
      <c r="A23" s="542" t="n">
        <v>215000</v>
      </c>
      <c r="B23" s="542" t="inlineStr">
        <is>
          <t>Property plant &amp; equipment (PP&amp;E)</t>
        </is>
      </c>
      <c r="C23" s="542" t="n">
        <v>68000000</v>
      </c>
      <c r="D23" s="542" t="inlineStr">
        <is>
          <t>GBP</t>
        </is>
      </c>
      <c r="E23" s="542" t="n">
        <v>12</v>
      </c>
      <c r="F23" s="542" t="inlineStr">
        <is>
          <t>UK_Filiale</t>
        </is>
      </c>
      <c r="G23" s="542" t="inlineStr">
        <is>
          <t>Actif</t>
        </is>
      </c>
      <c r="H23" s="542" t="inlineStr">
        <is>
          <t>Bilan</t>
        </is>
      </c>
    </row>
    <row r="24">
      <c r="A24" s="540" t="n">
        <v>311000</v>
      </c>
      <c r="B24" s="540" t="inlineStr">
        <is>
          <t>Inventories (Stocks)</t>
        </is>
      </c>
      <c r="C24" s="540" t="n">
        <v>18000000</v>
      </c>
      <c r="D24" s="540" t="inlineStr">
        <is>
          <t>GBP</t>
        </is>
      </c>
      <c r="E24" s="540" t="n">
        <v>12</v>
      </c>
      <c r="F24" s="540" t="inlineStr">
        <is>
          <t>UK_Filiale</t>
        </is>
      </c>
      <c r="G24" s="540" t="inlineStr">
        <is>
          <t>Actif</t>
        </is>
      </c>
      <c r="H24" s="540" t="inlineStr">
        <is>
          <t>Bilan</t>
        </is>
      </c>
    </row>
    <row r="25">
      <c r="A25" s="542" t="n">
        <v>411000</v>
      </c>
      <c r="B25" s="542" t="inlineStr">
        <is>
          <t>Trade receivables (Créances clients)</t>
        </is>
      </c>
      <c r="C25" s="542" t="n">
        <v>52000000</v>
      </c>
      <c r="D25" s="542" t="inlineStr">
        <is>
          <t>GBP</t>
        </is>
      </c>
      <c r="E25" s="542" t="n">
        <v>12</v>
      </c>
      <c r="F25" s="542" t="inlineStr">
        <is>
          <t>UK_Filiale</t>
        </is>
      </c>
      <c r="G25" s="542" t="inlineStr">
        <is>
          <t>Actif</t>
        </is>
      </c>
      <c r="H25" s="542" t="inlineStr">
        <is>
          <t>Bilan</t>
        </is>
      </c>
    </row>
    <row r="26">
      <c r="A26" s="540" t="n">
        <v>451000</v>
      </c>
      <c r="B26" s="540" t="inlineStr">
        <is>
          <t>Interco receivables (IC)</t>
        </is>
      </c>
      <c r="C26" s="540" t="n">
        <v>18000000</v>
      </c>
      <c r="D26" s="540" t="inlineStr">
        <is>
          <t>GBP</t>
        </is>
      </c>
      <c r="E26" s="540" t="n">
        <v>12</v>
      </c>
      <c r="F26" s="540" t="inlineStr">
        <is>
          <t>UK_Filiale</t>
        </is>
      </c>
      <c r="G26" s="540" t="inlineStr">
        <is>
          <t>Actif</t>
        </is>
      </c>
      <c r="H26" s="540" t="inlineStr">
        <is>
          <t>Bilan_IC</t>
        </is>
      </c>
    </row>
    <row r="27">
      <c r="A27" s="542" t="n">
        <v>512000</v>
      </c>
      <c r="B27" s="542" t="inlineStr">
        <is>
          <t>Cash &amp; equivalents</t>
        </is>
      </c>
      <c r="C27" s="542" t="n">
        <v>38000000</v>
      </c>
      <c r="D27" s="542" t="inlineStr">
        <is>
          <t>GBP</t>
        </is>
      </c>
      <c r="E27" s="542" t="n">
        <v>12</v>
      </c>
      <c r="F27" s="542" t="inlineStr">
        <is>
          <t>UK_Filiale</t>
        </is>
      </c>
      <c r="G27" s="542" t="inlineStr">
        <is>
          <t>Actif</t>
        </is>
      </c>
      <c r="H27" s="542" t="inlineStr">
        <is>
          <t>Bilan</t>
        </is>
      </c>
    </row>
    <row r="28">
      <c r="A28" s="540" t="n">
        <v>164000</v>
      </c>
      <c r="B28" s="540" t="inlineStr">
        <is>
          <t>Bank loans (Emprunts LT)</t>
        </is>
      </c>
      <c r="C28" s="540" t="n">
        <v>41000000</v>
      </c>
      <c r="D28" s="540" t="inlineStr">
        <is>
          <t>GBP</t>
        </is>
      </c>
      <c r="E28" s="540" t="n">
        <v>12</v>
      </c>
      <c r="F28" s="540" t="inlineStr">
        <is>
          <t>UK_Filiale</t>
        </is>
      </c>
      <c r="G28" s="540" t="inlineStr">
        <is>
          <t>Passif</t>
        </is>
      </c>
      <c r="H28" s="540" t="inlineStr">
        <is>
          <t>Bilan</t>
        </is>
      </c>
    </row>
    <row r="29">
      <c r="A29" s="542" t="n">
        <v>401000</v>
      </c>
      <c r="B29" s="542" t="inlineStr">
        <is>
          <t>Trade payables (Fournisseurs)</t>
        </is>
      </c>
      <c r="C29" s="542" t="n">
        <v>26000000</v>
      </c>
      <c r="D29" s="542" t="inlineStr">
        <is>
          <t>GBP</t>
        </is>
      </c>
      <c r="E29" s="542" t="n">
        <v>12</v>
      </c>
      <c r="F29" s="542" t="inlineStr">
        <is>
          <t>UK_Filiale</t>
        </is>
      </c>
      <c r="G29" s="542" t="inlineStr">
        <is>
          <t>Passif</t>
        </is>
      </c>
      <c r="H29" s="542" t="inlineStr">
        <is>
          <t>Bilan</t>
        </is>
      </c>
    </row>
    <row r="30">
      <c r="A30" s="540" t="n">
        <v>451500</v>
      </c>
      <c r="B30" s="540" t="inlineStr">
        <is>
          <t>Interco payables (Dettes IC)</t>
        </is>
      </c>
      <c r="C30" s="540" t="n">
        <v>18200000</v>
      </c>
      <c r="D30" s="540" t="inlineStr">
        <is>
          <t>GBP</t>
        </is>
      </c>
      <c r="E30" s="540" t="n">
        <v>12</v>
      </c>
      <c r="F30" s="540" t="inlineStr">
        <is>
          <t>UK_Filiale</t>
        </is>
      </c>
      <c r="G30" s="540" t="inlineStr">
        <is>
          <t>Passif</t>
        </is>
      </c>
      <c r="H30" s="540" t="inlineStr">
        <is>
          <t>Bilan_IC</t>
        </is>
      </c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1E8449"/>
    <outlinePr summaryBelow="1" summaryRight="1"/>
    <pageSetUpPr/>
  </sheetPr>
  <dimension ref="A1:H28"/>
  <sheetViews>
    <sheetView showGridLines="0" workbookViewId="0">
      <selection activeCell="A1" sqref="A1:H1"/>
    </sheetView>
  </sheetViews>
  <sheetFormatPr baseColWidth="10" defaultRowHeight="15"/>
  <cols>
    <col width="16" customWidth="1" style="500" min="1" max="1"/>
    <col width="64" customWidth="1" style="500" min="2" max="2"/>
    <col width="24" customWidth="1" style="500" min="3" max="3"/>
    <col width="10.7109375" customWidth="1" style="500" min="4" max="4"/>
    <col width="9.28515625" customWidth="1" style="500" min="5" max="5"/>
    <col width="21.28515625" customWidth="1" style="500" min="6" max="6"/>
    <col width="18.7109375" customWidth="1" style="500" min="7" max="7"/>
    <col width="26.7109375" customWidth="1" style="500" min="8" max="8"/>
  </cols>
  <sheetData>
    <row r="1" ht="15.75" customHeight="1" s="500">
      <c r="A1" s="552" t="inlineStr">
        <is>
          <t>📁  SRC_US – US_Filiale · Fichier Source Liasse Comptable 2025 · Devise: USD</t>
        </is>
      </c>
    </row>
    <row r="2">
      <c r="A2" s="543" t="inlineStr">
        <is>
          <t>CodeCompte</t>
        </is>
      </c>
      <c r="B2" s="543" t="inlineStr">
        <is>
          <t>Libellé</t>
        </is>
      </c>
      <c r="C2" s="543" t="inlineStr">
        <is>
          <t>Montant</t>
        </is>
      </c>
      <c r="D2" s="543" t="inlineStr">
        <is>
          <t>Devise</t>
        </is>
      </c>
      <c r="E2" s="543" t="inlineStr">
        <is>
          <t>Mois</t>
        </is>
      </c>
      <c r="F2" s="543" t="inlineStr">
        <is>
          <t>Entité</t>
        </is>
      </c>
      <c r="G2" s="543" t="inlineStr">
        <is>
          <t>TypeFlux</t>
        </is>
      </c>
      <c r="H2" s="543" t="inlineStr">
        <is>
          <t>CatIFRS18</t>
        </is>
      </c>
    </row>
    <row r="3">
      <c r="A3" s="542" t="n">
        <v>701000</v>
      </c>
      <c r="B3" s="542" t="inlineStr">
        <is>
          <t>Net sales revenue (CA)</t>
        </is>
      </c>
      <c r="C3" s="542" t="n">
        <v>48500000</v>
      </c>
      <c r="D3" s="542" t="inlineStr">
        <is>
          <t>USD</t>
        </is>
      </c>
      <c r="E3" s="542" t="n">
        <v>6</v>
      </c>
      <c r="F3" s="542" t="inlineStr">
        <is>
          <t>US_Filiale</t>
        </is>
      </c>
      <c r="G3" s="542" t="inlineStr">
        <is>
          <t>Crédit</t>
        </is>
      </c>
      <c r="H3" s="542" t="inlineStr">
        <is>
          <t>Opérationnel</t>
        </is>
      </c>
    </row>
    <row r="4">
      <c r="A4" s="540" t="n">
        <v>701000</v>
      </c>
      <c r="B4" s="540" t="inlineStr">
        <is>
          <t>Net sales revenue (CA)</t>
        </is>
      </c>
      <c r="C4" s="540" t="n">
        <v>62800000</v>
      </c>
      <c r="D4" s="540" t="inlineStr">
        <is>
          <t>USD</t>
        </is>
      </c>
      <c r="E4" s="540" t="n">
        <v>12</v>
      </c>
      <c r="F4" s="540" t="inlineStr">
        <is>
          <t>US_Filiale</t>
        </is>
      </c>
      <c r="G4" s="540" t="inlineStr">
        <is>
          <t>Crédit</t>
        </is>
      </c>
      <c r="H4" s="540" t="inlineStr">
        <is>
          <t>Opérationnel</t>
        </is>
      </c>
    </row>
    <row r="5">
      <c r="A5" s="542" t="n">
        <v>706000</v>
      </c>
      <c r="B5" s="542" t="inlineStr">
        <is>
          <t>Service income</t>
        </is>
      </c>
      <c r="C5" s="542" t="n">
        <v>8500000</v>
      </c>
      <c r="D5" s="542" t="inlineStr">
        <is>
          <t>USD</t>
        </is>
      </c>
      <c r="E5" s="542" t="n">
        <v>6</v>
      </c>
      <c r="F5" s="542" t="inlineStr">
        <is>
          <t>US_Filiale</t>
        </is>
      </c>
      <c r="G5" s="542" t="inlineStr">
        <is>
          <t>Crédit</t>
        </is>
      </c>
      <c r="H5" s="542" t="inlineStr">
        <is>
          <t>Opérationnel</t>
        </is>
      </c>
    </row>
    <row r="6">
      <c r="A6" s="540" t="n">
        <v>706000</v>
      </c>
      <c r="B6" s="540" t="inlineStr">
        <is>
          <t>Service income</t>
        </is>
      </c>
      <c r="C6" s="540" t="n">
        <v>10200000</v>
      </c>
      <c r="D6" s="540" t="inlineStr">
        <is>
          <t>USD</t>
        </is>
      </c>
      <c r="E6" s="540" t="n">
        <v>12</v>
      </c>
      <c r="F6" s="540" t="inlineStr">
        <is>
          <t>US_Filiale</t>
        </is>
      </c>
      <c r="G6" s="540" t="inlineStr">
        <is>
          <t>Crédit</t>
        </is>
      </c>
      <c r="H6" s="540" t="inlineStr">
        <is>
          <t>Opérationnel</t>
        </is>
      </c>
    </row>
    <row r="7">
      <c r="A7" s="542" t="n">
        <v>708500</v>
      </c>
      <c r="B7" s="542" t="inlineStr">
        <is>
          <t>Intercompany recharges (IC)</t>
        </is>
      </c>
      <c r="C7" s="542" t="n">
        <v>4200000</v>
      </c>
      <c r="D7" s="542" t="inlineStr">
        <is>
          <t>USD</t>
        </is>
      </c>
      <c r="E7" s="542" t="n">
        <v>6</v>
      </c>
      <c r="F7" s="542" t="inlineStr">
        <is>
          <t>US_Filiale</t>
        </is>
      </c>
      <c r="G7" s="542" t="inlineStr">
        <is>
          <t>Crédit</t>
        </is>
      </c>
      <c r="H7" s="542" t="inlineStr">
        <is>
          <t>Élimination_IC</t>
        </is>
      </c>
    </row>
    <row r="8">
      <c r="A8" s="540" t="n">
        <v>708500</v>
      </c>
      <c r="B8" s="540" t="inlineStr">
        <is>
          <t>Intercompany recharges (IC)</t>
        </is>
      </c>
      <c r="C8" s="540" t="n">
        <v>4800000</v>
      </c>
      <c r="D8" s="540" t="inlineStr">
        <is>
          <t>USD</t>
        </is>
      </c>
      <c r="E8" s="540" t="n">
        <v>12</v>
      </c>
      <c r="F8" s="540" t="inlineStr">
        <is>
          <t>US_Filiale</t>
        </is>
      </c>
      <c r="G8" s="540" t="inlineStr">
        <is>
          <t>Crédit</t>
        </is>
      </c>
      <c r="H8" s="540" t="inlineStr">
        <is>
          <t>Élimination_IC</t>
        </is>
      </c>
    </row>
    <row r="9">
      <c r="A9" s="542" t="n">
        <v>601000</v>
      </c>
      <c r="B9" s="542" t="inlineStr">
        <is>
          <t>Cost of goods sold</t>
        </is>
      </c>
      <c r="C9" s="542" t="n">
        <v>-52000000</v>
      </c>
      <c r="D9" s="542" t="inlineStr">
        <is>
          <t>USD</t>
        </is>
      </c>
      <c r="E9" s="542" t="n">
        <v>6</v>
      </c>
      <c r="F9" s="542" t="inlineStr">
        <is>
          <t>US_Filiale</t>
        </is>
      </c>
      <c r="G9" s="542" t="inlineStr">
        <is>
          <t>Débit</t>
        </is>
      </c>
      <c r="H9" s="542" t="inlineStr">
        <is>
          <t>Opérationnel</t>
        </is>
      </c>
    </row>
    <row r="10">
      <c r="A10" s="540" t="n">
        <v>601000</v>
      </c>
      <c r="B10" s="540" t="inlineStr">
        <is>
          <t>Cost of goods sold</t>
        </is>
      </c>
      <c r="C10" s="540" t="n">
        <v>-61000000</v>
      </c>
      <c r="D10" s="540" t="inlineStr">
        <is>
          <t>USD</t>
        </is>
      </c>
      <c r="E10" s="540" t="n">
        <v>12</v>
      </c>
      <c r="F10" s="540" t="inlineStr">
        <is>
          <t>US_Filiale</t>
        </is>
      </c>
      <c r="G10" s="540" t="inlineStr">
        <is>
          <t>Débit</t>
        </is>
      </c>
      <c r="H10" s="540" t="inlineStr">
        <is>
          <t>Opérationnel</t>
        </is>
      </c>
    </row>
    <row r="11">
      <c r="A11" s="542" t="n">
        <v>631000</v>
      </c>
      <c r="B11" s="542" t="inlineStr">
        <is>
          <t>Payroll &amp; benefits</t>
        </is>
      </c>
      <c r="C11" s="542" t="n">
        <v>-24200000</v>
      </c>
      <c r="D11" s="542" t="inlineStr">
        <is>
          <t>USD</t>
        </is>
      </c>
      <c r="E11" s="542" t="n">
        <v>6</v>
      </c>
      <c r="F11" s="542" t="inlineStr">
        <is>
          <t>US_Filiale</t>
        </is>
      </c>
      <c r="G11" s="542" t="inlineStr">
        <is>
          <t>Débit</t>
        </is>
      </c>
      <c r="H11" s="542" t="inlineStr">
        <is>
          <t>Opérationnel</t>
        </is>
      </c>
    </row>
    <row r="12">
      <c r="A12" s="540" t="n">
        <v>631000</v>
      </c>
      <c r="B12" s="540" t="inlineStr">
        <is>
          <t>Payroll &amp; benefits</t>
        </is>
      </c>
      <c r="C12" s="540" t="n">
        <v>-28500000</v>
      </c>
      <c r="D12" s="540" t="inlineStr">
        <is>
          <t>USD</t>
        </is>
      </c>
      <c r="E12" s="540" t="n">
        <v>12</v>
      </c>
      <c r="F12" s="540" t="inlineStr">
        <is>
          <t>US_Filiale</t>
        </is>
      </c>
      <c r="G12" s="540" t="inlineStr">
        <is>
          <t>Débit</t>
        </is>
      </c>
      <c r="H12" s="540" t="inlineStr">
        <is>
          <t>Opérationnel</t>
        </is>
      </c>
    </row>
    <row r="13">
      <c r="A13" s="542" t="n">
        <v>681100</v>
      </c>
      <c r="B13" s="542" t="inlineStr">
        <is>
          <t>D&amp;A (Amortissements)</t>
        </is>
      </c>
      <c r="C13" s="542" t="n">
        <v>-6800000</v>
      </c>
      <c r="D13" s="542" t="inlineStr">
        <is>
          <t>USD</t>
        </is>
      </c>
      <c r="E13" s="542" t="n">
        <v>6</v>
      </c>
      <c r="F13" s="542" t="inlineStr">
        <is>
          <t>US_Filiale</t>
        </is>
      </c>
      <c r="G13" s="542" t="inlineStr">
        <is>
          <t>Débit</t>
        </is>
      </c>
      <c r="H13" s="542" t="inlineStr">
        <is>
          <t>Opérationnel</t>
        </is>
      </c>
    </row>
    <row r="14">
      <c r="A14" s="540" t="n">
        <v>681100</v>
      </c>
      <c r="B14" s="540" t="inlineStr">
        <is>
          <t>D&amp;A (Amortissements)</t>
        </is>
      </c>
      <c r="C14" s="540" t="n">
        <v>-7400000</v>
      </c>
      <c r="D14" s="540" t="inlineStr">
        <is>
          <t>USD</t>
        </is>
      </c>
      <c r="E14" s="540" t="n">
        <v>12</v>
      </c>
      <c r="F14" s="540" t="inlineStr">
        <is>
          <t>US_Filiale</t>
        </is>
      </c>
      <c r="G14" s="540" t="inlineStr">
        <is>
          <t>Débit</t>
        </is>
      </c>
      <c r="H14" s="540" t="inlineStr">
        <is>
          <t>Opérationnel</t>
        </is>
      </c>
    </row>
    <row r="15">
      <c r="A15" s="542" t="n">
        <v>762000</v>
      </c>
      <c r="B15" s="542" t="inlineStr">
        <is>
          <t>Gain on disposal</t>
        </is>
      </c>
      <c r="C15" s="542" t="n">
        <v>1200000</v>
      </c>
      <c r="D15" s="542" t="inlineStr">
        <is>
          <t>USD</t>
        </is>
      </c>
      <c r="E15" s="542" t="n">
        <v>9</v>
      </c>
      <c r="F15" s="542" t="inlineStr">
        <is>
          <t>US_Filiale</t>
        </is>
      </c>
      <c r="G15" s="542" t="inlineStr">
        <is>
          <t>Crédit</t>
        </is>
      </c>
      <c r="H15" s="542" t="inlineStr">
        <is>
          <t>Investissement</t>
        </is>
      </c>
    </row>
    <row r="16">
      <c r="A16" s="540" t="n">
        <v>764000</v>
      </c>
      <c r="B16" s="540" t="inlineStr">
        <is>
          <t>Investment income</t>
        </is>
      </c>
      <c r="C16" s="540" t="n">
        <v>520000</v>
      </c>
      <c r="D16" s="540" t="inlineStr">
        <is>
          <t>USD</t>
        </is>
      </c>
      <c r="E16" s="540" t="n">
        <v>12</v>
      </c>
      <c r="F16" s="540" t="inlineStr">
        <is>
          <t>US_Filiale</t>
        </is>
      </c>
      <c r="G16" s="540" t="inlineStr">
        <is>
          <t>Crédit</t>
        </is>
      </c>
      <c r="H16" s="540" t="inlineStr">
        <is>
          <t>Investissement</t>
        </is>
      </c>
    </row>
    <row r="17">
      <c r="A17" s="542" t="n">
        <v>661100</v>
      </c>
      <c r="B17" s="542" t="inlineStr">
        <is>
          <t>Interest expense</t>
        </is>
      </c>
      <c r="C17" s="542" t="n">
        <v>-7800000</v>
      </c>
      <c r="D17" s="542" t="inlineStr">
        <is>
          <t>USD</t>
        </is>
      </c>
      <c r="E17" s="542" t="n">
        <v>12</v>
      </c>
      <c r="F17" s="542" t="inlineStr">
        <is>
          <t>US_Filiale</t>
        </is>
      </c>
      <c r="G17" s="542" t="inlineStr">
        <is>
          <t>Débit</t>
        </is>
      </c>
      <c r="H17" s="542" t="inlineStr">
        <is>
          <t>Financement</t>
        </is>
      </c>
    </row>
    <row r="18">
      <c r="A18" s="540" t="n">
        <v>661200</v>
      </c>
      <c r="B18" s="540" t="inlineStr">
        <is>
          <t>IFRS 16 finance charge</t>
        </is>
      </c>
      <c r="C18" s="540" t="n">
        <v>-1600000</v>
      </c>
      <c r="D18" s="540" t="inlineStr">
        <is>
          <t>USD</t>
        </is>
      </c>
      <c r="E18" s="540" t="n">
        <v>12</v>
      </c>
      <c r="F18" s="540" t="inlineStr">
        <is>
          <t>US_Filiale</t>
        </is>
      </c>
      <c r="G18" s="540" t="inlineStr">
        <is>
          <t>Débit</t>
        </is>
      </c>
      <c r="H18" s="540" t="inlineStr">
        <is>
          <t>Financement</t>
        </is>
      </c>
    </row>
    <row r="19">
      <c r="A19" s="542" t="n">
        <v>695000</v>
      </c>
      <c r="B19" s="542" t="inlineStr">
        <is>
          <t>Federal &amp; state income tax</t>
        </is>
      </c>
      <c r="C19" s="542" t="n">
        <v>-7200000</v>
      </c>
      <c r="D19" s="542" t="inlineStr">
        <is>
          <t>USD</t>
        </is>
      </c>
      <c r="E19" s="542" t="n">
        <v>12</v>
      </c>
      <c r="F19" s="542" t="inlineStr">
        <is>
          <t>US_Filiale</t>
        </is>
      </c>
      <c r="G19" s="542" t="inlineStr">
        <is>
          <t>Débit</t>
        </is>
      </c>
      <c r="H19" s="542" t="inlineStr">
        <is>
          <t>Impôts</t>
        </is>
      </c>
    </row>
    <row r="20">
      <c r="A20" s="540" t="n">
        <v>211000</v>
      </c>
      <c r="B20" s="540" t="inlineStr">
        <is>
          <t>Intangibles incl. Goodwill</t>
        </is>
      </c>
      <c r="C20" s="540" t="n">
        <v>24000000</v>
      </c>
      <c r="D20" s="540" t="inlineStr">
        <is>
          <t>USD</t>
        </is>
      </c>
      <c r="E20" s="540" t="n">
        <v>12</v>
      </c>
      <c r="F20" s="540" t="inlineStr">
        <is>
          <t>US_Filiale</t>
        </is>
      </c>
      <c r="G20" s="540" t="inlineStr">
        <is>
          <t>Actif</t>
        </is>
      </c>
      <c r="H20" s="540" t="inlineStr">
        <is>
          <t>Bilan</t>
        </is>
      </c>
    </row>
    <row r="21">
      <c r="A21" s="542" t="n">
        <v>215000</v>
      </c>
      <c r="B21" s="542" t="inlineStr">
        <is>
          <t>PP&amp;E (net)</t>
        </is>
      </c>
      <c r="C21" s="542" t="n">
        <v>110000000</v>
      </c>
      <c r="D21" s="542" t="inlineStr">
        <is>
          <t>USD</t>
        </is>
      </c>
      <c r="E21" s="542" t="n">
        <v>12</v>
      </c>
      <c r="F21" s="542" t="inlineStr">
        <is>
          <t>US_Filiale</t>
        </is>
      </c>
      <c r="G21" s="542" t="inlineStr">
        <is>
          <t>Actif</t>
        </is>
      </c>
      <c r="H21" s="542" t="inlineStr">
        <is>
          <t>Bilan</t>
        </is>
      </c>
    </row>
    <row r="22">
      <c r="A22" s="540" t="n">
        <v>311000</v>
      </c>
      <c r="B22" s="540" t="inlineStr">
        <is>
          <t>Inventories</t>
        </is>
      </c>
      <c r="C22" s="540" t="n">
        <v>71000000</v>
      </c>
      <c r="D22" s="540" t="inlineStr">
        <is>
          <t>USD</t>
        </is>
      </c>
      <c r="E22" s="540" t="n">
        <v>12</v>
      </c>
      <c r="F22" s="540" t="inlineStr">
        <is>
          <t>US_Filiale</t>
        </is>
      </c>
      <c r="G22" s="540" t="inlineStr">
        <is>
          <t>Actif</t>
        </is>
      </c>
      <c r="H22" s="540" t="inlineStr">
        <is>
          <t>Bilan</t>
        </is>
      </c>
    </row>
    <row r="23">
      <c r="A23" s="542" t="n">
        <v>411000</v>
      </c>
      <c r="B23" s="542" t="inlineStr">
        <is>
          <t>Trade receivables</t>
        </is>
      </c>
      <c r="C23" s="542" t="n">
        <v>44000000</v>
      </c>
      <c r="D23" s="542" t="inlineStr">
        <is>
          <t>USD</t>
        </is>
      </c>
      <c r="E23" s="542" t="n">
        <v>12</v>
      </c>
      <c r="F23" s="542" t="inlineStr">
        <is>
          <t>US_Filiale</t>
        </is>
      </c>
      <c r="G23" s="542" t="inlineStr">
        <is>
          <t>Actif</t>
        </is>
      </c>
      <c r="H23" s="542" t="inlineStr">
        <is>
          <t>Bilan</t>
        </is>
      </c>
    </row>
    <row r="24">
      <c r="A24" s="540" t="n">
        <v>451000</v>
      </c>
      <c r="B24" s="540" t="inlineStr">
        <is>
          <t>Due from affiliates (IC)</t>
        </is>
      </c>
      <c r="C24" s="540" t="n">
        <v>8500000</v>
      </c>
      <c r="D24" s="540" t="inlineStr">
        <is>
          <t>USD</t>
        </is>
      </c>
      <c r="E24" s="540" t="n">
        <v>12</v>
      </c>
      <c r="F24" s="540" t="inlineStr">
        <is>
          <t>US_Filiale</t>
        </is>
      </c>
      <c r="G24" s="540" t="inlineStr">
        <is>
          <t>Actif</t>
        </is>
      </c>
      <c r="H24" s="540" t="inlineStr">
        <is>
          <t>Bilan_IC</t>
        </is>
      </c>
    </row>
    <row r="25">
      <c r="A25" s="542" t="n">
        <v>512000</v>
      </c>
      <c r="B25" s="542" t="inlineStr">
        <is>
          <t>Cash &amp; short-term investments</t>
        </is>
      </c>
      <c r="C25" s="542" t="n">
        <v>31000000</v>
      </c>
      <c r="D25" s="542" t="inlineStr">
        <is>
          <t>USD</t>
        </is>
      </c>
      <c r="E25" s="542" t="n">
        <v>12</v>
      </c>
      <c r="F25" s="542" t="inlineStr">
        <is>
          <t>US_Filiale</t>
        </is>
      </c>
      <c r="G25" s="542" t="inlineStr">
        <is>
          <t>Actif</t>
        </is>
      </c>
      <c r="H25" s="542" t="inlineStr">
        <is>
          <t>Bilan</t>
        </is>
      </c>
    </row>
    <row r="26">
      <c r="A26" s="540" t="n">
        <v>164000</v>
      </c>
      <c r="B26" s="540" t="inlineStr">
        <is>
          <t>Long-term debt</t>
        </is>
      </c>
      <c r="C26" s="540" t="n">
        <v>64000000</v>
      </c>
      <c r="D26" s="540" t="inlineStr">
        <is>
          <t>USD</t>
        </is>
      </c>
      <c r="E26" s="540" t="n">
        <v>12</v>
      </c>
      <c r="F26" s="540" t="inlineStr">
        <is>
          <t>US_Filiale</t>
        </is>
      </c>
      <c r="G26" s="540" t="inlineStr">
        <is>
          <t>Passif</t>
        </is>
      </c>
      <c r="H26" s="540" t="inlineStr">
        <is>
          <t>Bilan</t>
        </is>
      </c>
    </row>
    <row r="27">
      <c r="A27" s="542" t="n">
        <v>401000</v>
      </c>
      <c r="B27" s="542" t="inlineStr">
        <is>
          <t>Accounts payable</t>
        </is>
      </c>
      <c r="C27" s="542" t="n">
        <v>31000000</v>
      </c>
      <c r="D27" s="542" t="inlineStr">
        <is>
          <t>USD</t>
        </is>
      </c>
      <c r="E27" s="542" t="n">
        <v>12</v>
      </c>
      <c r="F27" s="542" t="inlineStr">
        <is>
          <t>US_Filiale</t>
        </is>
      </c>
      <c r="G27" s="542" t="inlineStr">
        <is>
          <t>Passif</t>
        </is>
      </c>
      <c r="H27" s="542" t="inlineStr">
        <is>
          <t>Bilan</t>
        </is>
      </c>
    </row>
    <row r="28">
      <c r="A28" s="540" t="n">
        <v>451500</v>
      </c>
      <c r="B28" s="540" t="inlineStr">
        <is>
          <t>Due to affiliates (Dettes IC)</t>
        </is>
      </c>
      <c r="C28" s="540" t="n">
        <v>7500000</v>
      </c>
      <c r="D28" s="540" t="inlineStr">
        <is>
          <t>USD</t>
        </is>
      </c>
      <c r="E28" s="540" t="n">
        <v>12</v>
      </c>
      <c r="F28" s="540" t="inlineStr">
        <is>
          <t>US_Filiale</t>
        </is>
      </c>
      <c r="G28" s="540" t="inlineStr">
        <is>
          <t>Passif</t>
        </is>
      </c>
      <c r="H28" s="540" t="inlineStr">
        <is>
          <t>Bilan_IC</t>
        </is>
      </c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1E8449"/>
    <outlinePr summaryBelow="1" summaryRight="1"/>
    <pageSetUpPr/>
  </sheetPr>
  <dimension ref="A1:H29"/>
  <sheetViews>
    <sheetView showGridLines="0" workbookViewId="0">
      <selection activeCell="A1" sqref="A1:H1"/>
    </sheetView>
  </sheetViews>
  <sheetFormatPr baseColWidth="10" defaultRowHeight="15"/>
  <cols>
    <col width="16" customWidth="1" style="500" min="1" max="1"/>
    <col width="64" customWidth="1" style="500" min="2" max="2"/>
    <col width="24" customWidth="1" style="500" min="3" max="3"/>
    <col width="10.7109375" customWidth="1" style="500" min="4" max="4"/>
    <col width="9.28515625" customWidth="1" style="500" min="5" max="5"/>
    <col width="21.28515625" customWidth="1" style="500" min="6" max="6"/>
    <col width="18.7109375" customWidth="1" style="500" min="7" max="7"/>
    <col width="26.7109375" customWidth="1" style="500" min="8" max="8"/>
  </cols>
  <sheetData>
    <row r="1" ht="15.75" customHeight="1" s="500">
      <c r="A1" s="552" t="inlineStr">
        <is>
          <t>📁  SRC_SG – SG_Filiale · Fichier Source Liasse Comptable 2025 · Devise: SGD</t>
        </is>
      </c>
    </row>
    <row r="2">
      <c r="A2" s="543" t="inlineStr">
        <is>
          <t>CodeCompte</t>
        </is>
      </c>
      <c r="B2" s="543" t="inlineStr">
        <is>
          <t>Libellé</t>
        </is>
      </c>
      <c r="C2" s="543" t="inlineStr">
        <is>
          <t>Montant</t>
        </is>
      </c>
      <c r="D2" s="543" t="inlineStr">
        <is>
          <t>Devise</t>
        </is>
      </c>
      <c r="E2" s="543" t="inlineStr">
        <is>
          <t>Mois</t>
        </is>
      </c>
      <c r="F2" s="543" t="inlineStr">
        <is>
          <t>Entité</t>
        </is>
      </c>
      <c r="G2" s="543" t="inlineStr">
        <is>
          <t>TypeFlux</t>
        </is>
      </c>
      <c r="H2" s="543" t="inlineStr">
        <is>
          <t>CatIFRS18</t>
        </is>
      </c>
    </row>
    <row r="3">
      <c r="A3" s="542" t="n">
        <v>701000</v>
      </c>
      <c r="B3" s="542" t="inlineStr">
        <is>
          <t>Revenue from financial services (CA)</t>
        </is>
      </c>
      <c r="C3" s="542" t="n">
        <v>22500000</v>
      </c>
      <c r="D3" s="542" t="inlineStr">
        <is>
          <t>SGD</t>
        </is>
      </c>
      <c r="E3" s="542" t="n">
        <v>6</v>
      </c>
      <c r="F3" s="542" t="inlineStr">
        <is>
          <t>SG_Filiale</t>
        </is>
      </c>
      <c r="G3" s="542" t="inlineStr">
        <is>
          <t>Crédit</t>
        </is>
      </c>
      <c r="H3" s="542" t="inlineStr">
        <is>
          <t>Opérationnel</t>
        </is>
      </c>
    </row>
    <row r="4">
      <c r="A4" s="540" t="n">
        <v>701000</v>
      </c>
      <c r="B4" s="540" t="inlineStr">
        <is>
          <t>Revenue from financial services (CA)</t>
        </is>
      </c>
      <c r="C4" s="540" t="n">
        <v>28800000</v>
      </c>
      <c r="D4" s="540" t="inlineStr">
        <is>
          <t>SGD</t>
        </is>
      </c>
      <c r="E4" s="540" t="n">
        <v>12</v>
      </c>
      <c r="F4" s="540" t="inlineStr">
        <is>
          <t>SG_Filiale</t>
        </is>
      </c>
      <c r="G4" s="540" t="inlineStr">
        <is>
          <t>Crédit</t>
        </is>
      </c>
      <c r="H4" s="540" t="inlineStr">
        <is>
          <t>Opérationnel</t>
        </is>
      </c>
    </row>
    <row r="5">
      <c r="A5" s="542" t="n">
        <v>706000</v>
      </c>
      <c r="B5" s="542" t="inlineStr">
        <is>
          <t>Advisory &amp; management services</t>
        </is>
      </c>
      <c r="C5" s="542" t="n">
        <v>9200000</v>
      </c>
      <c r="D5" s="542" t="inlineStr">
        <is>
          <t>SGD</t>
        </is>
      </c>
      <c r="E5" s="542" t="n">
        <v>6</v>
      </c>
      <c r="F5" s="542" t="inlineStr">
        <is>
          <t>SG_Filiale</t>
        </is>
      </c>
      <c r="G5" s="542" t="inlineStr">
        <is>
          <t>Crédit</t>
        </is>
      </c>
      <c r="H5" s="542" t="inlineStr">
        <is>
          <t>Opérationnel</t>
        </is>
      </c>
    </row>
    <row r="6">
      <c r="A6" s="540" t="n">
        <v>706000</v>
      </c>
      <c r="B6" s="540" t="inlineStr">
        <is>
          <t>Advisory &amp; management services</t>
        </is>
      </c>
      <c r="C6" s="540" t="n">
        <v>11500000</v>
      </c>
      <c r="D6" s="540" t="inlineStr">
        <is>
          <t>SGD</t>
        </is>
      </c>
      <c r="E6" s="540" t="n">
        <v>12</v>
      </c>
      <c r="F6" s="540" t="inlineStr">
        <is>
          <t>SG_Filiale</t>
        </is>
      </c>
      <c r="G6" s="540" t="inlineStr">
        <is>
          <t>Crédit</t>
        </is>
      </c>
      <c r="H6" s="540" t="inlineStr">
        <is>
          <t>Opérationnel</t>
        </is>
      </c>
    </row>
    <row r="7">
      <c r="A7" s="542" t="n">
        <v>708500</v>
      </c>
      <c r="B7" s="542" t="inlineStr">
        <is>
          <t>Interco management charges received (IC)</t>
        </is>
      </c>
      <c r="C7" s="542" t="n">
        <v>3800000</v>
      </c>
      <c r="D7" s="542" t="inlineStr">
        <is>
          <t>SGD</t>
        </is>
      </c>
      <c r="E7" s="542" t="n">
        <v>6</v>
      </c>
      <c r="F7" s="542" t="inlineStr">
        <is>
          <t>SG_Filiale</t>
        </is>
      </c>
      <c r="G7" s="542" t="inlineStr">
        <is>
          <t>Crédit</t>
        </is>
      </c>
      <c r="H7" s="542" t="inlineStr">
        <is>
          <t>Élimination_IC</t>
        </is>
      </c>
    </row>
    <row r="8">
      <c r="A8" s="540" t="n">
        <v>708500</v>
      </c>
      <c r="B8" s="540" t="inlineStr">
        <is>
          <t>Interco management charges received (IC)</t>
        </is>
      </c>
      <c r="C8" s="540" t="n">
        <v>4200000</v>
      </c>
      <c r="D8" s="540" t="inlineStr">
        <is>
          <t>SGD</t>
        </is>
      </c>
      <c r="E8" s="540" t="n">
        <v>12</v>
      </c>
      <c r="F8" s="540" t="inlineStr">
        <is>
          <t>SG_Filiale</t>
        </is>
      </c>
      <c r="G8" s="540" t="inlineStr">
        <is>
          <t>Crédit</t>
        </is>
      </c>
      <c r="H8" s="540" t="inlineStr">
        <is>
          <t>Élimination_IC</t>
        </is>
      </c>
    </row>
    <row r="9">
      <c r="A9" s="542" t="n">
        <v>601000</v>
      </c>
      <c r="B9" s="542" t="inlineStr">
        <is>
          <t>Direct operating costs</t>
        </is>
      </c>
      <c r="C9" s="542" t="n">
        <v>-12800000</v>
      </c>
      <c r="D9" s="542" t="inlineStr">
        <is>
          <t>SGD</t>
        </is>
      </c>
      <c r="E9" s="542" t="n">
        <v>6</v>
      </c>
      <c r="F9" s="542" t="inlineStr">
        <is>
          <t>SG_Filiale</t>
        </is>
      </c>
      <c r="G9" s="542" t="inlineStr">
        <is>
          <t>Débit</t>
        </is>
      </c>
      <c r="H9" s="542" t="inlineStr">
        <is>
          <t>Opérationnel</t>
        </is>
      </c>
    </row>
    <row r="10">
      <c r="A10" s="540" t="n">
        <v>601000</v>
      </c>
      <c r="B10" s="540" t="inlineStr">
        <is>
          <t>Direct operating costs</t>
        </is>
      </c>
      <c r="C10" s="540" t="n">
        <v>-15200000</v>
      </c>
      <c r="D10" s="540" t="inlineStr">
        <is>
          <t>SGD</t>
        </is>
      </c>
      <c r="E10" s="540" t="n">
        <v>12</v>
      </c>
      <c r="F10" s="540" t="inlineStr">
        <is>
          <t>SG_Filiale</t>
        </is>
      </c>
      <c r="G10" s="540" t="inlineStr">
        <is>
          <t>Débit</t>
        </is>
      </c>
      <c r="H10" s="540" t="inlineStr">
        <is>
          <t>Opérationnel</t>
        </is>
      </c>
    </row>
    <row r="11">
      <c r="A11" s="542" t="n">
        <v>621000</v>
      </c>
      <c r="B11" s="542" t="inlineStr">
        <is>
          <t>Professional &amp; outsourced services</t>
        </is>
      </c>
      <c r="C11" s="542" t="n">
        <v>-5200000</v>
      </c>
      <c r="D11" s="542" t="inlineStr">
        <is>
          <t>SGD</t>
        </is>
      </c>
      <c r="E11" s="542" t="n">
        <v>6</v>
      </c>
      <c r="F11" s="542" t="inlineStr">
        <is>
          <t>SG_Filiale</t>
        </is>
      </c>
      <c r="G11" s="542" t="inlineStr">
        <is>
          <t>Débit</t>
        </is>
      </c>
      <c r="H11" s="542" t="inlineStr">
        <is>
          <t>Opérationnel</t>
        </is>
      </c>
    </row>
    <row r="12">
      <c r="A12" s="540" t="n">
        <v>621000</v>
      </c>
      <c r="B12" s="540" t="inlineStr">
        <is>
          <t>Professional &amp; outsourced services</t>
        </is>
      </c>
      <c r="C12" s="540" t="n">
        <v>-6100000</v>
      </c>
      <c r="D12" s="540" t="inlineStr">
        <is>
          <t>SGD</t>
        </is>
      </c>
      <c r="E12" s="540" t="n">
        <v>12</v>
      </c>
      <c r="F12" s="540" t="inlineStr">
        <is>
          <t>SG_Filiale</t>
        </is>
      </c>
      <c r="G12" s="540" t="inlineStr">
        <is>
          <t>Débit</t>
        </is>
      </c>
      <c r="H12" s="540" t="inlineStr">
        <is>
          <t>Opérationnel</t>
        </is>
      </c>
    </row>
    <row r="13">
      <c r="A13" s="542" t="n">
        <v>631000</v>
      </c>
      <c r="B13" s="542" t="inlineStr">
        <is>
          <t>Employee costs (Charges personnel)</t>
        </is>
      </c>
      <c r="C13" s="542" t="n">
        <v>-8900000</v>
      </c>
      <c r="D13" s="542" t="inlineStr">
        <is>
          <t>SGD</t>
        </is>
      </c>
      <c r="E13" s="542" t="n">
        <v>6</v>
      </c>
      <c r="F13" s="542" t="inlineStr">
        <is>
          <t>SG_Filiale</t>
        </is>
      </c>
      <c r="G13" s="542" t="inlineStr">
        <is>
          <t>Débit</t>
        </is>
      </c>
      <c r="H13" s="542" t="inlineStr">
        <is>
          <t>Opérationnel</t>
        </is>
      </c>
    </row>
    <row r="14">
      <c r="A14" s="540" t="n">
        <v>631000</v>
      </c>
      <c r="B14" s="540" t="inlineStr">
        <is>
          <t>Employee costs (Charges personnel)</t>
        </is>
      </c>
      <c r="C14" s="540" t="n">
        <v>-10200000</v>
      </c>
      <c r="D14" s="540" t="inlineStr">
        <is>
          <t>SGD</t>
        </is>
      </c>
      <c r="E14" s="540" t="n">
        <v>12</v>
      </c>
      <c r="F14" s="540" t="inlineStr">
        <is>
          <t>SG_Filiale</t>
        </is>
      </c>
      <c r="G14" s="540" t="inlineStr">
        <is>
          <t>Débit</t>
        </is>
      </c>
      <c r="H14" s="540" t="inlineStr">
        <is>
          <t>Opérationnel</t>
        </is>
      </c>
    </row>
    <row r="15">
      <c r="A15" s="542" t="n">
        <v>681100</v>
      </c>
      <c r="B15" s="542" t="inlineStr">
        <is>
          <t>Depreciation (Amortissements)</t>
        </is>
      </c>
      <c r="C15" s="542" t="n">
        <v>-3100000</v>
      </c>
      <c r="D15" s="542" t="inlineStr">
        <is>
          <t>SGD</t>
        </is>
      </c>
      <c r="E15" s="542" t="n">
        <v>6</v>
      </c>
      <c r="F15" s="542" t="inlineStr">
        <is>
          <t>SG_Filiale</t>
        </is>
      </c>
      <c r="G15" s="542" t="inlineStr">
        <is>
          <t>Débit</t>
        </is>
      </c>
      <c r="H15" s="542" t="inlineStr">
        <is>
          <t>Opérationnel</t>
        </is>
      </c>
    </row>
    <row r="16">
      <c r="A16" s="540" t="n">
        <v>681100</v>
      </c>
      <c r="B16" s="540" t="inlineStr">
        <is>
          <t>Depreciation (Amortissements)</t>
        </is>
      </c>
      <c r="C16" s="540" t="n">
        <v>-3400000</v>
      </c>
      <c r="D16" s="540" t="inlineStr">
        <is>
          <t>SGD</t>
        </is>
      </c>
      <c r="E16" s="540" t="n">
        <v>12</v>
      </c>
      <c r="F16" s="540" t="inlineStr">
        <is>
          <t>SG_Filiale</t>
        </is>
      </c>
      <c r="G16" s="540" t="inlineStr">
        <is>
          <t>Débit</t>
        </is>
      </c>
      <c r="H16" s="540" t="inlineStr">
        <is>
          <t>Opérationnel</t>
        </is>
      </c>
    </row>
    <row r="17">
      <c r="A17" s="542" t="n">
        <v>764000</v>
      </c>
      <c r="B17" s="542" t="inlineStr">
        <is>
          <t>Investment income (Produits fin.)</t>
        </is>
      </c>
      <c r="C17" s="542" t="n">
        <v>280000</v>
      </c>
      <c r="D17" s="542" t="inlineStr">
        <is>
          <t>SGD</t>
        </is>
      </c>
      <c r="E17" s="542" t="n">
        <v>12</v>
      </c>
      <c r="F17" s="542" t="inlineStr">
        <is>
          <t>SG_Filiale</t>
        </is>
      </c>
      <c r="G17" s="542" t="inlineStr">
        <is>
          <t>Crédit</t>
        </is>
      </c>
      <c r="H17" s="542" t="inlineStr">
        <is>
          <t>Investissement</t>
        </is>
      </c>
    </row>
    <row r="18">
      <c r="A18" s="540" t="n">
        <v>661100</v>
      </c>
      <c r="B18" s="540" t="inlineStr">
        <is>
          <t>Interest expense (Charges intérêts)</t>
        </is>
      </c>
      <c r="C18" s="540" t="n">
        <v>-2800000</v>
      </c>
      <c r="D18" s="540" t="inlineStr">
        <is>
          <t>SGD</t>
        </is>
      </c>
      <c r="E18" s="540" t="n">
        <v>12</v>
      </c>
      <c r="F18" s="540" t="inlineStr">
        <is>
          <t>SG_Filiale</t>
        </is>
      </c>
      <c r="G18" s="540" t="inlineStr">
        <is>
          <t>Débit</t>
        </is>
      </c>
      <c r="H18" s="540" t="inlineStr">
        <is>
          <t>Financement</t>
        </is>
      </c>
    </row>
    <row r="19">
      <c r="A19" s="542" t="n">
        <v>661200</v>
      </c>
      <c r="B19" s="542" t="inlineStr">
        <is>
          <t>Lease interest IFRS 16</t>
        </is>
      </c>
      <c r="C19" s="542" t="n">
        <v>-500000</v>
      </c>
      <c r="D19" s="542" t="inlineStr">
        <is>
          <t>SGD</t>
        </is>
      </c>
      <c r="E19" s="542" t="n">
        <v>12</v>
      </c>
      <c r="F19" s="542" t="inlineStr">
        <is>
          <t>SG_Filiale</t>
        </is>
      </c>
      <c r="G19" s="542" t="inlineStr">
        <is>
          <t>Débit</t>
        </is>
      </c>
      <c r="H19" s="542" t="inlineStr">
        <is>
          <t>Financement</t>
        </is>
      </c>
    </row>
    <row r="20">
      <c r="A20" s="540" t="n">
        <v>695000</v>
      </c>
      <c r="B20" s="540" t="inlineStr">
        <is>
          <t>Singapore corporate income tax</t>
        </is>
      </c>
      <c r="C20" s="540" t="n">
        <v>-3200000</v>
      </c>
      <c r="D20" s="540" t="inlineStr">
        <is>
          <t>SGD</t>
        </is>
      </c>
      <c r="E20" s="540" t="n">
        <v>12</v>
      </c>
      <c r="F20" s="540" t="inlineStr">
        <is>
          <t>SG_Filiale</t>
        </is>
      </c>
      <c r="G20" s="540" t="inlineStr">
        <is>
          <t>Débit</t>
        </is>
      </c>
      <c r="H20" s="540" t="inlineStr">
        <is>
          <t>Impôts</t>
        </is>
      </c>
    </row>
    <row r="21">
      <c r="A21" s="542" t="n">
        <v>211000</v>
      </c>
      <c r="B21" s="542" t="inlineStr">
        <is>
          <t>Intangibles &amp; Goodwill</t>
        </is>
      </c>
      <c r="C21" s="542" t="n">
        <v>28000000</v>
      </c>
      <c r="D21" s="542" t="inlineStr">
        <is>
          <t>SGD</t>
        </is>
      </c>
      <c r="E21" s="542" t="n">
        <v>12</v>
      </c>
      <c r="F21" s="542" t="inlineStr">
        <is>
          <t>SG_Filiale</t>
        </is>
      </c>
      <c r="G21" s="542" t="inlineStr">
        <is>
          <t>Actif</t>
        </is>
      </c>
      <c r="H21" s="542" t="inlineStr">
        <is>
          <t>Bilan</t>
        </is>
      </c>
    </row>
    <row r="22">
      <c r="A22" s="540" t="n">
        <v>215000</v>
      </c>
      <c r="B22" s="540" t="inlineStr">
        <is>
          <t>Plant &amp; equipment</t>
        </is>
      </c>
      <c r="C22" s="540" t="n">
        <v>42000000</v>
      </c>
      <c r="D22" s="540" t="inlineStr">
        <is>
          <t>SGD</t>
        </is>
      </c>
      <c r="E22" s="540" t="n">
        <v>12</v>
      </c>
      <c r="F22" s="540" t="inlineStr">
        <is>
          <t>SG_Filiale</t>
        </is>
      </c>
      <c r="G22" s="540" t="inlineStr">
        <is>
          <t>Actif</t>
        </is>
      </c>
      <c r="H22" s="540" t="inlineStr">
        <is>
          <t>Bilan</t>
        </is>
      </c>
    </row>
    <row r="23">
      <c r="A23" s="542" t="n">
        <v>311000</v>
      </c>
      <c r="B23" s="542" t="inlineStr">
        <is>
          <t>Inventories</t>
        </is>
      </c>
      <c r="C23" s="542" t="n">
        <v>5000000</v>
      </c>
      <c r="D23" s="542" t="inlineStr">
        <is>
          <t>SGD</t>
        </is>
      </c>
      <c r="E23" s="542" t="n">
        <v>12</v>
      </c>
      <c r="F23" s="542" t="inlineStr">
        <is>
          <t>SG_Filiale</t>
        </is>
      </c>
      <c r="G23" s="542" t="inlineStr">
        <is>
          <t>Actif</t>
        </is>
      </c>
      <c r="H23" s="542" t="inlineStr">
        <is>
          <t>Bilan</t>
        </is>
      </c>
    </row>
    <row r="24">
      <c r="A24" s="540" t="n">
        <v>411000</v>
      </c>
      <c r="B24" s="540" t="inlineStr">
        <is>
          <t>Receivables</t>
        </is>
      </c>
      <c r="C24" s="540" t="n">
        <v>21000000</v>
      </c>
      <c r="D24" s="540" t="inlineStr">
        <is>
          <t>SGD</t>
        </is>
      </c>
      <c r="E24" s="540" t="n">
        <v>12</v>
      </c>
      <c r="F24" s="540" t="inlineStr">
        <is>
          <t>SG_Filiale</t>
        </is>
      </c>
      <c r="G24" s="540" t="inlineStr">
        <is>
          <t>Actif</t>
        </is>
      </c>
      <c r="H24" s="540" t="inlineStr">
        <is>
          <t>Bilan</t>
        </is>
      </c>
    </row>
    <row r="25">
      <c r="A25" s="542" t="n">
        <v>451000</v>
      </c>
      <c r="B25" s="542" t="inlineStr">
        <is>
          <t>Interco receivables (IC)</t>
        </is>
      </c>
      <c r="C25" s="542" t="n">
        <v>9200000</v>
      </c>
      <c r="D25" s="542" t="inlineStr">
        <is>
          <t>SGD</t>
        </is>
      </c>
      <c r="E25" s="542" t="n">
        <v>12</v>
      </c>
      <c r="F25" s="542" t="inlineStr">
        <is>
          <t>SG_Filiale</t>
        </is>
      </c>
      <c r="G25" s="542" t="inlineStr">
        <is>
          <t>Actif</t>
        </is>
      </c>
      <c r="H25" s="542" t="inlineStr">
        <is>
          <t>Bilan_IC</t>
        </is>
      </c>
    </row>
    <row r="26">
      <c r="A26" s="540" t="n">
        <v>512000</v>
      </c>
      <c r="B26" s="540" t="inlineStr">
        <is>
          <t>Cash at bank</t>
        </is>
      </c>
      <c r="C26" s="540" t="n">
        <v>28000000</v>
      </c>
      <c r="D26" s="540" t="inlineStr">
        <is>
          <t>SGD</t>
        </is>
      </c>
      <c r="E26" s="540" t="n">
        <v>12</v>
      </c>
      <c r="F26" s="540" t="inlineStr">
        <is>
          <t>SG_Filiale</t>
        </is>
      </c>
      <c r="G26" s="540" t="inlineStr">
        <is>
          <t>Actif</t>
        </is>
      </c>
      <c r="H26" s="540" t="inlineStr">
        <is>
          <t>Bilan</t>
        </is>
      </c>
    </row>
    <row r="27">
      <c r="A27" s="542" t="n">
        <v>164000</v>
      </c>
      <c r="B27" s="542" t="inlineStr">
        <is>
          <t>Bank borrowings</t>
        </is>
      </c>
      <c r="C27" s="542" t="n">
        <v>24000000</v>
      </c>
      <c r="D27" s="542" t="inlineStr">
        <is>
          <t>SGD</t>
        </is>
      </c>
      <c r="E27" s="542" t="n">
        <v>12</v>
      </c>
      <c r="F27" s="542" t="inlineStr">
        <is>
          <t>SG_Filiale</t>
        </is>
      </c>
      <c r="G27" s="542" t="inlineStr">
        <is>
          <t>Passif</t>
        </is>
      </c>
      <c r="H27" s="542" t="inlineStr">
        <is>
          <t>Bilan</t>
        </is>
      </c>
    </row>
    <row r="28">
      <c r="A28" s="540" t="n">
        <v>401000</v>
      </c>
      <c r="B28" s="540" t="inlineStr">
        <is>
          <t>Trade payables</t>
        </is>
      </c>
      <c r="C28" s="540" t="n">
        <v>9500000</v>
      </c>
      <c r="D28" s="540" t="inlineStr">
        <is>
          <t>SGD</t>
        </is>
      </c>
      <c r="E28" s="540" t="n">
        <v>12</v>
      </c>
      <c r="F28" s="540" t="inlineStr">
        <is>
          <t>SG_Filiale</t>
        </is>
      </c>
      <c r="G28" s="540" t="inlineStr">
        <is>
          <t>Passif</t>
        </is>
      </c>
      <c r="H28" s="540" t="inlineStr">
        <is>
          <t>Bilan</t>
        </is>
      </c>
    </row>
    <row r="29">
      <c r="A29" s="542" t="n">
        <v>451500</v>
      </c>
      <c r="B29" s="542" t="inlineStr">
        <is>
          <t>Interco payables (Dettes IC)</t>
        </is>
      </c>
      <c r="C29" s="542" t="n">
        <v>5100000</v>
      </c>
      <c r="D29" s="542" t="inlineStr">
        <is>
          <t>SGD</t>
        </is>
      </c>
      <c r="E29" s="542" t="n">
        <v>12</v>
      </c>
      <c r="F29" s="542" t="inlineStr">
        <is>
          <t>SG_Filiale</t>
        </is>
      </c>
      <c r="G29" s="542" t="inlineStr">
        <is>
          <t>Passif</t>
        </is>
      </c>
      <c r="H29" s="542" t="inlineStr">
        <is>
          <t>Bilan_IC</t>
        </is>
      </c>
    </row>
  </sheetData>
  <mergeCells count="1"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8E44AD"/>
    <outlinePr summaryBelow="1" summaryRight="1"/>
    <pageSetUpPr/>
  </sheetPr>
  <dimension ref="A1:L120"/>
  <sheetViews>
    <sheetView workbookViewId="0">
      <selection activeCell="A1" sqref="A1:K1"/>
    </sheetView>
  </sheetViews>
  <sheetFormatPr baseColWidth="10" defaultRowHeight="15"/>
  <cols>
    <col width="16" customWidth="1" style="500" min="1" max="1"/>
    <col width="69.28515625" customWidth="1" style="500" min="2" max="2"/>
    <col width="8" customWidth="1" style="500" min="3" max="3"/>
    <col width="24" customWidth="1" style="500" min="4" max="4"/>
    <col width="42.7109375" customWidth="1" style="500" min="5" max="5"/>
    <col width="37.28515625" customWidth="1" style="500" min="6" max="6"/>
    <col width="16" customWidth="1" style="500" min="7" max="8"/>
    <col width="13.28515625" customWidth="1" style="500" min="9" max="9"/>
    <col width="29.28515625" customWidth="1" style="500" min="10" max="10"/>
    <col width="64" customWidth="1" style="500" min="11" max="11"/>
  </cols>
  <sheetData>
    <row r="1" ht="17.25" customHeight="1" s="500">
      <c r="A1" s="554" t="inlineStr">
        <is>
          <t>🗺️  PQ_MAPPING – TABLE DE CORRESPONDANCE : Plan Comptable Local → Poste IFRS 18 Groupe</t>
        </is>
      </c>
      <c r="L1" s="80" t="n"/>
    </row>
    <row r="2">
      <c r="A2" s="555" t="inlineStr">
        <is>
          <t>⚡  Cette table est chargée par Power Query pour reclasser automatiquement les postes comptables locaux vers les 5 catégories IFRS 18 – Modifiable sans toucher au code M</t>
        </is>
      </c>
      <c r="L2" s="80" t="n"/>
    </row>
    <row r="3">
      <c r="A3" s="543" t="inlineStr">
        <is>
          <t>CodeSource</t>
        </is>
      </c>
      <c r="B3" s="543" t="inlineStr">
        <is>
          <t>Libellé Source</t>
        </is>
      </c>
      <c r="C3" s="543" t="inlineStr">
        <is>
          <t>Type</t>
        </is>
      </c>
      <c r="D3" s="543" t="inlineStr">
        <is>
          <t>CatIFRS18</t>
        </is>
      </c>
      <c r="E3" s="543" t="inlineStr">
        <is>
          <t>PosteGroupeIFRS18</t>
        </is>
      </c>
      <c r="F3" s="543" t="inlineStr">
        <is>
          <t>SousPosteIFRS18</t>
        </is>
      </c>
      <c r="G3" s="543" t="inlineStr">
        <is>
          <t>SigneConvention</t>
        </is>
      </c>
      <c r="H3" s="543" t="inlineStr">
        <is>
          <t>InclusDansBFR</t>
        </is>
      </c>
      <c r="I3" s="543" t="inlineStr">
        <is>
          <t>IC_Flag</t>
        </is>
      </c>
      <c r="J3" s="543" t="inlineStr">
        <is>
          <t>NormeRef</t>
        </is>
      </c>
      <c r="K3" s="543" t="inlineStr">
        <is>
          <t>Commentaire</t>
        </is>
      </c>
      <c r="L3" s="80" t="n"/>
    </row>
    <row r="4">
      <c r="A4" s="82" t="n">
        <v>701000</v>
      </c>
      <c r="B4" s="82" t="inlineStr">
        <is>
          <t>Ventes de marchandises / Revenue</t>
        </is>
      </c>
      <c r="C4" s="82" t="inlineStr">
        <is>
          <t>CR</t>
        </is>
      </c>
      <c r="D4" s="82" t="inlineStr">
        <is>
          <t>Opérationnel</t>
        </is>
      </c>
      <c r="E4" s="82" t="inlineStr">
        <is>
          <t>Chiffre d'affaires</t>
        </is>
      </c>
      <c r="F4" s="82" t="inlineStr">
        <is>
          <t>Ventes biens</t>
        </is>
      </c>
      <c r="G4" s="82" t="inlineStr">
        <is>
          <t>CRÉDIT</t>
        </is>
      </c>
      <c r="H4" s="82" t="inlineStr">
        <is>
          <t>Non</t>
        </is>
      </c>
      <c r="I4" s="82" t="inlineStr">
        <is>
          <t>Non</t>
        </is>
      </c>
      <c r="J4" s="82" t="inlineStr">
        <is>
          <t>IFRS 15</t>
        </is>
      </c>
      <c r="K4" s="82" t="inlineStr">
        <is>
          <t>Revenus tirés de contrats clients</t>
        </is>
      </c>
      <c r="L4" s="80" t="n"/>
    </row>
    <row r="5">
      <c r="A5" s="82" t="n">
        <v>706000</v>
      </c>
      <c r="B5" s="82" t="inlineStr">
        <is>
          <t>Prestations de services / Services revenue</t>
        </is>
      </c>
      <c r="C5" s="82" t="inlineStr">
        <is>
          <t>CR</t>
        </is>
      </c>
      <c r="D5" s="82" t="inlineStr">
        <is>
          <t>Opérationnel</t>
        </is>
      </c>
      <c r="E5" s="82" t="inlineStr">
        <is>
          <t>Chiffre d'affaires</t>
        </is>
      </c>
      <c r="F5" s="82" t="inlineStr">
        <is>
          <t>Prestations services</t>
        </is>
      </c>
      <c r="G5" s="82" t="inlineStr">
        <is>
          <t>CRÉDIT</t>
        </is>
      </c>
      <c r="H5" s="82" t="inlineStr">
        <is>
          <t>Non</t>
        </is>
      </c>
      <c r="I5" s="82" t="inlineStr">
        <is>
          <t>Non</t>
        </is>
      </c>
      <c r="J5" s="82" t="inlineStr">
        <is>
          <t>IFRS 15</t>
        </is>
      </c>
      <c r="K5" s="82" t="inlineStr">
        <is>
          <t>Revenus tirés de contrats clients</t>
        </is>
      </c>
      <c r="L5" s="80" t="n"/>
    </row>
    <row r="6">
      <c r="A6" s="82" t="n">
        <v>707000</v>
      </c>
      <c r="B6" s="82" t="inlineStr">
        <is>
          <t>Ventes de produits finis</t>
        </is>
      </c>
      <c r="C6" s="82" t="inlineStr">
        <is>
          <t>CR</t>
        </is>
      </c>
      <c r="D6" s="82" t="inlineStr">
        <is>
          <t>Opérationnel</t>
        </is>
      </c>
      <c r="E6" s="82" t="inlineStr">
        <is>
          <t>Chiffre d'affaires</t>
        </is>
      </c>
      <c r="F6" s="82" t="inlineStr">
        <is>
          <t>Ventes produits</t>
        </is>
      </c>
      <c r="G6" s="82" t="inlineStr">
        <is>
          <t>CRÉDIT</t>
        </is>
      </c>
      <c r="H6" s="82" t="inlineStr">
        <is>
          <t>Non</t>
        </is>
      </c>
      <c r="I6" s="82" t="inlineStr">
        <is>
          <t>Non</t>
        </is>
      </c>
      <c r="J6" s="82" t="inlineStr">
        <is>
          <t>IFRS 15</t>
        </is>
      </c>
      <c r="K6" s="82" t="inlineStr">
        <is>
          <t>Production vendue</t>
        </is>
      </c>
      <c r="L6" s="80" t="n"/>
    </row>
    <row r="7">
      <c r="A7" s="82" t="n">
        <v>708000</v>
      </c>
      <c r="B7" s="82" t="inlineStr">
        <is>
          <t>Autres produits d'activité</t>
        </is>
      </c>
      <c r="C7" s="82" t="inlineStr">
        <is>
          <t>CR</t>
        </is>
      </c>
      <c r="D7" s="82" t="inlineStr">
        <is>
          <t>Opérationnel</t>
        </is>
      </c>
      <c r="E7" s="82" t="inlineStr">
        <is>
          <t>Autres produits opérationnels</t>
        </is>
      </c>
      <c r="F7" s="82" t="inlineStr">
        <is>
          <t>Produits accessoires</t>
        </is>
      </c>
      <c r="G7" s="82" t="inlineStr">
        <is>
          <t>CRÉDIT</t>
        </is>
      </c>
      <c r="H7" s="82" t="inlineStr">
        <is>
          <t>Non</t>
        </is>
      </c>
      <c r="I7" s="82" t="inlineStr">
        <is>
          <t>Non</t>
        </is>
      </c>
      <c r="J7" s="82" t="inlineStr">
        <is>
          <t>IFRS 15</t>
        </is>
      </c>
      <c r="K7" s="82" t="inlineStr">
        <is>
          <t>Produits courants hors ventes</t>
        </is>
      </c>
      <c r="L7" s="80" t="n"/>
    </row>
    <row r="8">
      <c r="A8" s="26" t="n">
        <v>708500</v>
      </c>
      <c r="B8" s="26" t="inlineStr">
        <is>
          <t>Refacturations intercompagnies (IC)</t>
        </is>
      </c>
      <c r="C8" s="26" t="inlineStr">
        <is>
          <t>CR</t>
        </is>
      </c>
      <c r="D8" s="26" t="inlineStr">
        <is>
          <t>Élimination_IC</t>
        </is>
      </c>
      <c r="E8" s="26" t="inlineStr">
        <is>
          <t>Élimination IC</t>
        </is>
      </c>
      <c r="F8" s="26" t="inlineStr">
        <is>
          <t>Interco - à éliminer</t>
        </is>
      </c>
      <c r="G8" s="26" t="inlineStr">
        <is>
          <t>CRÉDIT</t>
        </is>
      </c>
      <c r="H8" s="26" t="inlineStr">
        <is>
          <t>Non</t>
        </is>
      </c>
      <c r="I8" s="85" t="inlineStr">
        <is>
          <t>OUI</t>
        </is>
      </c>
      <c r="J8" s="26" t="inlineStr">
        <is>
          <t>IFRS 10</t>
        </is>
      </c>
      <c r="K8" s="26" t="inlineStr">
        <is>
          <t>⚠️ À ÉLIMINER en consolidation</t>
        </is>
      </c>
      <c r="L8" s="80" t="n"/>
    </row>
    <row r="9">
      <c r="A9" s="82" t="n">
        <v>713000</v>
      </c>
      <c r="B9" s="82" t="inlineStr">
        <is>
          <t>Variation de stocks produits finis</t>
        </is>
      </c>
      <c r="C9" s="82" t="inlineStr">
        <is>
          <t>CR</t>
        </is>
      </c>
      <c r="D9" s="82" t="inlineStr">
        <is>
          <t>Opérationnel</t>
        </is>
      </c>
      <c r="E9" s="82" t="inlineStr">
        <is>
          <t>Variation de stocks</t>
        </is>
      </c>
      <c r="F9" s="82" t="inlineStr">
        <is>
          <t>Production stockée</t>
        </is>
      </c>
      <c r="G9" s="82" t="inlineStr">
        <is>
          <t>CRÉDIT</t>
        </is>
      </c>
      <c r="H9" s="82" t="inlineStr">
        <is>
          <t>Non</t>
        </is>
      </c>
      <c r="I9" s="82" t="inlineStr">
        <is>
          <t>Non</t>
        </is>
      </c>
      <c r="J9" s="82" t="inlineStr">
        <is>
          <t>IAS 2</t>
        </is>
      </c>
      <c r="K9" s="82" t="inlineStr">
        <is>
          <t>Variation stock en-cours et PF</t>
        </is>
      </c>
      <c r="L9" s="80" t="n"/>
    </row>
    <row r="10">
      <c r="A10" s="82" t="n">
        <v>740000</v>
      </c>
      <c r="B10" s="82" t="inlineStr">
        <is>
          <t>Subventions d'exploitation</t>
        </is>
      </c>
      <c r="C10" s="82" t="inlineStr">
        <is>
          <t>CR</t>
        </is>
      </c>
      <c r="D10" s="82" t="inlineStr">
        <is>
          <t>Opérationnel</t>
        </is>
      </c>
      <c r="E10" s="82" t="inlineStr">
        <is>
          <t>Autres produits opérationnels</t>
        </is>
      </c>
      <c r="F10" s="82" t="inlineStr">
        <is>
          <t>Subventions</t>
        </is>
      </c>
      <c r="G10" s="82" t="inlineStr">
        <is>
          <t>CRÉDIT</t>
        </is>
      </c>
      <c r="H10" s="82" t="inlineStr">
        <is>
          <t>Non</t>
        </is>
      </c>
      <c r="I10" s="82" t="inlineStr">
        <is>
          <t>Non</t>
        </is>
      </c>
      <c r="J10" s="82" t="inlineStr">
        <is>
          <t>IAS 20</t>
        </is>
      </c>
      <c r="K10" s="82" t="inlineStr">
        <is>
          <t>Aides publiques liées à activité</t>
        </is>
      </c>
      <c r="L10" s="80" t="n"/>
    </row>
    <row r="11">
      <c r="A11" s="82" t="n">
        <v>750000</v>
      </c>
      <c r="B11" s="82" t="inlineStr">
        <is>
          <t>Redevances &amp; licences reçues</t>
        </is>
      </c>
      <c r="C11" s="82" t="inlineStr">
        <is>
          <t>CR</t>
        </is>
      </c>
      <c r="D11" s="82" t="inlineStr">
        <is>
          <t>Opérationnel</t>
        </is>
      </c>
      <c r="E11" s="82" t="inlineStr">
        <is>
          <t>Autres produits opérationnels</t>
        </is>
      </c>
      <c r="F11" s="82" t="inlineStr">
        <is>
          <t>Redevances</t>
        </is>
      </c>
      <c r="G11" s="82" t="inlineStr">
        <is>
          <t>CRÉDIT</t>
        </is>
      </c>
      <c r="H11" s="82" t="inlineStr">
        <is>
          <t>Non</t>
        </is>
      </c>
      <c r="I11" s="82" t="inlineStr">
        <is>
          <t>Non</t>
        </is>
      </c>
      <c r="J11" s="82" t="inlineStr">
        <is>
          <t>IFRS 15</t>
        </is>
      </c>
      <c r="K11" s="82" t="inlineStr">
        <is>
          <t>Licences &amp; propriété intellectuelle</t>
        </is>
      </c>
      <c r="L11" s="80" t="n"/>
    </row>
    <row r="12">
      <c r="A12" s="82" t="n">
        <v>601000</v>
      </c>
      <c r="B12" s="82" t="inlineStr">
        <is>
          <t>Achats de marchandises / COGS</t>
        </is>
      </c>
      <c r="C12" s="82" t="inlineStr">
        <is>
          <t>CH</t>
        </is>
      </c>
      <c r="D12" s="82" t="inlineStr">
        <is>
          <t>Opérationnel</t>
        </is>
      </c>
      <c r="E12" s="82" t="inlineStr">
        <is>
          <t>Achats et charges externes</t>
        </is>
      </c>
      <c r="F12" s="82" t="inlineStr">
        <is>
          <t>Coût des ventes</t>
        </is>
      </c>
      <c r="G12" s="82" t="inlineStr">
        <is>
          <t>DÉBIT</t>
        </is>
      </c>
      <c r="H12" s="82" t="inlineStr">
        <is>
          <t>Non</t>
        </is>
      </c>
      <c r="I12" s="82" t="inlineStr">
        <is>
          <t>Non</t>
        </is>
      </c>
      <c r="J12" s="82" t="inlineStr">
        <is>
          <t>IAS 2</t>
        </is>
      </c>
      <c r="K12" s="82" t="inlineStr">
        <is>
          <t>Achats directs liés au CA</t>
        </is>
      </c>
      <c r="L12" s="80" t="n"/>
    </row>
    <row r="13">
      <c r="A13" s="82" t="n">
        <v>602000</v>
      </c>
      <c r="B13" s="82" t="inlineStr">
        <is>
          <t>Achats de matières premières</t>
        </is>
      </c>
      <c r="C13" s="82" t="inlineStr">
        <is>
          <t>CH</t>
        </is>
      </c>
      <c r="D13" s="82" t="inlineStr">
        <is>
          <t>Opérationnel</t>
        </is>
      </c>
      <c r="E13" s="82" t="inlineStr">
        <is>
          <t>Achats et charges externes</t>
        </is>
      </c>
      <c r="F13" s="82" t="inlineStr">
        <is>
          <t>Matières premières</t>
        </is>
      </c>
      <c r="G13" s="82" t="inlineStr">
        <is>
          <t>DÉBIT</t>
        </is>
      </c>
      <c r="H13" s="82" t="inlineStr">
        <is>
          <t>Non</t>
        </is>
      </c>
      <c r="I13" s="82" t="inlineStr">
        <is>
          <t>Non</t>
        </is>
      </c>
      <c r="J13" s="82" t="inlineStr">
        <is>
          <t>IAS 2</t>
        </is>
      </c>
      <c r="K13" s="82" t="inlineStr">
        <is>
          <t>MP consommées</t>
        </is>
      </c>
      <c r="L13" s="80" t="n"/>
    </row>
    <row r="14">
      <c r="A14" s="82" t="n">
        <v>611000</v>
      </c>
      <c r="B14" s="82" t="inlineStr">
        <is>
          <t>Sous-traitance de production</t>
        </is>
      </c>
      <c r="C14" s="82" t="inlineStr">
        <is>
          <t>CH</t>
        </is>
      </c>
      <c r="D14" s="82" t="inlineStr">
        <is>
          <t>Opérationnel</t>
        </is>
      </c>
      <c r="E14" s="82" t="inlineStr">
        <is>
          <t>Achats et charges externes</t>
        </is>
      </c>
      <c r="F14" s="82" t="inlineStr">
        <is>
          <t>Sous-traitance</t>
        </is>
      </c>
      <c r="G14" s="82" t="inlineStr">
        <is>
          <t>DÉBIT</t>
        </is>
      </c>
      <c r="H14" s="82" t="inlineStr">
        <is>
          <t>Non</t>
        </is>
      </c>
      <c r="I14" s="82" t="inlineStr">
        <is>
          <t>Non</t>
        </is>
      </c>
      <c r="J14" s="82" t="inlineStr">
        <is>
          <t>IAS 16</t>
        </is>
      </c>
      <c r="K14" s="82" t="inlineStr">
        <is>
          <t>Externalisation production</t>
        </is>
      </c>
      <c r="L14" s="80" t="n"/>
    </row>
    <row r="15">
      <c r="A15" s="82" t="n">
        <v>621000</v>
      </c>
      <c r="B15" s="82" t="inlineStr">
        <is>
          <t>Personnel extérieur &amp; consulting</t>
        </is>
      </c>
      <c r="C15" s="82" t="inlineStr">
        <is>
          <t>CH</t>
        </is>
      </c>
      <c r="D15" s="82" t="inlineStr">
        <is>
          <t>Opérationnel</t>
        </is>
      </c>
      <c r="E15" s="82" t="inlineStr">
        <is>
          <t>Achats et charges externes</t>
        </is>
      </c>
      <c r="F15" s="82" t="inlineStr">
        <is>
          <t>Charges externes</t>
        </is>
      </c>
      <c r="G15" s="82" t="inlineStr">
        <is>
          <t>DÉBIT</t>
        </is>
      </c>
      <c r="H15" s="82" t="inlineStr">
        <is>
          <t>Non</t>
        </is>
      </c>
      <c r="I15" s="82" t="inlineStr">
        <is>
          <t>Non</t>
        </is>
      </c>
      <c r="J15" s="82" t="n"/>
      <c r="K15" s="82" t="inlineStr">
        <is>
          <t>Recours prestataires</t>
        </is>
      </c>
      <c r="L15" s="80" t="n"/>
    </row>
    <row r="16">
      <c r="A16" s="82" t="n">
        <v>622000</v>
      </c>
      <c r="B16" s="82" t="inlineStr">
        <is>
          <t>Honoraires &amp; commissions</t>
        </is>
      </c>
      <c r="C16" s="82" t="inlineStr">
        <is>
          <t>CH</t>
        </is>
      </c>
      <c r="D16" s="82" t="inlineStr">
        <is>
          <t>Opérationnel</t>
        </is>
      </c>
      <c r="E16" s="82" t="inlineStr">
        <is>
          <t>Achats et charges externes</t>
        </is>
      </c>
      <c r="F16" s="82" t="inlineStr">
        <is>
          <t>Honoraires</t>
        </is>
      </c>
      <c r="G16" s="82" t="inlineStr">
        <is>
          <t>DÉBIT</t>
        </is>
      </c>
      <c r="H16" s="82" t="inlineStr">
        <is>
          <t>Non</t>
        </is>
      </c>
      <c r="I16" s="82" t="inlineStr">
        <is>
          <t>Non</t>
        </is>
      </c>
      <c r="J16" s="82" t="n"/>
      <c r="K16" s="82" t="inlineStr">
        <is>
          <t>Conseils juridiques, audit</t>
        </is>
      </c>
      <c r="L16" s="80" t="n"/>
    </row>
    <row r="17">
      <c r="A17" s="82" t="n">
        <v>625000</v>
      </c>
      <c r="B17" s="82" t="inlineStr">
        <is>
          <t>Déplacements &amp; frais de représentation</t>
        </is>
      </c>
      <c r="C17" s="82" t="inlineStr">
        <is>
          <t>CH</t>
        </is>
      </c>
      <c r="D17" s="82" t="inlineStr">
        <is>
          <t>Opérationnel</t>
        </is>
      </c>
      <c r="E17" s="82" t="inlineStr">
        <is>
          <t>Achats et charges externes</t>
        </is>
      </c>
      <c r="F17" s="82" t="inlineStr">
        <is>
          <t>Frais généraux</t>
        </is>
      </c>
      <c r="G17" s="82" t="inlineStr">
        <is>
          <t>DÉBIT</t>
        </is>
      </c>
      <c r="H17" s="82" t="inlineStr">
        <is>
          <t>Non</t>
        </is>
      </c>
      <c r="I17" s="82" t="inlineStr">
        <is>
          <t>Non</t>
        </is>
      </c>
      <c r="J17" s="82" t="n"/>
      <c r="K17" s="82" t="inlineStr">
        <is>
          <t>Voyages d'affaires</t>
        </is>
      </c>
      <c r="L17" s="80" t="n"/>
    </row>
    <row r="18">
      <c r="A18" s="82" t="n">
        <v>626000</v>
      </c>
      <c r="B18" s="82" t="inlineStr">
        <is>
          <t>Frais postaux &amp; télécommunications</t>
        </is>
      </c>
      <c r="C18" s="82" t="inlineStr">
        <is>
          <t>CH</t>
        </is>
      </c>
      <c r="D18" s="82" t="inlineStr">
        <is>
          <t>Opérationnel</t>
        </is>
      </c>
      <c r="E18" s="82" t="inlineStr">
        <is>
          <t>Achats et charges externes</t>
        </is>
      </c>
      <c r="F18" s="82" t="inlineStr">
        <is>
          <t>Frais généraux</t>
        </is>
      </c>
      <c r="G18" s="82" t="inlineStr">
        <is>
          <t>DÉBIT</t>
        </is>
      </c>
      <c r="H18" s="82" t="inlineStr">
        <is>
          <t>Non</t>
        </is>
      </c>
      <c r="I18" s="82" t="inlineStr">
        <is>
          <t>Non</t>
        </is>
      </c>
      <c r="J18" s="82" t="n"/>
      <c r="K18" s="82" t="inlineStr">
        <is>
          <t>IT &amp; telecom</t>
        </is>
      </c>
      <c r="L18" s="80" t="n"/>
    </row>
    <row r="19">
      <c r="A19" s="82" t="n">
        <v>627000</v>
      </c>
      <c r="B19" s="82" t="inlineStr">
        <is>
          <t>Services bancaires (hors intérêts)</t>
        </is>
      </c>
      <c r="C19" s="82" t="inlineStr">
        <is>
          <t>CH</t>
        </is>
      </c>
      <c r="D19" s="82" t="inlineStr">
        <is>
          <t>Opérationnel</t>
        </is>
      </c>
      <c r="E19" s="82" t="inlineStr">
        <is>
          <t>Achats et charges externes</t>
        </is>
      </c>
      <c r="F19" s="82" t="inlineStr">
        <is>
          <t>Frais bancaires</t>
        </is>
      </c>
      <c r="G19" s="82" t="inlineStr">
        <is>
          <t>DÉBIT</t>
        </is>
      </c>
      <c r="H19" s="82" t="inlineStr">
        <is>
          <t>Non</t>
        </is>
      </c>
      <c r="I19" s="82" t="inlineStr">
        <is>
          <t>Non</t>
        </is>
      </c>
      <c r="J19" s="82" t="n"/>
      <c r="K19" s="82" t="inlineStr">
        <is>
          <t>Commissions bancaires courantes</t>
        </is>
      </c>
      <c r="L19" s="80" t="n"/>
    </row>
    <row r="20">
      <c r="A20" s="82" t="n">
        <v>631000</v>
      </c>
      <c r="B20" s="82" t="inlineStr">
        <is>
          <t>Charges de personnel (total masse salariale)</t>
        </is>
      </c>
      <c r="C20" s="82" t="inlineStr">
        <is>
          <t>CH</t>
        </is>
      </c>
      <c r="D20" s="82" t="inlineStr">
        <is>
          <t>Opérationnel</t>
        </is>
      </c>
      <c r="E20" s="82" t="inlineStr">
        <is>
          <t>Charges de personnel</t>
        </is>
      </c>
      <c r="F20" s="82" t="inlineStr">
        <is>
          <t>Personnel total</t>
        </is>
      </c>
      <c r="G20" s="82" t="inlineStr">
        <is>
          <t>DÉBIT</t>
        </is>
      </c>
      <c r="H20" s="82" t="inlineStr">
        <is>
          <t>Non</t>
        </is>
      </c>
      <c r="I20" s="82" t="inlineStr">
        <is>
          <t>Non</t>
        </is>
      </c>
      <c r="J20" s="82" t="inlineStr">
        <is>
          <t>IAS 19</t>
        </is>
      </c>
      <c r="K20" s="82" t="inlineStr">
        <is>
          <t>Salaires + charges sociales</t>
        </is>
      </c>
      <c r="L20" s="80" t="n"/>
    </row>
    <row r="21">
      <c r="A21" s="82" t="n">
        <v>641100</v>
      </c>
      <c r="B21" s="82" t="inlineStr">
        <is>
          <t>Salaires bruts</t>
        </is>
      </c>
      <c r="C21" s="82" t="inlineStr">
        <is>
          <t>CH</t>
        </is>
      </c>
      <c r="D21" s="82" t="inlineStr">
        <is>
          <t>Opérationnel</t>
        </is>
      </c>
      <c r="E21" s="82" t="inlineStr">
        <is>
          <t>Charges de personnel</t>
        </is>
      </c>
      <c r="F21" s="82" t="inlineStr">
        <is>
          <t>Salaires</t>
        </is>
      </c>
      <c r="G21" s="82" t="inlineStr">
        <is>
          <t>DÉBIT</t>
        </is>
      </c>
      <c r="H21" s="82" t="inlineStr">
        <is>
          <t>Non</t>
        </is>
      </c>
      <c r="I21" s="82" t="inlineStr">
        <is>
          <t>Non</t>
        </is>
      </c>
      <c r="J21" s="82" t="inlineStr">
        <is>
          <t>IAS 19</t>
        </is>
      </c>
      <c r="K21" s="82" t="inlineStr">
        <is>
          <t>Rémunérations fixes &amp; variables</t>
        </is>
      </c>
      <c r="L21" s="80" t="n"/>
    </row>
    <row r="22">
      <c r="A22" s="82" t="n">
        <v>645000</v>
      </c>
      <c r="B22" s="82" t="inlineStr">
        <is>
          <t>Cotisations sociales patronales</t>
        </is>
      </c>
      <c r="C22" s="82" t="inlineStr">
        <is>
          <t>CH</t>
        </is>
      </c>
      <c r="D22" s="82" t="inlineStr">
        <is>
          <t>Opérationnel</t>
        </is>
      </c>
      <c r="E22" s="82" t="inlineStr">
        <is>
          <t>Charges de personnel</t>
        </is>
      </c>
      <c r="F22" s="82" t="inlineStr">
        <is>
          <t>Charges sociales</t>
        </is>
      </c>
      <c r="G22" s="82" t="inlineStr">
        <is>
          <t>DÉBIT</t>
        </is>
      </c>
      <c r="H22" s="82" t="inlineStr">
        <is>
          <t>Non</t>
        </is>
      </c>
      <c r="I22" s="82" t="inlineStr">
        <is>
          <t>Non</t>
        </is>
      </c>
      <c r="J22" s="82" t="inlineStr">
        <is>
          <t>IAS 19</t>
        </is>
      </c>
      <c r="K22" s="82" t="inlineStr">
        <is>
          <t>Sécurité sociale, retraites</t>
        </is>
      </c>
      <c r="L22" s="80" t="n"/>
    </row>
    <row r="23">
      <c r="A23" s="82" t="n">
        <v>650000</v>
      </c>
      <c r="B23" s="82" t="inlineStr">
        <is>
          <t>Autres charges de gestion courante</t>
        </is>
      </c>
      <c r="C23" s="82" t="inlineStr">
        <is>
          <t>CH</t>
        </is>
      </c>
      <c r="D23" s="82" t="inlineStr">
        <is>
          <t>Opérationnel</t>
        </is>
      </c>
      <c r="E23" s="82" t="inlineStr">
        <is>
          <t>Achats et charges externes</t>
        </is>
      </c>
      <c r="F23" s="82" t="inlineStr">
        <is>
          <t>Frais généraux</t>
        </is>
      </c>
      <c r="G23" s="82" t="inlineStr">
        <is>
          <t>DÉBIT</t>
        </is>
      </c>
      <c r="H23" s="82" t="inlineStr">
        <is>
          <t>Non</t>
        </is>
      </c>
      <c r="I23" s="82" t="inlineStr">
        <is>
          <t>Non</t>
        </is>
      </c>
      <c r="J23" s="82" t="n"/>
      <c r="K23" s="82" t="inlineStr">
        <is>
          <t>Charges diverses exploitation</t>
        </is>
      </c>
      <c r="L23" s="80" t="n"/>
    </row>
    <row r="24">
      <c r="A24" s="82" t="n">
        <v>681100</v>
      </c>
      <c r="B24" s="82" t="inlineStr">
        <is>
          <t>Dotations amortissements PP&amp;E (IAS 16)</t>
        </is>
      </c>
      <c r="C24" s="82" t="inlineStr">
        <is>
          <t>CH</t>
        </is>
      </c>
      <c r="D24" s="82" t="inlineStr">
        <is>
          <t>Opérationnel</t>
        </is>
      </c>
      <c r="E24" s="82" t="inlineStr">
        <is>
          <t>Amortissements &amp; dépréciations</t>
        </is>
      </c>
      <c r="F24" s="82" t="inlineStr">
        <is>
          <t>Amort. PP&amp;E</t>
        </is>
      </c>
      <c r="G24" s="82" t="inlineStr">
        <is>
          <t>DÉBIT</t>
        </is>
      </c>
      <c r="H24" s="82" t="inlineStr">
        <is>
          <t>Non</t>
        </is>
      </c>
      <c r="I24" s="82" t="inlineStr">
        <is>
          <t>Non</t>
        </is>
      </c>
      <c r="J24" s="82" t="inlineStr">
        <is>
          <t>IAS 16</t>
        </is>
      </c>
      <c r="K24" s="82" t="inlineStr">
        <is>
          <t>Usure économique des actifs corporels</t>
        </is>
      </c>
      <c r="L24" s="80" t="n"/>
    </row>
    <row r="25">
      <c r="A25" s="82" t="n">
        <v>681200</v>
      </c>
      <c r="B25" s="82" t="inlineStr">
        <is>
          <t>Dotations amortissements incorporels</t>
        </is>
      </c>
      <c r="C25" s="82" t="inlineStr">
        <is>
          <t>CH</t>
        </is>
      </c>
      <c r="D25" s="82" t="inlineStr">
        <is>
          <t>Opérationnel</t>
        </is>
      </c>
      <c r="E25" s="82" t="inlineStr">
        <is>
          <t>Amortissements &amp; dépréciations</t>
        </is>
      </c>
      <c r="F25" s="82" t="inlineStr">
        <is>
          <t>Amort. incorporels</t>
        </is>
      </c>
      <c r="G25" s="82" t="inlineStr">
        <is>
          <t>DÉBIT</t>
        </is>
      </c>
      <c r="H25" s="82" t="inlineStr">
        <is>
          <t>Non</t>
        </is>
      </c>
      <c r="I25" s="82" t="inlineStr">
        <is>
          <t>Non</t>
        </is>
      </c>
      <c r="J25" s="82" t="inlineStr">
        <is>
          <t>IAS 38</t>
        </is>
      </c>
      <c r="K25" s="82" t="inlineStr">
        <is>
          <t>Logiciels, brevets, marques</t>
        </is>
      </c>
      <c r="L25" s="80" t="n"/>
    </row>
    <row r="26">
      <c r="A26" s="82" t="n">
        <v>681400</v>
      </c>
      <c r="B26" s="82" t="inlineStr">
        <is>
          <t>Dépréciation goodwill (IFRS 3 / IAS 36)</t>
        </is>
      </c>
      <c r="C26" s="82" t="inlineStr">
        <is>
          <t>CH</t>
        </is>
      </c>
      <c r="D26" s="82" t="inlineStr">
        <is>
          <t>Opérationnel</t>
        </is>
      </c>
      <c r="E26" s="82" t="inlineStr">
        <is>
          <t>Amortissements &amp; dépréciations</t>
        </is>
      </c>
      <c r="F26" s="82" t="inlineStr">
        <is>
          <t>Dépréciation GW</t>
        </is>
      </c>
      <c r="G26" s="82" t="inlineStr">
        <is>
          <t>DÉBIT</t>
        </is>
      </c>
      <c r="H26" s="82" t="inlineStr">
        <is>
          <t>Non</t>
        </is>
      </c>
      <c r="I26" s="82" t="inlineStr">
        <is>
          <t>Non</t>
        </is>
      </c>
      <c r="J26" s="82" t="inlineStr">
        <is>
          <t>IAS 36</t>
        </is>
      </c>
      <c r="K26" s="82" t="inlineStr">
        <is>
          <t>Test annuel de dépréciation</t>
        </is>
      </c>
      <c r="L26" s="80" t="n"/>
    </row>
    <row r="27">
      <c r="A27" s="82" t="n">
        <v>686200</v>
      </c>
      <c r="B27" s="82" t="inlineStr">
        <is>
          <t>Amortissement droits d'utilisation IFRS 16</t>
        </is>
      </c>
      <c r="C27" s="82" t="inlineStr">
        <is>
          <t>CH</t>
        </is>
      </c>
      <c r="D27" s="82" t="inlineStr">
        <is>
          <t>Opérationnel</t>
        </is>
      </c>
      <c r="E27" s="82" t="inlineStr">
        <is>
          <t>Amortissements &amp; dépréciations</t>
        </is>
      </c>
      <c r="F27" s="82" t="inlineStr">
        <is>
          <t>Amort. DU IFRS 16</t>
        </is>
      </c>
      <c r="G27" s="82" t="inlineStr">
        <is>
          <t>DÉBIT</t>
        </is>
      </c>
      <c r="H27" s="82" t="inlineStr">
        <is>
          <t>Non</t>
        </is>
      </c>
      <c r="I27" s="82" t="inlineStr">
        <is>
          <t>Non</t>
        </is>
      </c>
      <c r="J27" s="82" t="inlineStr">
        <is>
          <t>IFRS 16</t>
        </is>
      </c>
      <c r="K27" s="82" t="inlineStr">
        <is>
          <t>Composante amortissement des baux</t>
        </is>
      </c>
      <c r="L27" s="80" t="n"/>
    </row>
    <row r="28">
      <c r="A28" s="82" t="n">
        <v>687000</v>
      </c>
      <c r="B28" s="82" t="inlineStr">
        <is>
          <t>Dotations provisions risques &amp; charges</t>
        </is>
      </c>
      <c r="C28" s="82" t="inlineStr">
        <is>
          <t>CH</t>
        </is>
      </c>
      <c r="D28" s="82" t="inlineStr">
        <is>
          <t>Opérationnel</t>
        </is>
      </c>
      <c r="E28" s="82" t="inlineStr">
        <is>
          <t>Dotations aux provisions</t>
        </is>
      </c>
      <c r="F28" s="82" t="inlineStr">
        <is>
          <t>Provisions</t>
        </is>
      </c>
      <c r="G28" s="82" t="inlineStr">
        <is>
          <t>DÉBIT</t>
        </is>
      </c>
      <c r="H28" s="82" t="inlineStr">
        <is>
          <t>Non</t>
        </is>
      </c>
      <c r="I28" s="82" t="inlineStr">
        <is>
          <t>Non</t>
        </is>
      </c>
      <c r="J28" s="82" t="inlineStr">
        <is>
          <t>IAS 37</t>
        </is>
      </c>
      <c r="K28" s="82" t="inlineStr">
        <is>
          <t>Provisions pour litiges, restructuring</t>
        </is>
      </c>
      <c r="L28" s="80" t="n"/>
    </row>
    <row r="29">
      <c r="A29" s="26" t="n">
        <v>761000</v>
      </c>
      <c r="B29" s="26" t="inlineStr">
        <is>
          <t>Dividendes reçus (filiales non conso ou IC éliminé)</t>
        </is>
      </c>
      <c r="C29" s="26" t="inlineStr">
        <is>
          <t>PR</t>
        </is>
      </c>
      <c r="D29" s="26" t="inlineStr">
        <is>
          <t>Investissement</t>
        </is>
      </c>
      <c r="E29" s="26" t="inlineStr">
        <is>
          <t>Résultat investissement</t>
        </is>
      </c>
      <c r="F29" s="26" t="inlineStr">
        <is>
          <t>Dividendes reçus</t>
        </is>
      </c>
      <c r="G29" s="26" t="inlineStr">
        <is>
          <t>CRÉDIT</t>
        </is>
      </c>
      <c r="H29" s="26" t="inlineStr">
        <is>
          <t>Non</t>
        </is>
      </c>
      <c r="I29" s="85" t="inlineStr">
        <is>
          <t>OUI</t>
        </is>
      </c>
      <c r="J29" s="26" t="inlineStr">
        <is>
          <t>IFRS 18 §68</t>
        </is>
      </c>
      <c r="K29" s="26" t="inlineStr">
        <is>
          <t>🆕 IFRS 18 : isole de l'exploitation</t>
        </is>
      </c>
      <c r="L29" s="80" t="n"/>
    </row>
    <row r="30">
      <c r="A30" s="52" t="n">
        <v>762000</v>
      </c>
      <c r="B30" s="52" t="inlineStr">
        <is>
          <t>Produits de cessions d'actifs non courants</t>
        </is>
      </c>
      <c r="C30" s="52" t="inlineStr">
        <is>
          <t>PR</t>
        </is>
      </c>
      <c r="D30" s="52" t="inlineStr">
        <is>
          <t>Investissement</t>
        </is>
      </c>
      <c r="E30" s="52" t="inlineStr">
        <is>
          <t>Résultat investissement</t>
        </is>
      </c>
      <c r="F30" s="52" t="inlineStr">
        <is>
          <t>Plus-values cessions</t>
        </is>
      </c>
      <c r="G30" s="52" t="inlineStr">
        <is>
          <t>CRÉDIT</t>
        </is>
      </c>
      <c r="H30" s="52" t="inlineStr">
        <is>
          <t>Non</t>
        </is>
      </c>
      <c r="I30" s="52" t="inlineStr">
        <is>
          <t>Non</t>
        </is>
      </c>
      <c r="J30" s="52" t="inlineStr">
        <is>
          <t>IFRS 18 §68</t>
        </is>
      </c>
      <c r="K30" s="52" t="inlineStr">
        <is>
          <t>Désinvestissement d'immobilisations</t>
        </is>
      </c>
      <c r="L30" s="80" t="n"/>
    </row>
    <row r="31">
      <c r="A31" s="52" t="n">
        <v>764000</v>
      </c>
      <c r="B31" s="52" t="inlineStr">
        <is>
          <t>Revenus placements &amp; trésorerie CT</t>
        </is>
      </c>
      <c r="C31" s="52" t="inlineStr">
        <is>
          <t>PR</t>
        </is>
      </c>
      <c r="D31" s="52" t="inlineStr">
        <is>
          <t>Investissement</t>
        </is>
      </c>
      <c r="E31" s="52" t="inlineStr">
        <is>
          <t>Résultat investissement</t>
        </is>
      </c>
      <c r="F31" s="52" t="inlineStr">
        <is>
          <t>Produits financiers</t>
        </is>
      </c>
      <c r="G31" s="52" t="inlineStr">
        <is>
          <t>CRÉDIT</t>
        </is>
      </c>
      <c r="H31" s="52" t="inlineStr">
        <is>
          <t>Non</t>
        </is>
      </c>
      <c r="I31" s="52" t="inlineStr">
        <is>
          <t>Non</t>
        </is>
      </c>
      <c r="J31" s="52" t="inlineStr">
        <is>
          <t>IFRS 18 §68</t>
        </is>
      </c>
      <c r="K31" s="52" t="inlineStr">
        <is>
          <t>Intérêts sur comptes, placements MM</t>
        </is>
      </c>
      <c r="L31" s="80" t="n"/>
    </row>
    <row r="32">
      <c r="A32" s="52" t="n">
        <v>667000</v>
      </c>
      <c r="B32" s="52" t="inlineStr">
        <is>
          <t>Moins-values sur cessions d'actifs</t>
        </is>
      </c>
      <c r="C32" s="52" t="inlineStr">
        <is>
          <t>CH</t>
        </is>
      </c>
      <c r="D32" s="52" t="inlineStr">
        <is>
          <t>Investissement</t>
        </is>
      </c>
      <c r="E32" s="52" t="inlineStr">
        <is>
          <t>Résultat investissement</t>
        </is>
      </c>
      <c r="F32" s="52" t="inlineStr">
        <is>
          <t>Moins-values cessions</t>
        </is>
      </c>
      <c r="G32" s="52" t="inlineStr">
        <is>
          <t>DÉBIT</t>
        </is>
      </c>
      <c r="H32" s="52" t="inlineStr">
        <is>
          <t>Non</t>
        </is>
      </c>
      <c r="I32" s="52" t="inlineStr">
        <is>
          <t>Non</t>
        </is>
      </c>
      <c r="J32" s="52" t="inlineStr">
        <is>
          <t>IFRS 18 §68</t>
        </is>
      </c>
      <c r="K32" s="52" t="inlineStr">
        <is>
          <t>Perte sur cession d'immobilisations</t>
        </is>
      </c>
      <c r="L32" s="80" t="n"/>
    </row>
    <row r="33">
      <c r="A33" s="83" t="n">
        <v>661100</v>
      </c>
      <c r="B33" s="83" t="inlineStr">
        <is>
          <t>Intérêts sur emprunts bancaires LT &amp; CT</t>
        </is>
      </c>
      <c r="C33" s="83" t="inlineStr">
        <is>
          <t>CH</t>
        </is>
      </c>
      <c r="D33" s="83" t="inlineStr">
        <is>
          <t>Financement</t>
        </is>
      </c>
      <c r="E33" s="83" t="inlineStr">
        <is>
          <t>Résultat financement</t>
        </is>
      </c>
      <c r="F33" s="83" t="inlineStr">
        <is>
          <t>Charges d'intérêts</t>
        </is>
      </c>
      <c r="G33" s="83" t="inlineStr">
        <is>
          <t>DÉBIT</t>
        </is>
      </c>
      <c r="H33" s="83" t="inlineStr">
        <is>
          <t>Non</t>
        </is>
      </c>
      <c r="I33" s="83" t="inlineStr">
        <is>
          <t>Non</t>
        </is>
      </c>
      <c r="J33" s="83" t="inlineStr">
        <is>
          <t>IFRS 18 §72</t>
        </is>
      </c>
      <c r="K33" s="83" t="inlineStr">
        <is>
          <t>🆕 IFRS 18 : reclassé de l'exploitation</t>
        </is>
      </c>
      <c r="L33" s="80" t="n"/>
    </row>
    <row r="34">
      <c r="A34" s="83" t="n">
        <v>661200</v>
      </c>
      <c r="B34" s="83" t="inlineStr">
        <is>
          <t>Intérêts dettes locatives IFRS 16</t>
        </is>
      </c>
      <c r="C34" s="83" t="inlineStr">
        <is>
          <t>CH</t>
        </is>
      </c>
      <c r="D34" s="83" t="inlineStr">
        <is>
          <t>Financement</t>
        </is>
      </c>
      <c r="E34" s="83" t="inlineStr">
        <is>
          <t>Résultat financement</t>
        </is>
      </c>
      <c r="F34" s="83" t="inlineStr">
        <is>
          <t>Charges IFRS 16</t>
        </is>
      </c>
      <c r="G34" s="83" t="inlineStr">
        <is>
          <t>DÉBIT</t>
        </is>
      </c>
      <c r="H34" s="83" t="inlineStr">
        <is>
          <t>Non</t>
        </is>
      </c>
      <c r="I34" s="83" t="inlineStr">
        <is>
          <t>Non</t>
        </is>
      </c>
      <c r="J34" s="83" t="inlineStr">
        <is>
          <t>IFRS 16 / IFRS 18 §72</t>
        </is>
      </c>
      <c r="K34" s="83" t="inlineStr">
        <is>
          <t>Composante financière des baux IFRS 16</t>
        </is>
      </c>
      <c r="L34" s="80" t="n"/>
    </row>
    <row r="35">
      <c r="A35" s="83" t="n">
        <v>661300</v>
      </c>
      <c r="B35" s="83" t="inlineStr">
        <is>
          <t>Intérêts sur obligations émises</t>
        </is>
      </c>
      <c r="C35" s="83" t="inlineStr">
        <is>
          <t>CH</t>
        </is>
      </c>
      <c r="D35" s="83" t="inlineStr">
        <is>
          <t>Financement</t>
        </is>
      </c>
      <c r="E35" s="83" t="inlineStr">
        <is>
          <t>Résultat financement</t>
        </is>
      </c>
      <c r="F35" s="83" t="inlineStr">
        <is>
          <t>Charges d'intérêts</t>
        </is>
      </c>
      <c r="G35" s="83" t="inlineStr">
        <is>
          <t>DÉBIT</t>
        </is>
      </c>
      <c r="H35" s="83" t="inlineStr">
        <is>
          <t>Non</t>
        </is>
      </c>
      <c r="I35" s="83" t="inlineStr">
        <is>
          <t>Non</t>
        </is>
      </c>
      <c r="J35" s="83" t="inlineStr">
        <is>
          <t>IFRS 18 §72</t>
        </is>
      </c>
      <c r="K35" s="83" t="inlineStr">
        <is>
          <t>Coupon obligataire</t>
        </is>
      </c>
      <c r="L35" s="80" t="n"/>
    </row>
    <row r="36">
      <c r="A36" s="83" t="n">
        <v>668000</v>
      </c>
      <c r="B36" s="83" t="inlineStr">
        <is>
          <t>Autres charges financières</t>
        </is>
      </c>
      <c r="C36" s="83" t="inlineStr">
        <is>
          <t>CH</t>
        </is>
      </c>
      <c r="D36" s="83" t="inlineStr">
        <is>
          <t>Financement</t>
        </is>
      </c>
      <c r="E36" s="83" t="inlineStr">
        <is>
          <t>Résultat financement</t>
        </is>
      </c>
      <c r="F36" s="83" t="inlineStr">
        <is>
          <t>Autres frais fin.</t>
        </is>
      </c>
      <c r="G36" s="83" t="inlineStr">
        <is>
          <t>DÉBIT</t>
        </is>
      </c>
      <c r="H36" s="83" t="inlineStr">
        <is>
          <t>Non</t>
        </is>
      </c>
      <c r="I36" s="83" t="inlineStr">
        <is>
          <t>Non</t>
        </is>
      </c>
      <c r="J36" s="83" t="inlineStr">
        <is>
          <t>IFRS 18 §72</t>
        </is>
      </c>
      <c r="K36" s="83" t="inlineStr">
        <is>
          <t>Frais dossier, garanties</t>
        </is>
      </c>
      <c r="L36" s="80" t="n"/>
    </row>
    <row r="37">
      <c r="A37" s="84" t="n">
        <v>695000</v>
      </c>
      <c r="B37" s="84" t="inlineStr">
        <is>
          <t>Charge IS courant (IAS 12)</t>
        </is>
      </c>
      <c r="C37" s="84" t="inlineStr">
        <is>
          <t>CH</t>
        </is>
      </c>
      <c r="D37" s="84" t="inlineStr">
        <is>
          <t>Impôts</t>
        </is>
      </c>
      <c r="E37" s="84" t="inlineStr">
        <is>
          <t>Impôts sur les résultats</t>
        </is>
      </c>
      <c r="F37" s="84" t="inlineStr">
        <is>
          <t>IS courant</t>
        </is>
      </c>
      <c r="G37" s="84" t="inlineStr">
        <is>
          <t>DÉBIT</t>
        </is>
      </c>
      <c r="H37" s="84" t="inlineStr">
        <is>
          <t>Non</t>
        </is>
      </c>
      <c r="I37" s="84" t="inlineStr">
        <is>
          <t>Non</t>
        </is>
      </c>
      <c r="J37" s="84" t="inlineStr">
        <is>
          <t>IAS 12</t>
        </is>
      </c>
      <c r="K37" s="84" t="inlineStr">
        <is>
          <t>Impôt exigible de l'exercice</t>
        </is>
      </c>
      <c r="L37" s="80" t="n"/>
    </row>
    <row r="38">
      <c r="A38" s="84" t="n">
        <v>693000</v>
      </c>
      <c r="B38" s="84" t="inlineStr">
        <is>
          <t>Variation impôts différés (IAS 12)</t>
        </is>
      </c>
      <c r="C38" s="84" t="inlineStr">
        <is>
          <t>CH</t>
        </is>
      </c>
      <c r="D38" s="84" t="inlineStr">
        <is>
          <t>Impôts</t>
        </is>
      </c>
      <c r="E38" s="84" t="inlineStr">
        <is>
          <t>Impôts sur les résultats</t>
        </is>
      </c>
      <c r="F38" s="84" t="inlineStr">
        <is>
          <t>ID variation</t>
        </is>
      </c>
      <c r="G38" s="84" t="inlineStr">
        <is>
          <t>DÉBIT</t>
        </is>
      </c>
      <c r="H38" s="84" t="inlineStr">
        <is>
          <t>Non</t>
        </is>
      </c>
      <c r="I38" s="84" t="inlineStr">
        <is>
          <t>Non</t>
        </is>
      </c>
      <c r="J38" s="84" t="inlineStr">
        <is>
          <t>IAS 12</t>
        </is>
      </c>
      <c r="K38" s="84" t="inlineStr">
        <is>
          <t>IDA / IDP selon différences temporaires</t>
        </is>
      </c>
      <c r="L38" s="80" t="n"/>
    </row>
    <row r="39">
      <c r="A39" s="540" t="n">
        <v>211000</v>
      </c>
      <c r="B39" s="540" t="inlineStr">
        <is>
          <t>Fonds commercial / Goodwill (IFRS 3)</t>
        </is>
      </c>
      <c r="C39" s="540" t="inlineStr">
        <is>
          <t>AC</t>
        </is>
      </c>
      <c r="D39" s="540" t="inlineStr">
        <is>
          <t>Bilan</t>
        </is>
      </c>
      <c r="E39" s="540" t="inlineStr">
        <is>
          <t>Actifs non courants</t>
        </is>
      </c>
      <c r="F39" s="540" t="inlineStr">
        <is>
          <t>Goodwill</t>
        </is>
      </c>
      <c r="G39" s="540" t="n"/>
      <c r="H39" s="540" t="inlineStr">
        <is>
          <t>Non</t>
        </is>
      </c>
      <c r="I39" s="540" t="inlineStr">
        <is>
          <t>Non</t>
        </is>
      </c>
      <c r="J39" s="540" t="inlineStr">
        <is>
          <t>IFRS 3</t>
        </is>
      </c>
      <c r="K39" s="540" t="inlineStr">
        <is>
          <t>Test dépréciation annuel IAS 36</t>
        </is>
      </c>
      <c r="L39" s="80" t="n"/>
    </row>
    <row r="40">
      <c r="A40" s="540" t="n">
        <v>212000</v>
      </c>
      <c r="B40" s="540" t="inlineStr">
        <is>
          <t>Brevets, marques, logiciels (IAS 38)</t>
        </is>
      </c>
      <c r="C40" s="540" t="inlineStr">
        <is>
          <t>AC</t>
        </is>
      </c>
      <c r="D40" s="540" t="inlineStr">
        <is>
          <t>Bilan</t>
        </is>
      </c>
      <c r="E40" s="540" t="inlineStr">
        <is>
          <t>Actifs non courants</t>
        </is>
      </c>
      <c r="F40" s="540" t="inlineStr">
        <is>
          <t>Immo. incorporelles</t>
        </is>
      </c>
      <c r="G40" s="540" t="n"/>
      <c r="H40" s="540" t="inlineStr">
        <is>
          <t>Non</t>
        </is>
      </c>
      <c r="I40" s="540" t="inlineStr">
        <is>
          <t>Non</t>
        </is>
      </c>
      <c r="J40" s="540" t="inlineStr">
        <is>
          <t>IAS 38</t>
        </is>
      </c>
      <c r="K40" s="540" t="inlineStr">
        <is>
          <t>DUA définie ou indéfinie</t>
        </is>
      </c>
      <c r="L40" s="80" t="n"/>
    </row>
    <row r="41">
      <c r="A41" s="540" t="n">
        <v>215000</v>
      </c>
      <c r="B41" s="540" t="inlineStr">
        <is>
          <t>Immobilisations corporelles (IAS 16)</t>
        </is>
      </c>
      <c r="C41" s="540" t="inlineStr">
        <is>
          <t>AC</t>
        </is>
      </c>
      <c r="D41" s="540" t="inlineStr">
        <is>
          <t>Bilan</t>
        </is>
      </c>
      <c r="E41" s="540" t="inlineStr">
        <is>
          <t>Actifs non courants</t>
        </is>
      </c>
      <c r="F41" s="540" t="inlineStr">
        <is>
          <t>PP&amp;E</t>
        </is>
      </c>
      <c r="G41" s="540" t="n"/>
      <c r="H41" s="540" t="inlineStr">
        <is>
          <t>Non</t>
        </is>
      </c>
      <c r="I41" s="540" t="inlineStr">
        <is>
          <t>Non</t>
        </is>
      </c>
      <c r="J41" s="540" t="inlineStr">
        <is>
          <t>IAS 16</t>
        </is>
      </c>
      <c r="K41" s="540" t="inlineStr">
        <is>
          <t>Net après cumul amort.</t>
        </is>
      </c>
      <c r="L41" s="80" t="n"/>
    </row>
    <row r="42">
      <c r="A42" s="540" t="n">
        <v>232100</v>
      </c>
      <c r="B42" s="540" t="inlineStr">
        <is>
          <t>Droits d'utilisation IFRS 16</t>
        </is>
      </c>
      <c r="C42" s="540" t="inlineStr">
        <is>
          <t>AC</t>
        </is>
      </c>
      <c r="D42" s="540" t="inlineStr">
        <is>
          <t>Bilan</t>
        </is>
      </c>
      <c r="E42" s="540" t="inlineStr">
        <is>
          <t>Actifs non courants</t>
        </is>
      </c>
      <c r="F42" s="540" t="inlineStr">
        <is>
          <t>DU IFRS 16</t>
        </is>
      </c>
      <c r="G42" s="540" t="n"/>
      <c r="H42" s="540" t="inlineStr">
        <is>
          <t>Non</t>
        </is>
      </c>
      <c r="I42" s="540" t="inlineStr">
        <is>
          <t>Non</t>
        </is>
      </c>
      <c r="J42" s="540" t="inlineStr">
        <is>
          <t>IFRS 16</t>
        </is>
      </c>
      <c r="K42" s="540" t="inlineStr">
        <is>
          <t>Baux capitalisés</t>
        </is>
      </c>
      <c r="L42" s="80" t="n"/>
    </row>
    <row r="43">
      <c r="A43" s="540" t="n">
        <v>261000</v>
      </c>
      <c r="B43" s="540" t="inlineStr">
        <is>
          <t>Titres de participation &amp; MEE (IFRS 10/IAS 28)</t>
        </is>
      </c>
      <c r="C43" s="540" t="inlineStr">
        <is>
          <t>AC</t>
        </is>
      </c>
      <c r="D43" s="540" t="inlineStr">
        <is>
          <t>Bilan</t>
        </is>
      </c>
      <c r="E43" s="540" t="inlineStr">
        <is>
          <t>Actifs non courants</t>
        </is>
      </c>
      <c r="F43" s="540" t="inlineStr">
        <is>
          <t>Titres &amp; MEE</t>
        </is>
      </c>
      <c r="G43" s="540" t="n"/>
      <c r="H43" s="540" t="inlineStr">
        <is>
          <t>Non</t>
        </is>
      </c>
      <c r="I43" s="540" t="inlineStr">
        <is>
          <t>Non</t>
        </is>
      </c>
      <c r="J43" s="540" t="inlineStr">
        <is>
          <t>IFRS 10 / IAS 28</t>
        </is>
      </c>
      <c r="K43" s="540" t="inlineStr">
        <is>
          <t>Filiales &amp; co-entreprises</t>
        </is>
      </c>
      <c r="L43" s="80" t="n"/>
    </row>
    <row r="44">
      <c r="A44" s="540" t="n">
        <v>274000</v>
      </c>
      <c r="B44" s="540" t="inlineStr">
        <is>
          <t>Impôts différés actifs (IAS 12)</t>
        </is>
      </c>
      <c r="C44" s="540" t="inlineStr">
        <is>
          <t>AC</t>
        </is>
      </c>
      <c r="D44" s="540" t="inlineStr">
        <is>
          <t>Bilan</t>
        </is>
      </c>
      <c r="E44" s="540" t="inlineStr">
        <is>
          <t>Actifs non courants</t>
        </is>
      </c>
      <c r="F44" s="540" t="inlineStr">
        <is>
          <t>IDA</t>
        </is>
      </c>
      <c r="G44" s="540" t="n"/>
      <c r="H44" s="540" t="inlineStr">
        <is>
          <t>Non</t>
        </is>
      </c>
      <c r="I44" s="540" t="inlineStr">
        <is>
          <t>Non</t>
        </is>
      </c>
      <c r="J44" s="540" t="inlineStr">
        <is>
          <t>IAS 12</t>
        </is>
      </c>
      <c r="K44" s="540" t="inlineStr">
        <is>
          <t>Différences temporaires déductibles</t>
        </is>
      </c>
      <c r="L44" s="80" t="n"/>
    </row>
    <row r="45">
      <c r="A45" s="540" t="n">
        <v>311000</v>
      </c>
      <c r="B45" s="540" t="inlineStr">
        <is>
          <t>Stocks &amp; en-cours (IAS 2)</t>
        </is>
      </c>
      <c r="C45" s="540" t="inlineStr">
        <is>
          <t>AC</t>
        </is>
      </c>
      <c r="D45" s="540" t="inlineStr">
        <is>
          <t>Bilan</t>
        </is>
      </c>
      <c r="E45" s="540" t="inlineStr">
        <is>
          <t>Actifs courants</t>
        </is>
      </c>
      <c r="F45" s="540" t="inlineStr">
        <is>
          <t>Stocks</t>
        </is>
      </c>
      <c r="G45" s="540" t="n"/>
      <c r="H45" s="540" t="inlineStr">
        <is>
          <t>Oui</t>
        </is>
      </c>
      <c r="I45" s="540" t="inlineStr">
        <is>
          <t>Non</t>
        </is>
      </c>
      <c r="J45" s="540" t="inlineStr">
        <is>
          <t>IAS 2</t>
        </is>
      </c>
      <c r="K45" s="540" t="inlineStr">
        <is>
          <t>FIFO ou coût moyen pondéré</t>
        </is>
      </c>
      <c r="L45" s="80" t="n"/>
    </row>
    <row r="46">
      <c r="A46" s="540" t="n">
        <v>411000</v>
      </c>
      <c r="B46" s="540" t="inlineStr">
        <is>
          <t>Créances clients (IFRS 9)</t>
        </is>
      </c>
      <c r="C46" s="540" t="inlineStr">
        <is>
          <t>AC</t>
        </is>
      </c>
      <c r="D46" s="540" t="inlineStr">
        <is>
          <t>Bilan</t>
        </is>
      </c>
      <c r="E46" s="540" t="inlineStr">
        <is>
          <t>Actifs courants</t>
        </is>
      </c>
      <c r="F46" s="540" t="inlineStr">
        <is>
          <t>Créances clients</t>
        </is>
      </c>
      <c r="G46" s="540" t="n"/>
      <c r="H46" s="540" t="inlineStr">
        <is>
          <t>Oui</t>
        </is>
      </c>
      <c r="I46" s="540" t="inlineStr">
        <is>
          <t>Non</t>
        </is>
      </c>
      <c r="J46" s="540" t="inlineStr">
        <is>
          <t>IFRS 9</t>
        </is>
      </c>
      <c r="K46" s="540" t="inlineStr">
        <is>
          <t>Pertes de crédit attendues (ECL)</t>
        </is>
      </c>
      <c r="L46" s="80" t="n"/>
    </row>
    <row r="47">
      <c r="A47" s="26" t="n">
        <v>451000</v>
      </c>
      <c r="B47" s="26" t="inlineStr">
        <is>
          <t>Créances interco. (IC)</t>
        </is>
      </c>
      <c r="C47" s="26" t="inlineStr">
        <is>
          <t>AC</t>
        </is>
      </c>
      <c r="D47" s="26" t="inlineStr">
        <is>
          <t>Bilan_IC</t>
        </is>
      </c>
      <c r="E47" s="26" t="inlineStr">
        <is>
          <t>Actifs courants</t>
        </is>
      </c>
      <c r="F47" s="26" t="inlineStr">
        <is>
          <t>Créances IC</t>
        </is>
      </c>
      <c r="G47" s="26" t="n"/>
      <c r="H47" s="26" t="inlineStr">
        <is>
          <t>Oui</t>
        </is>
      </c>
      <c r="I47" s="85" t="inlineStr">
        <is>
          <t>OUI</t>
        </is>
      </c>
      <c r="J47" s="26" t="inlineStr">
        <is>
          <t>IFRS 10</t>
        </is>
      </c>
      <c r="K47" s="26" t="inlineStr">
        <is>
          <t>⚠️ À ÉLIMINER en consolidation</t>
        </is>
      </c>
      <c r="L47" s="80" t="n"/>
    </row>
    <row r="48">
      <c r="A48" s="540" t="n">
        <v>486000</v>
      </c>
      <c r="B48" s="540" t="inlineStr">
        <is>
          <t>Charges constatées d'avance</t>
        </is>
      </c>
      <c r="C48" s="540" t="inlineStr">
        <is>
          <t>AC</t>
        </is>
      </c>
      <c r="D48" s="540" t="inlineStr">
        <is>
          <t>Bilan</t>
        </is>
      </c>
      <c r="E48" s="540" t="inlineStr">
        <is>
          <t>Actifs courants</t>
        </is>
      </c>
      <c r="F48" s="540" t="inlineStr">
        <is>
          <t>CCA</t>
        </is>
      </c>
      <c r="G48" s="540" t="n"/>
      <c r="H48" s="540" t="inlineStr">
        <is>
          <t>Oui</t>
        </is>
      </c>
      <c r="I48" s="540" t="inlineStr">
        <is>
          <t>Non</t>
        </is>
      </c>
      <c r="J48" s="540" t="inlineStr">
        <is>
          <t>IAS 38</t>
        </is>
      </c>
      <c r="K48" s="540" t="inlineStr">
        <is>
          <t>Charges payées d'avance</t>
        </is>
      </c>
      <c r="L48" s="80" t="n"/>
    </row>
    <row r="49">
      <c r="A49" s="540" t="n">
        <v>512000</v>
      </c>
      <c r="B49" s="540" t="inlineStr">
        <is>
          <t>Banques, caisses &amp; placements CT</t>
        </is>
      </c>
      <c r="C49" s="540" t="inlineStr">
        <is>
          <t>AC</t>
        </is>
      </c>
      <c r="D49" s="540" t="inlineStr">
        <is>
          <t>Bilan</t>
        </is>
      </c>
      <c r="E49" s="540" t="inlineStr">
        <is>
          <t>Actifs courants</t>
        </is>
      </c>
      <c r="F49" s="540" t="inlineStr">
        <is>
          <t>Trésorerie</t>
        </is>
      </c>
      <c r="G49" s="540" t="n"/>
      <c r="H49" s="540" t="inlineStr">
        <is>
          <t>Non</t>
        </is>
      </c>
      <c r="I49" s="540" t="inlineStr">
        <is>
          <t>Non</t>
        </is>
      </c>
      <c r="J49" s="540" t="inlineStr">
        <is>
          <t>IAS 7</t>
        </is>
      </c>
      <c r="K49" s="540" t="inlineStr">
        <is>
          <t>Équivalents de trésorerie &lt; 3 mois</t>
        </is>
      </c>
      <c r="L49" s="80" t="n"/>
    </row>
    <row r="50">
      <c r="A50" s="540" t="n">
        <v>101000</v>
      </c>
      <c r="B50" s="540" t="inlineStr">
        <is>
          <t>Capital social</t>
        </is>
      </c>
      <c r="C50" s="540" t="inlineStr">
        <is>
          <t>PA</t>
        </is>
      </c>
      <c r="D50" s="540" t="inlineStr">
        <is>
          <t>Bilan</t>
        </is>
      </c>
      <c r="E50" s="540" t="inlineStr">
        <is>
          <t>Capitaux propres</t>
        </is>
      </c>
      <c r="F50" s="540" t="inlineStr">
        <is>
          <t>Capital</t>
        </is>
      </c>
      <c r="G50" s="540" t="n"/>
      <c r="H50" s="540" t="inlineStr">
        <is>
          <t>Non</t>
        </is>
      </c>
      <c r="I50" s="540" t="inlineStr">
        <is>
          <t>Non</t>
        </is>
      </c>
      <c r="J50" s="540" t="inlineStr">
        <is>
          <t>IAS 1</t>
        </is>
      </c>
      <c r="K50" s="540" t="inlineStr">
        <is>
          <t>Capital émis et versé</t>
        </is>
      </c>
      <c r="L50" s="80" t="n"/>
    </row>
    <row r="51">
      <c r="A51" s="540" t="n">
        <v>104000</v>
      </c>
      <c r="B51" s="540" t="inlineStr">
        <is>
          <t>Primes d'émission et réserves</t>
        </is>
      </c>
      <c r="C51" s="540" t="inlineStr">
        <is>
          <t>PA</t>
        </is>
      </c>
      <c r="D51" s="540" t="inlineStr">
        <is>
          <t>Bilan</t>
        </is>
      </c>
      <c r="E51" s="540" t="inlineStr">
        <is>
          <t>Capitaux propres</t>
        </is>
      </c>
      <c r="F51" s="540" t="inlineStr">
        <is>
          <t>Réserves</t>
        </is>
      </c>
      <c r="G51" s="540" t="n"/>
      <c r="H51" s="540" t="inlineStr">
        <is>
          <t>Non</t>
        </is>
      </c>
      <c r="I51" s="540" t="inlineStr">
        <is>
          <t>Non</t>
        </is>
      </c>
      <c r="J51" s="540" t="inlineStr">
        <is>
          <t>IAS 1</t>
        </is>
      </c>
      <c r="K51" s="540" t="inlineStr">
        <is>
          <t>Résultats cumulés &amp; réserves légales</t>
        </is>
      </c>
      <c r="L51" s="80" t="n"/>
    </row>
    <row r="52">
      <c r="A52" s="540" t="n">
        <v>105000</v>
      </c>
      <c r="B52" s="540" t="inlineStr">
        <is>
          <t>Réserves de conversion (IAS 21)</t>
        </is>
      </c>
      <c r="C52" s="540" t="inlineStr">
        <is>
          <t>PA</t>
        </is>
      </c>
      <c r="D52" s="540" t="inlineStr">
        <is>
          <t>Bilan</t>
        </is>
      </c>
      <c r="E52" s="540" t="inlineStr">
        <is>
          <t>Capitaux propres</t>
        </is>
      </c>
      <c r="F52" s="540" t="inlineStr">
        <is>
          <t>OCI – Conversion</t>
        </is>
      </c>
      <c r="G52" s="540" t="n"/>
      <c r="H52" s="540" t="inlineStr">
        <is>
          <t>Non</t>
        </is>
      </c>
      <c r="I52" s="540" t="inlineStr">
        <is>
          <t>Non</t>
        </is>
      </c>
      <c r="J52" s="540" t="inlineStr">
        <is>
          <t>IAS 21</t>
        </is>
      </c>
      <c r="K52" s="540" t="inlineStr">
        <is>
          <t>Écarts de change consolidation</t>
        </is>
      </c>
      <c r="L52" s="80" t="n"/>
    </row>
    <row r="53">
      <c r="A53" s="540" t="n">
        <v>106000</v>
      </c>
      <c r="B53" s="540" t="inlineStr">
        <is>
          <t>Réserves de juste valeur (IFRS 9 / IAS 19)</t>
        </is>
      </c>
      <c r="C53" s="540" t="inlineStr">
        <is>
          <t>PA</t>
        </is>
      </c>
      <c r="D53" s="540" t="inlineStr">
        <is>
          <t>Bilan</t>
        </is>
      </c>
      <c r="E53" s="540" t="inlineStr">
        <is>
          <t>Capitaux propres</t>
        </is>
      </c>
      <c r="F53" s="540" t="inlineStr">
        <is>
          <t>OCI – JV &amp; IAS 19</t>
        </is>
      </c>
      <c r="G53" s="540" t="n"/>
      <c r="H53" s="540" t="inlineStr">
        <is>
          <t>Non</t>
        </is>
      </c>
      <c r="I53" s="540" t="inlineStr">
        <is>
          <t>Non</t>
        </is>
      </c>
      <c r="J53" s="540" t="inlineStr">
        <is>
          <t>IAS 19</t>
        </is>
      </c>
      <c r="K53" s="540" t="inlineStr">
        <is>
          <t>Réévaluation engagements actuariels</t>
        </is>
      </c>
      <c r="L53" s="80" t="n"/>
    </row>
    <row r="54">
      <c r="A54" s="540" t="n">
        <v>120000</v>
      </c>
      <c r="B54" s="540" t="inlineStr">
        <is>
          <t>Résultat de l'exercice</t>
        </is>
      </c>
      <c r="C54" s="540" t="inlineStr">
        <is>
          <t>PA</t>
        </is>
      </c>
      <c r="D54" s="540" t="inlineStr">
        <is>
          <t>Bilan</t>
        </is>
      </c>
      <c r="E54" s="540" t="inlineStr">
        <is>
          <t>Capitaux propres</t>
        </is>
      </c>
      <c r="F54" s="540" t="inlineStr">
        <is>
          <t>Résultat net</t>
        </is>
      </c>
      <c r="G54" s="540" t="n"/>
      <c r="H54" s="540" t="inlineStr">
        <is>
          <t>Non</t>
        </is>
      </c>
      <c r="I54" s="540" t="inlineStr">
        <is>
          <t>Non</t>
        </is>
      </c>
      <c r="J54" s="540" t="inlineStr">
        <is>
          <t>IAS 1</t>
        </is>
      </c>
      <c r="K54" s="540" t="inlineStr">
        <is>
          <t>Lien direct CONSOL_CR</t>
        </is>
      </c>
      <c r="L54" s="80" t="n"/>
    </row>
    <row r="55">
      <c r="A55" s="540" t="n">
        <v>1044</v>
      </c>
      <c r="B55" s="540" t="inlineStr">
        <is>
          <t>Intérêts minoritaires (NCI)</t>
        </is>
      </c>
      <c r="C55" s="540" t="inlineStr">
        <is>
          <t>PA</t>
        </is>
      </c>
      <c r="D55" s="540" t="inlineStr">
        <is>
          <t>Bilan</t>
        </is>
      </c>
      <c r="E55" s="540" t="inlineStr">
        <is>
          <t>Capitaux propres</t>
        </is>
      </c>
      <c r="F55" s="540" t="inlineStr">
        <is>
          <t>NCI</t>
        </is>
      </c>
      <c r="G55" s="540" t="n"/>
      <c r="H55" s="540" t="inlineStr">
        <is>
          <t>Non</t>
        </is>
      </c>
      <c r="I55" s="540" t="inlineStr">
        <is>
          <t>Non</t>
        </is>
      </c>
      <c r="J55" s="540" t="inlineStr">
        <is>
          <t>IFRS 10</t>
        </is>
      </c>
      <c r="K55" s="540" t="inlineStr">
        <is>
          <t>Part des actionnaires minoritaires</t>
        </is>
      </c>
      <c r="L55" s="80" t="n"/>
    </row>
    <row r="56">
      <c r="A56" s="540" t="n">
        <v>155000</v>
      </c>
      <c r="B56" s="540" t="inlineStr">
        <is>
          <t>Impôts différés passifs (IAS 12)</t>
        </is>
      </c>
      <c r="C56" s="540" t="inlineStr">
        <is>
          <t>PA</t>
        </is>
      </c>
      <c r="D56" s="540" t="inlineStr">
        <is>
          <t>Bilan</t>
        </is>
      </c>
      <c r="E56" s="540" t="inlineStr">
        <is>
          <t>Passifs non courants</t>
        </is>
      </c>
      <c r="F56" s="540" t="inlineStr">
        <is>
          <t>IDP</t>
        </is>
      </c>
      <c r="G56" s="540" t="n"/>
      <c r="H56" s="540" t="inlineStr">
        <is>
          <t>Non</t>
        </is>
      </c>
      <c r="I56" s="540" t="inlineStr">
        <is>
          <t>Non</t>
        </is>
      </c>
      <c r="J56" s="540" t="inlineStr">
        <is>
          <t>IAS 12</t>
        </is>
      </c>
      <c r="K56" s="540" t="inlineStr">
        <is>
          <t>Différences temporaires imposables</t>
        </is>
      </c>
      <c r="L56" s="80" t="n"/>
    </row>
    <row r="57">
      <c r="A57" s="540" t="n">
        <v>151000</v>
      </c>
      <c r="B57" s="540" t="inlineStr">
        <is>
          <t>Provisions pour risques LT (IAS 37)</t>
        </is>
      </c>
      <c r="C57" s="540" t="inlineStr">
        <is>
          <t>PA</t>
        </is>
      </c>
      <c r="D57" s="540" t="inlineStr">
        <is>
          <t>Bilan</t>
        </is>
      </c>
      <c r="E57" s="540" t="inlineStr">
        <is>
          <t>Passifs non courants</t>
        </is>
      </c>
      <c r="F57" s="540" t="inlineStr">
        <is>
          <t>Provisions LT</t>
        </is>
      </c>
      <c r="G57" s="540" t="n"/>
      <c r="H57" s="540" t="inlineStr">
        <is>
          <t>Non</t>
        </is>
      </c>
      <c r="I57" s="540" t="inlineStr">
        <is>
          <t>Non</t>
        </is>
      </c>
      <c r="J57" s="540" t="inlineStr">
        <is>
          <t>IAS 37</t>
        </is>
      </c>
      <c r="K57" s="540" t="inlineStr">
        <is>
          <t>Sorties probables &gt; 1 an</t>
        </is>
      </c>
      <c r="L57" s="80" t="n"/>
    </row>
    <row r="58">
      <c r="A58" s="540" t="n">
        <v>164000</v>
      </c>
      <c r="B58" s="540" t="inlineStr">
        <is>
          <t>Emprunts bancaires LT (IFRS 9)</t>
        </is>
      </c>
      <c r="C58" s="540" t="inlineStr">
        <is>
          <t>PA</t>
        </is>
      </c>
      <c r="D58" s="540" t="inlineStr">
        <is>
          <t>Bilan</t>
        </is>
      </c>
      <c r="E58" s="540" t="inlineStr">
        <is>
          <t>Passifs non courants</t>
        </is>
      </c>
      <c r="F58" s="540" t="inlineStr">
        <is>
          <t>Dettes financières LT</t>
        </is>
      </c>
      <c r="G58" s="540" t="n"/>
      <c r="H58" s="540" t="inlineStr">
        <is>
          <t>Non</t>
        </is>
      </c>
      <c r="I58" s="540" t="inlineStr">
        <is>
          <t>Non</t>
        </is>
      </c>
      <c r="J58" s="540" t="inlineStr">
        <is>
          <t>IFRS 9</t>
        </is>
      </c>
      <c r="K58" s="540" t="inlineStr">
        <is>
          <t>Coût amorti – TIE</t>
        </is>
      </c>
      <c r="L58" s="80" t="n"/>
    </row>
    <row r="59">
      <c r="A59" s="540" t="n">
        <v>167400</v>
      </c>
      <c r="B59" s="540" t="inlineStr">
        <is>
          <t>Dettes locatives LT IFRS 16</t>
        </is>
      </c>
      <c r="C59" s="540" t="inlineStr">
        <is>
          <t>PA</t>
        </is>
      </c>
      <c r="D59" s="540" t="inlineStr">
        <is>
          <t>Bilan</t>
        </is>
      </c>
      <c r="E59" s="540" t="inlineStr">
        <is>
          <t>Passifs non courants</t>
        </is>
      </c>
      <c r="F59" s="540" t="inlineStr">
        <is>
          <t>Dettes locatives LT</t>
        </is>
      </c>
      <c r="G59" s="540" t="n"/>
      <c r="H59" s="540" t="inlineStr">
        <is>
          <t>Non</t>
        </is>
      </c>
      <c r="I59" s="540" t="inlineStr">
        <is>
          <t>Non</t>
        </is>
      </c>
      <c r="J59" s="540" t="inlineStr">
        <is>
          <t>IFRS 16</t>
        </is>
      </c>
      <c r="K59" s="540" t="inlineStr">
        <is>
          <t>Composante passif des baux</t>
        </is>
      </c>
      <c r="L59" s="80" t="n"/>
    </row>
    <row r="60">
      <c r="A60" s="540" t="n">
        <v>401000</v>
      </c>
      <c r="B60" s="540" t="inlineStr">
        <is>
          <t>Dettes fournisseurs</t>
        </is>
      </c>
      <c r="C60" s="540" t="inlineStr">
        <is>
          <t>PA</t>
        </is>
      </c>
      <c r="D60" s="540" t="inlineStr">
        <is>
          <t>Bilan</t>
        </is>
      </c>
      <c r="E60" s="540" t="inlineStr">
        <is>
          <t>Passifs courants</t>
        </is>
      </c>
      <c r="F60" s="540" t="inlineStr">
        <is>
          <t>Fournisseurs</t>
        </is>
      </c>
      <c r="G60" s="540" t="n"/>
      <c r="H60" s="540" t="inlineStr">
        <is>
          <t>Oui</t>
        </is>
      </c>
      <c r="I60" s="540" t="inlineStr">
        <is>
          <t>Non</t>
        </is>
      </c>
      <c r="J60" s="540" t="n"/>
      <c r="K60" s="540" t="inlineStr">
        <is>
          <t>BFR passif</t>
        </is>
      </c>
      <c r="L60" s="80" t="n"/>
    </row>
    <row r="61">
      <c r="A61" s="26" t="n">
        <v>451500</v>
      </c>
      <c r="B61" s="26" t="inlineStr">
        <is>
          <t>Dettes interco. (IC)</t>
        </is>
      </c>
      <c r="C61" s="26" t="inlineStr">
        <is>
          <t>PA</t>
        </is>
      </c>
      <c r="D61" s="26" t="inlineStr">
        <is>
          <t>Bilan_IC</t>
        </is>
      </c>
      <c r="E61" s="26" t="inlineStr">
        <is>
          <t>Passifs courants</t>
        </is>
      </c>
      <c r="F61" s="26" t="inlineStr">
        <is>
          <t>Dettes IC</t>
        </is>
      </c>
      <c r="G61" s="26" t="n"/>
      <c r="H61" s="26" t="inlineStr">
        <is>
          <t>Oui</t>
        </is>
      </c>
      <c r="I61" s="85" t="inlineStr">
        <is>
          <t>OUI</t>
        </is>
      </c>
      <c r="J61" s="26" t="inlineStr">
        <is>
          <t>IFRS 10</t>
        </is>
      </c>
      <c r="K61" s="26" t="inlineStr">
        <is>
          <t>⚠️ À ÉLIMINER en consolidation</t>
        </is>
      </c>
      <c r="L61" s="80" t="n"/>
    </row>
    <row r="62">
      <c r="A62" s="540" t="n">
        <v>487000</v>
      </c>
      <c r="B62" s="540" t="inlineStr">
        <is>
          <t>Produits constatés d'avance (PCA)</t>
        </is>
      </c>
      <c r="C62" s="540" t="inlineStr">
        <is>
          <t>PA</t>
        </is>
      </c>
      <c r="D62" s="540" t="inlineStr">
        <is>
          <t>Bilan</t>
        </is>
      </c>
      <c r="E62" s="540" t="inlineStr">
        <is>
          <t>Passifs courants</t>
        </is>
      </c>
      <c r="F62" s="540" t="inlineStr">
        <is>
          <t>PCA</t>
        </is>
      </c>
      <c r="G62" s="540" t="n"/>
      <c r="H62" s="540" t="inlineStr">
        <is>
          <t>Oui</t>
        </is>
      </c>
      <c r="I62" s="540" t="inlineStr">
        <is>
          <t>Non</t>
        </is>
      </c>
      <c r="J62" s="540" t="inlineStr">
        <is>
          <t>IFRS 15</t>
        </is>
      </c>
      <c r="K62" s="540" t="inlineStr">
        <is>
          <t>Obligations de performance restantes</t>
        </is>
      </c>
      <c r="L62" s="80" t="n"/>
    </row>
    <row r="63">
      <c r="A63" s="540" t="n">
        <v>519000</v>
      </c>
      <c r="B63" s="540" t="inlineStr">
        <is>
          <t>Concours bancaires CT</t>
        </is>
      </c>
      <c r="C63" s="540" t="inlineStr">
        <is>
          <t>PA</t>
        </is>
      </c>
      <c r="D63" s="540" t="inlineStr">
        <is>
          <t>Bilan</t>
        </is>
      </c>
      <c r="E63" s="540" t="inlineStr">
        <is>
          <t>Passifs courants</t>
        </is>
      </c>
      <c r="F63" s="540" t="inlineStr">
        <is>
          <t>Dettes fin. CT</t>
        </is>
      </c>
      <c r="G63" s="540" t="n"/>
      <c r="H63" s="540" t="inlineStr">
        <is>
          <t>Non</t>
        </is>
      </c>
      <c r="I63" s="540" t="inlineStr">
        <is>
          <t>Non</t>
        </is>
      </c>
      <c r="J63" s="540" t="inlineStr">
        <is>
          <t>IFRS 9</t>
        </is>
      </c>
      <c r="K63" s="540" t="inlineStr">
        <is>
          <t>Lignes de crédit court terme</t>
        </is>
      </c>
      <c r="L63" s="80" t="n"/>
    </row>
    <row r="64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</row>
    <row r="65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</row>
    <row r="66">
      <c r="A66" s="556" t="inlineStr">
        <is>
          <t>Total : 60 règles de mapping · 4 postes IC à éliminer · 5 catégories IFRS 18 couvertes</t>
        </is>
      </c>
      <c r="L66" s="80" t="n"/>
    </row>
    <row r="67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</row>
    <row r="68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</row>
    <row r="69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</row>
    <row r="70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</row>
    <row r="71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</row>
    <row r="7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</row>
    <row r="73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</row>
    <row r="74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</row>
    <row r="75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</row>
    <row r="76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</row>
    <row r="77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</row>
    <row r="78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</row>
    <row r="79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</row>
    <row r="80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</row>
    <row r="81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</row>
    <row r="8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</row>
    <row r="83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</row>
    <row r="84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</row>
    <row r="85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</row>
    <row r="86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</row>
    <row r="87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</row>
    <row r="88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</row>
    <row r="89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</row>
    <row r="90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</row>
    <row r="91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</row>
    <row r="9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</row>
    <row r="93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</row>
    <row r="94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</row>
    <row r="95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</row>
    <row r="96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</row>
    <row r="97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</row>
    <row r="98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</row>
    <row r="99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</row>
    <row r="100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</row>
    <row r="101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</row>
    <row r="10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</row>
    <row r="103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</row>
    <row r="104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</row>
    <row r="105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</row>
    <row r="106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</row>
    <row r="107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</row>
    <row r="108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</row>
    <row r="109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</row>
    <row r="110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</row>
    <row r="111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</row>
    <row r="11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</row>
    <row r="113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</row>
    <row r="114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</row>
    <row r="115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</row>
    <row r="116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</row>
    <row r="117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</row>
    <row r="118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</row>
    <row r="119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</row>
    <row r="120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</row>
  </sheetData>
  <mergeCells count="3">
    <mergeCell ref="A2:K2"/>
    <mergeCell ref="A1:K1"/>
    <mergeCell ref="A66:K6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FF8E44AD"/>
    <outlinePr summaryBelow="1" summaryRight="1"/>
    <pageSetUpPr/>
  </sheetPr>
  <dimension ref="A1:K128"/>
  <sheetViews>
    <sheetView showGridLines="0" workbookViewId="0">
      <selection activeCell="C19" sqref="C19"/>
    </sheetView>
  </sheetViews>
  <sheetFormatPr baseColWidth="10" defaultRowHeight="15"/>
  <cols>
    <col width="6.7109375" customWidth="1" style="500" min="1" max="1"/>
    <col width="114.28515625" customWidth="1" style="500" min="2" max="2"/>
    <col width="38.140625" customWidth="1" style="500" min="3" max="3"/>
    <col width="15.28515625" customWidth="1" style="500" min="5" max="11"/>
  </cols>
  <sheetData>
    <row r="1" ht="18.75" customHeight="1" s="500">
      <c r="A1" s="561" t="inlineStr">
        <is>
          <t>⚙️  POWER QUERY M – CODE COMPLET · Requête « Consolidation_FromFolder »</t>
        </is>
      </c>
      <c r="D1" s="47" t="n"/>
      <c r="E1" s="554" t="inlineStr">
        <is>
          <t>📋  GUIDE D'IMPLÉMENTATION POWER QUERY – 7 ÉTAPES</t>
        </is>
      </c>
    </row>
    <row r="2">
      <c r="A2" s="482" t="inlineStr">
        <is>
          <t>📋 Coller ce code dans : Données → Obtenir des données → Requête vide → Éditeur avancé | Power Query Editor → Advanced Editor</t>
        </is>
      </c>
      <c r="D2" s="47" t="n"/>
      <c r="E2" s="558" t="inlineStr">
        <is>
          <t>ÉTAPE 1 – NOMMER LA TABLE DE MAPPING</t>
        </is>
      </c>
    </row>
    <row r="3">
      <c r="A3" s="562" t="inlineStr">
        <is>
          <t>⚠️  Modifier le chemin FolderPath à la ligne 4 pour pointer vers votre dossier Sources. Toutes les autres lignes sont automatiques.</t>
        </is>
      </c>
      <c r="D3" s="47" t="n"/>
      <c r="E3" s="560" t="inlineStr">
        <is>
          <t>→ Aller dans PQ_MAPPING · Cliquer dans le tableau · Nommer la table « PQ_MAPPING_TABLE » (onglet Création de tableau → champ Nom du tableau)</t>
        </is>
      </c>
    </row>
    <row r="4">
      <c r="E4" s="558" t="inlineStr">
        <is>
          <t>ÉTAPE 2 – CRÉER LE DOSSIER SOURCES</t>
        </is>
      </c>
    </row>
    <row r="5">
      <c r="A5" s="86" t="inlineStr">
        <is>
          <t>L1</t>
        </is>
      </c>
      <c r="B5" s="87" t="inlineStr">
        <is>
          <t>REQUÊTE 1 : « Consolidation_FromFolder »</t>
        </is>
      </c>
      <c r="E5" s="560" t="inlineStr">
        <is>
          <t>→ Créer un dossier 'Sources' sur votre disque. Y placer les 5 fichiers CSV : SRC_FR.csv, SRC_DE.csv, SRC_UK.csv, SRC_US.csv, SRC_SG.csv</t>
        </is>
      </c>
    </row>
    <row r="6">
      <c r="A6" s="86" t="inlineStr">
        <is>
          <t>L2</t>
        </is>
      </c>
      <c r="B6" s="88" t="inlineStr">
        <is>
          <t>let</t>
        </is>
      </c>
      <c r="E6" s="558" t="inlineStr">
        <is>
          <t>ÉTAPE 3 – EXPORTER LES ONGLETS SOURCES EN CSV</t>
        </is>
      </c>
    </row>
    <row r="7">
      <c r="A7" s="86" t="inlineStr">
        <is>
          <t>L3</t>
        </is>
      </c>
      <c r="B7" s="89" t="inlineStr">
        <is>
          <t xml:space="preserve">    // ─── ÉTAPE 1 : PARAMÈTRE CHEMIN DOSSIER ───────────────────────────────</t>
        </is>
      </c>
      <c r="E7" s="560" t="inlineStr">
        <is>
          <t>→ Pour chaque onglet SRC_FR/DE/UK/US/SG : Fichier → Enregistrer sous → CSV UTF-8 (délimité par virgule). Ne sauvegarder que la feuille active.</t>
        </is>
      </c>
    </row>
    <row r="8">
      <c r="A8" s="86" t="inlineStr">
        <is>
          <t>L4</t>
        </is>
      </c>
      <c r="B8" s="91" t="inlineStr">
        <is>
          <t xml:space="preserve">    FolderPath = "C:\\Users\\VotreNom\\Documents\\Consolidation_2025\\Sources",</t>
        </is>
      </c>
      <c r="C8" s="90" t="inlineStr">
        <is>
          <t>// ⚠️ Adapter ce chemin</t>
        </is>
      </c>
      <c r="E8" s="558" t="inlineStr">
        <is>
          <t>ÉTAPE 4 – OUVRIR POWER QUERY (REQUÊTE VIDE)</t>
        </is>
      </c>
    </row>
    <row r="9">
      <c r="A9" s="86" t="inlineStr">
        <is>
          <t>L5</t>
        </is>
      </c>
      <c r="B9" s="89" t="inlineStr">
        <is>
          <t xml:space="preserve">    // ─── ÉTAPE 2 : CONNEXION AU DOSSIER (Folder.Files) ─────────────────────</t>
        </is>
      </c>
      <c r="E9" s="560" t="inlineStr">
        <is>
          <t>→ Données → Obtenir des données → À partir d'autres sources → Requête vide → Accueil → Éditeur avancé → Coller le code REQUÊTE 1 (colonne B)</t>
        </is>
      </c>
    </row>
    <row r="10">
      <c r="A10" s="86" t="inlineStr">
        <is>
          <t>L6</t>
        </is>
      </c>
      <c r="B10" s="92" t="inlineStr">
        <is>
          <t xml:space="preserve">    Source = Folder.Files(FolderPath),</t>
        </is>
      </c>
      <c r="E10" s="558" t="inlineStr">
        <is>
          <t>ÉTAPE 5 – ADAPTER LE CHEMIN DOSSIER (1 seule ligne à modifier)</t>
        </is>
      </c>
    </row>
    <row r="11">
      <c r="A11" s="86" t="inlineStr">
        <is>
          <t>L7</t>
        </is>
      </c>
      <c r="B11" s="89" t="inlineStr">
        <is>
          <t xml:space="preserve">    // ─── ÉTAPE 3 : FILTRER FICHIERS .CSV ET .XLSX ─────────────────────────</t>
        </is>
      </c>
      <c r="E11" s="559" t="inlineStr">
        <is>
          <t>→ Modifier UNIQUEMENT la ligne : FolderPath = "C:\\VotreNom\\Sources". Tout le reste est automatique.</t>
        </is>
      </c>
    </row>
    <row r="12">
      <c r="A12" s="86" t="inlineStr">
        <is>
          <t>L8</t>
        </is>
      </c>
      <c r="B12" s="92" t="inlineStr">
        <is>
          <t xml:space="preserve">    FichiersFiltrés = Table.SelectRows(Source, each</t>
        </is>
      </c>
      <c r="E12" s="558" t="inlineStr">
        <is>
          <t>ÉTAPE 6 – CRÉER REQUÊTES 2 ET 3 (mapping + agrégation)</t>
        </is>
      </c>
    </row>
    <row r="13">
      <c r="A13" s="86" t="inlineStr">
        <is>
          <t>L9</t>
        </is>
      </c>
      <c r="B13" s="92" t="inlineStr">
        <is>
          <t xml:space="preserve">        (Text.EndsWith([Name], ".csv") or Text.EndsWith([Name], ".xlsx"))</t>
        </is>
      </c>
      <c r="E13" s="560" t="inlineStr">
        <is>
          <t>→ Ajouter 2 requêtes vides · Coller REQUÊTE 2 (MappingPlanComptable) et REQUÊTE 3 (Balances_ParEntité). Nommer chaque requête selon son titre.</t>
        </is>
      </c>
    </row>
    <row r="14">
      <c r="A14" s="86" t="inlineStr">
        <is>
          <t>L10</t>
        </is>
      </c>
      <c r="B14" s="92" t="inlineStr">
        <is>
          <t xml:space="preserve">        and not Text.StartsWith([Name], "~$")),</t>
        </is>
      </c>
      <c r="C14" s="90" t="inlineStr">
        <is>
          <t>// Exclure fichiers temp Excel</t>
        </is>
      </c>
      <c r="E14" s="558" t="inlineStr">
        <is>
          <t>ÉTAPE 7 – CHARGER ET ACTUALISER</t>
        </is>
      </c>
    </row>
    <row r="15">
      <c r="A15" s="86" t="inlineStr">
        <is>
          <t>L11</t>
        </is>
      </c>
      <c r="B15" s="89" t="inlineStr">
        <is>
          <t xml:space="preserve">    // ─── ÉTAPE 4 : FONCTION DE TRANSFORMATION PAR FICHIER ─────────────────</t>
        </is>
      </c>
      <c r="E15" s="560" t="inlineStr">
        <is>
          <t>→ Fermer &amp; Charger → Fermer et charger dans… → Tableau → Sélectionner onglet BALANCES_PQ. Pour actualiser : Données → Actualiser tout (Ctrl+Alt+F5)</t>
        </is>
      </c>
    </row>
    <row r="16">
      <c r="A16" s="86" t="inlineStr">
        <is>
          <t>L12</t>
        </is>
      </c>
      <c r="B16" s="92" t="inlineStr">
        <is>
          <t xml:space="preserve">    TransformerFichier = (filePath as text, fileName as text) =&gt;</t>
        </is>
      </c>
      <c r="E16" s="557" t="inlineStr">
        <is>
          <t>⚡ Pour ajouter une 6ème entité : déposer le CSV dans le dossier Sources → Actualiser tout. La requête l'intègre automatiquement !</t>
        </is>
      </c>
    </row>
    <row r="17">
      <c r="A17" s="86" t="inlineStr">
        <is>
          <t>L13</t>
        </is>
      </c>
      <c r="B17" s="92" t="inlineStr">
        <is>
          <t xml:space="preserve">    let</t>
        </is>
      </c>
    </row>
    <row r="18">
      <c r="A18" s="86" t="inlineStr">
        <is>
          <t>L14</t>
        </is>
      </c>
      <c r="B18" s="92" t="inlineStr">
        <is>
          <t xml:space="preserve">        EstCSV = Text.EndsWith(fileName, ".csv"),</t>
        </is>
      </c>
    </row>
    <row r="19">
      <c r="A19" s="86" t="inlineStr">
        <is>
          <t>L15</t>
        </is>
      </c>
      <c r="B19" s="92" t="inlineStr">
        <is>
          <t xml:space="preserve">        RawData = if EstCSV then</t>
        </is>
      </c>
    </row>
    <row r="20">
      <c r="A20" s="86" t="inlineStr">
        <is>
          <t>L16</t>
        </is>
      </c>
      <c r="B20" s="92" t="inlineStr">
        <is>
          <t xml:space="preserve">            Csv.Document(File.Contents(filePath),[Delimiter=",",Encoding=65001])</t>
        </is>
      </c>
    </row>
    <row r="21">
      <c r="A21" s="86" t="inlineStr">
        <is>
          <t>L17</t>
        </is>
      </c>
      <c r="B21" s="92" t="inlineStr">
        <is>
          <t xml:space="preserve">        else</t>
        </is>
      </c>
    </row>
    <row r="22">
      <c r="A22" s="86" t="inlineStr">
        <is>
          <t>L18</t>
        </is>
      </c>
      <c r="B22" s="92" t="inlineStr">
        <is>
          <t xml:space="preserve">            Excel.Workbook(File.Contents(filePath),true,true){[Item="Balances"]}[Data],</t>
        </is>
      </c>
    </row>
    <row r="23">
      <c r="A23" s="86" t="inlineStr">
        <is>
          <t>L19</t>
        </is>
      </c>
      <c r="B23" s="92" t="inlineStr">
        <is>
          <t xml:space="preserve">        AvecEntêtes = Table.PromoteHeaders(RawData,[PromoteAllScalars=true]),</t>
        </is>
      </c>
    </row>
    <row r="24">
      <c r="A24" s="86" t="inlineStr">
        <is>
          <t>L20</t>
        </is>
      </c>
      <c r="B24" s="92" t="inlineStr">
        <is>
          <t xml:space="preserve">        AvecNomFichier = Table.AddColumn(AvecEntêtes,"NomFichier",each fileName)</t>
        </is>
      </c>
    </row>
    <row r="25">
      <c r="A25" s="86" t="inlineStr">
        <is>
          <t>L21</t>
        </is>
      </c>
      <c r="B25" s="92" t="inlineStr">
        <is>
          <t xml:space="preserve">    in AvecNomFichier,</t>
        </is>
      </c>
    </row>
    <row r="26">
      <c r="A26" s="86" t="inlineStr">
        <is>
          <t>L22</t>
        </is>
      </c>
      <c r="B26" s="89" t="inlineStr">
        <is>
          <t xml:space="preserve">    // ─── ÉTAPE 5 : APPLIQUER LA FONCTION À CHAQUE FICHIER ─────────────────</t>
        </is>
      </c>
    </row>
    <row r="27">
      <c r="A27" s="86" t="inlineStr">
        <is>
          <t>L23</t>
        </is>
      </c>
      <c r="B27" s="92" t="inlineStr">
        <is>
          <t xml:space="preserve">    TableTransformée = Table.AddColumn(FichiersFiltrés,"DonnéesChargées",</t>
        </is>
      </c>
    </row>
    <row r="28">
      <c r="A28" s="86" t="inlineStr">
        <is>
          <t>L24</t>
        </is>
      </c>
      <c r="B28" s="92" t="inlineStr">
        <is>
          <t xml:space="preserve">        each TransformerFichier([Folder Path]&amp;[Name],[Name])),</t>
        </is>
      </c>
    </row>
    <row r="29">
      <c r="A29" s="86" t="inlineStr">
        <is>
          <t>L25</t>
        </is>
      </c>
      <c r="B29" s="89" t="inlineStr">
        <is>
          <t xml:space="preserve">    // ─── ÉTAPE 6 : DÉPLIER TOUTES LES TABLES ──────────────────────────────</t>
        </is>
      </c>
    </row>
    <row r="30">
      <c r="A30" s="86" t="inlineStr">
        <is>
          <t>L26</t>
        </is>
      </c>
      <c r="B30" s="92" t="inlineStr">
        <is>
          <t xml:space="preserve">    TableDépliée = Table.ExpandTableColumn(TableTransformée,"DonnéesChargées",</t>
        </is>
      </c>
    </row>
    <row r="31">
      <c r="A31" s="86" t="inlineStr">
        <is>
          <t>L27</t>
        </is>
      </c>
      <c r="B31" s="92" t="inlineStr">
        <is>
          <t xml:space="preserve">        {"CodeCompte","Libellé","Montant","Devise","Mois","Entité","TypeFlux","CatIFRS18","NomFichier"}),</t>
        </is>
      </c>
    </row>
    <row r="32">
      <c r="A32" s="86" t="inlineStr">
        <is>
          <t>L28</t>
        </is>
      </c>
      <c r="B32" s="89" t="inlineStr">
        <is>
          <t xml:space="preserve">    // ─── ÉTAPE 7 : STANDARDISATION DES COLONNES ────────────────────────────</t>
        </is>
      </c>
    </row>
    <row r="33">
      <c r="A33" s="86" t="inlineStr">
        <is>
          <t>L29</t>
        </is>
      </c>
      <c r="B33" s="92" t="inlineStr">
        <is>
          <t xml:space="preserve">    ColonnesStandardisées = Table.SelectColumns(TableDépliée,</t>
        </is>
      </c>
    </row>
    <row r="34">
      <c r="A34" s="86" t="inlineStr">
        <is>
          <t>L30</t>
        </is>
      </c>
      <c r="B34" s="92" t="inlineStr">
        <is>
          <t xml:space="preserve">        {"CodeCompte","Libellé","Montant","Devise","Mois","Entité","TypeFlux","CatIFRS18","NomFichier"}),</t>
        </is>
      </c>
    </row>
    <row r="35">
      <c r="A35" s="86" t="inlineStr">
        <is>
          <t>L31</t>
        </is>
      </c>
      <c r="B35" s="89" t="inlineStr">
        <is>
          <t xml:space="preserve">    // ─── ÉTAPE 8 : TYPAGE DES COLONNES ────────────────────────────────────</t>
        </is>
      </c>
    </row>
    <row r="36">
      <c r="A36" s="86" t="inlineStr">
        <is>
          <t>L32</t>
        </is>
      </c>
      <c r="B36" s="92" t="inlineStr">
        <is>
          <t xml:space="preserve">    ColonnesTypées = Table.TransformColumnTypes(ColonnesStandardisées,{</t>
        </is>
      </c>
    </row>
    <row r="37">
      <c r="A37" s="86" t="inlineStr">
        <is>
          <t>L33</t>
        </is>
      </c>
      <c r="B37" s="92" t="inlineStr">
        <is>
          <t xml:space="preserve">        {"CodeCompte",type text},{"Libellé",type text},{"Montant",type number},</t>
        </is>
      </c>
    </row>
    <row r="38">
      <c r="A38" s="86" t="inlineStr">
        <is>
          <t>L34</t>
        </is>
      </c>
      <c r="B38" s="92" t="inlineStr">
        <is>
          <t xml:space="preserve">        {"Devise",type text},{"Mois",Int64.Type},{"Entité",type text},</t>
        </is>
      </c>
    </row>
    <row r="39">
      <c r="A39" s="86" t="inlineStr">
        <is>
          <t>L35</t>
        </is>
      </c>
      <c r="B39" s="92" t="inlineStr">
        <is>
          <t xml:space="preserve">        {"TypeFlux",type text},{"CatIFRS18",type text},{"NomFichier",type text}}),</t>
        </is>
      </c>
    </row>
    <row r="40">
      <c r="A40" s="86" t="inlineStr">
        <is>
          <t>L36</t>
        </is>
      </c>
      <c r="B40" s="89" t="inlineStr">
        <is>
          <t xml:space="preserve">    // ─── ÉTAPE 9 : NETTOYAGE ──────────────────────────────────────────────</t>
        </is>
      </c>
    </row>
    <row r="41">
      <c r="A41" s="86" t="inlineStr">
        <is>
          <t>L37</t>
        </is>
      </c>
      <c r="B41" s="92" t="inlineStr">
        <is>
          <t xml:space="preserve">    SansVides = Table.SelectRows(ColonnesTypées, each [CodeCompte]&lt;&gt;null</t>
        </is>
      </c>
    </row>
    <row r="42">
      <c r="A42" s="86" t="inlineStr">
        <is>
          <t>L38</t>
        </is>
      </c>
      <c r="B42" s="92" t="inlineStr">
        <is>
          <t xml:space="preserve">        and [CodeCompte]&lt;&gt;"" and [CodeCompte]&lt;&gt;"CodeCompte"),</t>
        </is>
      </c>
    </row>
    <row r="43">
      <c r="A43" s="86" t="inlineStr">
        <is>
          <t>L39</t>
        </is>
      </c>
      <c r="B43" s="92" t="inlineStr">
        <is>
          <t xml:space="preserve">    SansErreurs = Table.RemoveRowsWithErrors(SansVides,{"Montant"}),</t>
        </is>
      </c>
    </row>
    <row r="44">
      <c r="A44" s="86" t="inlineStr">
        <is>
          <t>L40</t>
        </is>
      </c>
      <c r="B44" s="89" t="inlineStr">
        <is>
          <t xml:space="preserve">    // ─── ÉTAPE 10 : COLONNE ENTITÉ NORMALISÉE ──────────────────────────────</t>
        </is>
      </c>
    </row>
    <row r="45">
      <c r="A45" s="86" t="inlineStr">
        <is>
          <t>L41</t>
        </is>
      </c>
      <c r="B45" s="92" t="inlineStr">
        <is>
          <t xml:space="preserve">    EntitéNorm = Table.AddColumn(SansErreurs,"EntitéNormalisée", each</t>
        </is>
      </c>
    </row>
    <row r="46">
      <c r="A46" s="86" t="inlineStr">
        <is>
          <t>L42</t>
        </is>
      </c>
      <c r="B46" s="92" t="inlineStr">
        <is>
          <t xml:space="preserve">        if [Entité]&lt;&gt;null and [Entité]&lt;&gt;"" then [Entité]</t>
        </is>
      </c>
    </row>
    <row r="47">
      <c r="A47" s="86" t="inlineStr">
        <is>
          <t>L43</t>
        </is>
      </c>
      <c r="B47" s="92" t="inlineStr">
        <is>
          <t xml:space="preserve">        else if Text.Contains([NomFichier],"FR") then "FR_ParentCo"</t>
        </is>
      </c>
    </row>
    <row r="48">
      <c r="A48" s="86" t="inlineStr">
        <is>
          <t>L44</t>
        </is>
      </c>
      <c r="B48" s="92" t="inlineStr">
        <is>
          <t xml:space="preserve">        else if Text.Contains([NomFichier],"DE") then "DE_Filiale"</t>
        </is>
      </c>
    </row>
    <row r="49">
      <c r="A49" s="86" t="inlineStr">
        <is>
          <t>L45</t>
        </is>
      </c>
      <c r="B49" s="92" t="inlineStr">
        <is>
          <t xml:space="preserve">        else if Text.Contains([NomFichier],"UK") then "UK_Filiale"</t>
        </is>
      </c>
    </row>
    <row r="50">
      <c r="A50" s="86" t="inlineStr">
        <is>
          <t>L46</t>
        </is>
      </c>
      <c r="B50" s="92" t="inlineStr">
        <is>
          <t xml:space="preserve">        else if Text.Contains([NomFichier],"US") then "US_Filiale"</t>
        </is>
      </c>
    </row>
    <row r="51">
      <c r="A51" s="86" t="inlineStr">
        <is>
          <t>L47</t>
        </is>
      </c>
      <c r="B51" s="92" t="inlineStr">
        <is>
          <t xml:space="preserve">        else if Text.Contains([NomFichier],"SG") then "SG_Filiale"</t>
        </is>
      </c>
    </row>
    <row r="52">
      <c r="A52" s="86" t="inlineStr">
        <is>
          <t>L48</t>
        </is>
      </c>
      <c r="B52" s="92" t="inlineStr">
        <is>
          <t xml:space="preserve">        else "INCONNU", type text),</t>
        </is>
      </c>
    </row>
    <row r="53">
      <c r="A53" s="86" t="inlineStr">
        <is>
          <t>L49</t>
        </is>
      </c>
      <c r="B53" s="89" t="inlineStr">
        <is>
          <t xml:space="preserve">    // ─── ÉTAPE 11 : TAUX DE CONVERSION IAS 21 ──────────────────────────────</t>
        </is>
      </c>
    </row>
    <row r="54">
      <c r="A54" s="86" t="inlineStr">
        <is>
          <t>L50</t>
        </is>
      </c>
      <c r="B54" s="92" t="inlineStr">
        <is>
          <t xml:space="preserve">    TauxConv = Table.AddColumn(EntitéNorm,"TauxEUR", each</t>
        </is>
      </c>
    </row>
    <row r="55">
      <c r="A55" s="86" t="inlineStr">
        <is>
          <t>L51</t>
        </is>
      </c>
      <c r="B55" s="92" t="inlineStr">
        <is>
          <t xml:space="preserve">        if   [Devise]="EUR" then 1.0000</t>
        </is>
      </c>
    </row>
    <row r="56">
      <c r="A56" s="86" t="inlineStr">
        <is>
          <t>L52</t>
        </is>
      </c>
      <c r="B56" s="92" t="inlineStr">
        <is>
          <t xml:space="preserve">        else if [Devise]="GBP" then 1.1650</t>
        </is>
      </c>
      <c r="C56" s="90" t="inlineStr">
        <is>
          <t>// Taux clôture 31/12/2025</t>
        </is>
      </c>
    </row>
    <row r="57">
      <c r="A57" s="86" t="inlineStr">
        <is>
          <t>L53</t>
        </is>
      </c>
      <c r="B57" s="92" t="inlineStr">
        <is>
          <t xml:space="preserve">        else if [Devise]="USD" then 0.9180</t>
        </is>
      </c>
      <c r="C57" s="90" t="inlineStr">
        <is>
          <t>// Taux clôture 31/12/2025</t>
        </is>
      </c>
    </row>
    <row r="58">
      <c r="A58" s="86" t="inlineStr">
        <is>
          <t>L54</t>
        </is>
      </c>
      <c r="B58" s="92" t="inlineStr">
        <is>
          <t xml:space="preserve">        else if [Devise]="SGD" then 0.6780</t>
        </is>
      </c>
      <c r="C58" s="90" t="inlineStr">
        <is>
          <t>// Taux clôture 31/12/2025</t>
        </is>
      </c>
    </row>
    <row r="59">
      <c r="A59" s="86" t="inlineStr">
        <is>
          <t>L55</t>
        </is>
      </c>
      <c r="B59" s="92" t="inlineStr">
        <is>
          <t xml:space="preserve">        else 1.0000, type number),</t>
        </is>
      </c>
    </row>
    <row r="60">
      <c r="A60" s="86" t="inlineStr">
        <is>
          <t>L56</t>
        </is>
      </c>
      <c r="B60" s="89" t="inlineStr">
        <is>
          <t xml:space="preserve">    // ─── ÉTAPE 12 : MONTANT CONVERTI EN EUR ──────────────────────────────</t>
        </is>
      </c>
    </row>
    <row r="61">
      <c r="A61" s="86" t="inlineStr">
        <is>
          <t>L57</t>
        </is>
      </c>
      <c r="B61" s="92" t="inlineStr">
        <is>
          <t xml:space="preserve">    MontantEUR = Table.AddColumn(TauxConv,"MontantEUR",</t>
        </is>
      </c>
    </row>
    <row r="62">
      <c r="A62" s="86" t="inlineStr">
        <is>
          <t>L58</t>
        </is>
      </c>
      <c r="B62" s="92" t="inlineStr">
        <is>
          <t xml:space="preserve">        each [Montant]*[TauxEUR], type number),</t>
        </is>
      </c>
    </row>
    <row r="63">
      <c r="A63" s="86" t="inlineStr">
        <is>
          <t>L59</t>
        </is>
      </c>
      <c r="B63" s="89" t="inlineStr">
        <is>
          <t xml:space="preserve">    // ─── ÉTAPE 13 : JOIN AVEC TABLE MAPPING IFRS 18 ────────────────────────</t>
        </is>
      </c>
    </row>
    <row r="64">
      <c r="A64" s="86" t="inlineStr">
        <is>
          <t>L60</t>
        </is>
      </c>
      <c r="B64" s="92" t="inlineStr">
        <is>
          <t xml:space="preserve">    Mapping = Excel.CurrentWorkbook(){[Name="PQ_MAPPING_TABLE"]}[Content],</t>
        </is>
      </c>
      <c r="C64" s="90" t="inlineStr">
        <is>
          <t>// Nommer le tableau dans PQ_MAPPING</t>
        </is>
      </c>
    </row>
    <row r="65">
      <c r="A65" s="86" t="inlineStr">
        <is>
          <t>L61</t>
        </is>
      </c>
      <c r="B65" s="92" t="inlineStr">
        <is>
          <t xml:space="preserve">    MappingTypé = Table.TransformColumnTypes(Mapping,{</t>
        </is>
      </c>
    </row>
    <row r="66">
      <c r="A66" s="86" t="inlineStr">
        <is>
          <t>L62</t>
        </is>
      </c>
      <c r="B66" s="92" t="inlineStr">
        <is>
          <t xml:space="preserve">        {"CodeSource",type text},{"PosteGroupeIFRS18",type text},</t>
        </is>
      </c>
    </row>
    <row r="67">
      <c r="A67" s="86" t="inlineStr">
        <is>
          <t>L63</t>
        </is>
      </c>
      <c r="B67" s="92" t="inlineStr">
        <is>
          <t xml:space="preserve">        {"SousPosteIFRS18",type text},{"IC_Flag",type text}}),</t>
        </is>
      </c>
    </row>
    <row r="68">
      <c r="A68" s="86" t="inlineStr">
        <is>
          <t>L64</t>
        </is>
      </c>
      <c r="B68" s="92" t="inlineStr">
        <is>
          <t xml:space="preserve">    AvecMapping = Table.NestedJoin(MontantEUR,{"CodeCompte"},</t>
        </is>
      </c>
    </row>
    <row r="69">
      <c r="A69" s="86" t="inlineStr">
        <is>
          <t>L65</t>
        </is>
      </c>
      <c r="B69" s="92" t="inlineStr">
        <is>
          <t xml:space="preserve">        MappingTypé,{"CodeSource"},"Info",JoinKind.LeftOuter),</t>
        </is>
      </c>
    </row>
    <row r="70">
      <c r="A70" s="86" t="inlineStr">
        <is>
          <t>L66</t>
        </is>
      </c>
      <c r="B70" s="92" t="inlineStr">
        <is>
          <t xml:space="preserve">    Expand = Table.ExpandTableColumn(AvecMapping,"Info",</t>
        </is>
      </c>
    </row>
    <row r="71">
      <c r="A71" s="86" t="inlineStr">
        <is>
          <t>L67</t>
        </is>
      </c>
      <c r="B71" s="92" t="inlineStr">
        <is>
          <t xml:space="preserve">        {"PosteGroupeIFRS18","SousPosteIFRS18","IC_Flag","NormeRef"}),</t>
        </is>
      </c>
    </row>
    <row r="72">
      <c r="A72" s="86" t="inlineStr">
        <is>
          <t>L68</t>
        </is>
      </c>
      <c r="B72" s="89" t="inlineStr">
        <is>
          <t xml:space="preserve">    // ─── ÉTAPE 14 : CATÉGORIE IFRS 18 FINALE ──────────────────────────────</t>
        </is>
      </c>
    </row>
    <row r="73">
      <c r="A73" s="86" t="inlineStr">
        <is>
          <t>L69</t>
        </is>
      </c>
      <c r="B73" s="92" t="inlineStr">
        <is>
          <t xml:space="preserve">    CatFinale = Table.AddColumn(Expand,"CatIFRS18_Finale", each</t>
        </is>
      </c>
    </row>
    <row r="74">
      <c r="A74" s="86" t="inlineStr">
        <is>
          <t>L70</t>
        </is>
      </c>
      <c r="B74" s="92" t="inlineStr">
        <is>
          <t xml:space="preserve">        if [IC_Flag]="OUI" then "⚠️ Élimination IC"</t>
        </is>
      </c>
    </row>
    <row r="75">
      <c r="A75" s="86" t="inlineStr">
        <is>
          <t>L71</t>
        </is>
      </c>
      <c r="B75" s="92" t="inlineStr">
        <is>
          <t xml:space="preserve">        else if Text.Contains([CatIFRS18],"Opér") then "① Exploitation"</t>
        </is>
      </c>
    </row>
    <row r="76">
      <c r="A76" s="86" t="inlineStr">
        <is>
          <t>L72</t>
        </is>
      </c>
      <c r="B76" s="92" t="inlineStr">
        <is>
          <t xml:space="preserve">        else if Text.Contains([CatIFRS18],"Invest") then "② Investissement"</t>
        </is>
      </c>
    </row>
    <row r="77">
      <c r="A77" s="86" t="inlineStr">
        <is>
          <t>L73</t>
        </is>
      </c>
      <c r="B77" s="92" t="inlineStr">
        <is>
          <t xml:space="preserve">        else if Text.Contains([CatIFRS18],"Fin") then "③ Financement"</t>
        </is>
      </c>
    </row>
    <row r="78">
      <c r="A78" s="86" t="inlineStr">
        <is>
          <t>L74</t>
        </is>
      </c>
      <c r="B78" s="92" t="inlineStr">
        <is>
          <t xml:space="preserve">        else if Text.Contains([CatIFRS18],"Impôt") then "④ Impôts"</t>
        </is>
      </c>
    </row>
    <row r="79">
      <c r="A79" s="86" t="inlineStr">
        <is>
          <t>L75</t>
        </is>
      </c>
      <c r="B79" s="92" t="inlineStr">
        <is>
          <t xml:space="preserve">        else if Text.Contains([CatIFRS18],"Bilan") then "Bilan"</t>
        </is>
      </c>
    </row>
    <row r="80">
      <c r="A80" s="86" t="inlineStr">
        <is>
          <t>L76</t>
        </is>
      </c>
      <c r="B80" s="92" t="inlineStr">
        <is>
          <t xml:space="preserve">        else [CatIFRS18], type text),</t>
        </is>
      </c>
    </row>
    <row r="81">
      <c r="A81" s="86" t="inlineStr">
        <is>
          <t>L77</t>
        </is>
      </c>
      <c r="B81" s="89" t="inlineStr">
        <is>
          <t xml:space="preserve">    // ─── ÉTAPE 15 : DRAPEAU INTERCO ───────────────────────────────────────</t>
        </is>
      </c>
    </row>
    <row r="82">
      <c r="A82" s="86" t="inlineStr">
        <is>
          <t>L78</t>
        </is>
      </c>
      <c r="B82" s="92" t="inlineStr">
        <is>
          <t xml:space="preserve">    DrapIC = Table.AddColumn(CatFinale,"EstIC", each</t>
        </is>
      </c>
    </row>
    <row r="83">
      <c r="A83" s="86" t="inlineStr">
        <is>
          <t>L79</t>
        </is>
      </c>
      <c r="B83" s="92" t="inlineStr">
        <is>
          <t xml:space="preserve">        [IC_Flag]="OUI" or Text.Contains([CatIFRS18],"IC"), type logical),</t>
        </is>
      </c>
    </row>
    <row r="84">
      <c r="A84" s="86" t="inlineStr">
        <is>
          <t>L80</t>
        </is>
      </c>
      <c r="B84" s="89" t="inlineStr">
        <is>
          <t xml:space="preserve">    // ─── ÉTAPE 16 : EXERCICE &amp; TRIMESTRE ──────────────────────────────────</t>
        </is>
      </c>
    </row>
    <row r="85">
      <c r="A85" s="86" t="inlineStr">
        <is>
          <t>L81</t>
        </is>
      </c>
      <c r="B85" s="92" t="inlineStr">
        <is>
          <t xml:space="preserve">    AvecExerc = Table.AddColumn(DrapIC,"Exercice",each "2025",type text),</t>
        </is>
      </c>
    </row>
    <row r="86">
      <c r="A86" s="86" t="inlineStr">
        <is>
          <t>L82</t>
        </is>
      </c>
      <c r="B86" s="92" t="inlineStr">
        <is>
          <t xml:space="preserve">    AvecTrim = Table.AddColumn(AvecExerc,"Trimestre", each</t>
        </is>
      </c>
    </row>
    <row r="87">
      <c r="A87" s="86" t="inlineStr">
        <is>
          <t>L83</t>
        </is>
      </c>
      <c r="B87" s="92" t="inlineStr">
        <is>
          <t xml:space="preserve">        if [Mois]&lt;=3 then "T1-2025" else if [Mois]&lt;=6 then "T2-2025"</t>
        </is>
      </c>
    </row>
    <row r="88">
      <c r="A88" s="86" t="inlineStr">
        <is>
          <t>L84</t>
        </is>
      </c>
      <c r="B88" s="92" t="inlineStr">
        <is>
          <t xml:space="preserve">        else if [Mois]&lt;=9 then "T3-2025" else "T4-2025", type text),</t>
        </is>
      </c>
    </row>
    <row r="89">
      <c r="A89" s="86" t="inlineStr">
        <is>
          <t>L85</t>
        </is>
      </c>
      <c r="B89" s="89" t="inlineStr">
        <is>
          <t xml:space="preserve">    // ─── ÉTAPE 17 : SÉLECTION COLONNES FINALES ────────────────────────────</t>
        </is>
      </c>
    </row>
    <row r="90">
      <c r="A90" s="86" t="inlineStr">
        <is>
          <t>L86</t>
        </is>
      </c>
      <c r="B90" s="92" t="inlineStr">
        <is>
          <t xml:space="preserve">    Final = Table.SelectColumns(AvecTrim,{</t>
        </is>
      </c>
    </row>
    <row r="91">
      <c r="A91" s="86" t="inlineStr">
        <is>
          <t>L87</t>
        </is>
      </c>
      <c r="B91" s="92" t="inlineStr">
        <is>
          <t xml:space="preserve">        "Exercice","Trimestre","Mois","EntitéNormalisée","CodeCompte","Libellé",</t>
        </is>
      </c>
    </row>
    <row r="92">
      <c r="A92" s="86" t="inlineStr">
        <is>
          <t>L88</t>
        </is>
      </c>
      <c r="B92" s="92" t="inlineStr">
        <is>
          <t xml:space="preserve">        "TypeFlux","CatIFRS18_Finale","PosteGroupeIFRS18","SousPosteIFRS18",</t>
        </is>
      </c>
    </row>
    <row r="93">
      <c r="A93" s="86" t="inlineStr">
        <is>
          <t>L89</t>
        </is>
      </c>
      <c r="B93" s="92" t="inlineStr">
        <is>
          <t xml:space="preserve">        "NormeRef","EstIC","Devise","TauxEUR","Montant","MontantEUR","NomFichier"}),</t>
        </is>
      </c>
    </row>
    <row r="94">
      <c r="A94" s="86" t="inlineStr">
        <is>
          <t>L90</t>
        </is>
      </c>
      <c r="B94" s="89" t="inlineStr">
        <is>
          <t xml:space="preserve">    // ─── ÉTAPE 18 : TRI FINAL ────────────────────────────────────────────</t>
        </is>
      </c>
    </row>
    <row r="95">
      <c r="A95" s="86" t="inlineStr">
        <is>
          <t>L91</t>
        </is>
      </c>
      <c r="B95" s="92" t="inlineStr">
        <is>
          <t xml:space="preserve">    Trié = Table.Sort(Final,{{"EntitéNormalisée",Order.Ascending},</t>
        </is>
      </c>
    </row>
    <row r="96">
      <c r="A96" s="86" t="inlineStr">
        <is>
          <t>L92</t>
        </is>
      </c>
      <c r="B96" s="92" t="inlineStr">
        <is>
          <t xml:space="preserve">        {"Mois",Order.Ascending},{"CatIFRS18_Finale",Order.Ascending}})</t>
        </is>
      </c>
    </row>
    <row r="97">
      <c r="A97" s="86" t="inlineStr">
        <is>
          <t>L93</t>
        </is>
      </c>
      <c r="B97" s="88" t="inlineStr">
        <is>
          <t>in</t>
        </is>
      </c>
    </row>
    <row r="98">
      <c r="A98" s="86" t="inlineStr">
        <is>
          <t>L94</t>
        </is>
      </c>
      <c r="B98" s="88" t="inlineStr">
        <is>
          <t xml:space="preserve">    Trié</t>
        </is>
      </c>
    </row>
    <row r="99">
      <c r="A99" s="86" t="inlineStr">
        <is>
          <t>L95</t>
        </is>
      </c>
      <c r="B99" s="92" t="n"/>
    </row>
    <row r="100">
      <c r="A100" s="86" t="inlineStr">
        <is>
          <t>L96</t>
        </is>
      </c>
      <c r="B100" s="89" t="inlineStr">
        <is>
          <t>// 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1">
      <c r="A101" s="86" t="inlineStr">
        <is>
          <t>L97</t>
        </is>
      </c>
      <c r="B101" s="89" t="inlineStr">
        <is>
          <t>// REQUÊTE 2 : « MappingPlanComptable » (requête de support pour la table de mapping)</t>
        </is>
      </c>
    </row>
    <row r="102">
      <c r="A102" s="86" t="inlineStr">
        <is>
          <t>L98</t>
        </is>
      </c>
      <c r="B102" s="89" t="inlineStr">
        <is>
          <t>// 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3">
      <c r="A103" s="86" t="inlineStr">
        <is>
          <t>L99</t>
        </is>
      </c>
      <c r="B103" s="92" t="n"/>
    </row>
    <row r="104">
      <c r="A104" s="86" t="inlineStr">
        <is>
          <t>L100</t>
        </is>
      </c>
      <c r="B104" s="88" t="inlineStr">
        <is>
          <t>let</t>
        </is>
      </c>
    </row>
    <row r="105">
      <c r="A105" s="86" t="inlineStr">
        <is>
          <t>L101</t>
        </is>
      </c>
      <c r="B105" s="92" t="inlineStr">
        <is>
          <t xml:space="preserve">    Source = Excel.CurrentWorkbook(){[Name="PQ_MAPPING_TABLE"]}[Content],</t>
        </is>
      </c>
      <c r="C105" s="90" t="inlineStr">
        <is>
          <t>// Table nommée dans PQ_MAPPING</t>
        </is>
      </c>
    </row>
    <row r="106">
      <c r="A106" s="86" t="inlineStr">
        <is>
          <t>L102</t>
        </is>
      </c>
      <c r="B106" s="92" t="inlineStr">
        <is>
          <t xml:space="preserve">    TypesAppliqués = Table.TransformColumnTypes(Source,{</t>
        </is>
      </c>
    </row>
    <row r="107">
      <c r="A107" s="86" t="inlineStr">
        <is>
          <t>L103</t>
        </is>
      </c>
      <c r="B107" s="92" t="inlineStr">
        <is>
          <t xml:space="preserve">        {"CodeSource",type text},{"Libellé Source",type text},{"Type",type text},</t>
        </is>
      </c>
    </row>
    <row r="108">
      <c r="A108" s="86" t="inlineStr">
        <is>
          <t>L104</t>
        </is>
      </c>
      <c r="B108" s="92" t="inlineStr">
        <is>
          <t xml:space="preserve">        {"CatIFRS18",type text},{"PosteGroupeIFRS18",type text},</t>
        </is>
      </c>
    </row>
    <row r="109">
      <c r="A109" s="86" t="inlineStr">
        <is>
          <t>L105</t>
        </is>
      </c>
      <c r="B109" s="92" t="inlineStr">
        <is>
          <t xml:space="preserve">        {"SousPosteIFRS18",type text},{"SigneConvention",type text},</t>
        </is>
      </c>
    </row>
    <row r="110">
      <c r="A110" s="86" t="inlineStr">
        <is>
          <t>L106</t>
        </is>
      </c>
      <c r="B110" s="92" t="inlineStr">
        <is>
          <t xml:space="preserve">        {"InclusDansBFR",type text},{"IC_Flag",type text},</t>
        </is>
      </c>
    </row>
    <row r="111">
      <c r="A111" s="86" t="inlineStr">
        <is>
          <t>L107</t>
        </is>
      </c>
      <c r="B111" s="92" t="inlineStr">
        <is>
          <t xml:space="preserve">        {"NormeRef",type text},{"Commentaire",type text}}),</t>
        </is>
      </c>
    </row>
    <row r="112">
      <c r="A112" s="86" t="inlineStr">
        <is>
          <t>L108</t>
        </is>
      </c>
      <c r="B112" s="92" t="inlineStr">
        <is>
          <t xml:space="preserve">    SansDoublons = Table.Distinct(TypesAppliqués, {"CodeSource"})</t>
        </is>
      </c>
    </row>
    <row r="113">
      <c r="A113" s="86" t="inlineStr">
        <is>
          <t>L109</t>
        </is>
      </c>
      <c r="B113" s="88" t="inlineStr">
        <is>
          <t>in</t>
        </is>
      </c>
    </row>
    <row r="114">
      <c r="A114" s="86" t="inlineStr">
        <is>
          <t>L110</t>
        </is>
      </c>
      <c r="B114" s="88" t="inlineStr">
        <is>
          <t xml:space="preserve">    SansDoublons</t>
        </is>
      </c>
    </row>
    <row r="115">
      <c r="A115" s="86" t="inlineStr">
        <is>
          <t>L111</t>
        </is>
      </c>
      <c r="B115" s="92" t="n"/>
    </row>
    <row r="116">
      <c r="A116" s="86" t="inlineStr">
        <is>
          <t>L112</t>
        </is>
      </c>
      <c r="B116" s="89" t="inlineStr">
        <is>
          <t>// 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17">
      <c r="A117" s="86" t="inlineStr">
        <is>
          <t>L113</t>
        </is>
      </c>
      <c r="B117" s="89" t="inlineStr">
        <is>
          <t>// REQUÊTE 3 : « Balances_ParEntité » (aggrégation pour CONSOL_CR)</t>
        </is>
      </c>
    </row>
    <row r="118">
      <c r="A118" s="86" t="inlineStr">
        <is>
          <t>L114</t>
        </is>
      </c>
      <c r="B118" s="89" t="inlineStr">
        <is>
          <t>// 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19">
      <c r="A119" s="86" t="inlineStr">
        <is>
          <t>L115</t>
        </is>
      </c>
      <c r="B119" s="92" t="n"/>
    </row>
    <row r="120">
      <c r="A120" s="86" t="inlineStr">
        <is>
          <t>L116</t>
        </is>
      </c>
      <c r="B120" s="88" t="inlineStr">
        <is>
          <t>let</t>
        </is>
      </c>
    </row>
    <row r="121">
      <c r="A121" s="86" t="inlineStr">
        <is>
          <t>L117</t>
        </is>
      </c>
      <c r="B121" s="92" t="inlineStr">
        <is>
          <t xml:space="preserve">    Source = Consolidation_FromFolder,</t>
        </is>
      </c>
      <c r="C121" s="90" t="inlineStr">
        <is>
          <t>// Référencer la requête 1</t>
        </is>
      </c>
    </row>
    <row r="122">
      <c r="A122" s="86" t="inlineStr">
        <is>
          <t>L118</t>
        </is>
      </c>
      <c r="B122" s="92" t="inlineStr">
        <is>
          <t xml:space="preserve">    SansIC = Table.SelectRows(Source, each not [EstIC]),</t>
        </is>
      </c>
      <c r="C122" s="90" t="inlineStr">
        <is>
          <t>// Exclure les flux IC</t>
        </is>
      </c>
    </row>
    <row r="123">
      <c r="A123" s="86" t="inlineStr">
        <is>
          <t>L119</t>
        </is>
      </c>
      <c r="B123" s="92" t="inlineStr">
        <is>
          <t xml:space="preserve">    Agrégé = Table.Group(SansIC,</t>
        </is>
      </c>
    </row>
    <row r="124">
      <c r="A124" s="86" t="inlineStr">
        <is>
          <t>L120</t>
        </is>
      </c>
      <c r="B124" s="92" t="inlineStr">
        <is>
          <t xml:space="preserve">        {"EntitéNormalisée","CatIFRS18_Finale","PosteGroupeIFRS18","Mois","Devise"},</t>
        </is>
      </c>
    </row>
    <row r="125">
      <c r="A125" s="86" t="inlineStr">
        <is>
          <t>L121</t>
        </is>
      </c>
      <c r="B125" s="92" t="inlineStr">
        <is>
          <t xml:space="preserve">        {{"MontantEUR_Total", each List.Sum([MontantEUR]), type number},</t>
        </is>
      </c>
    </row>
    <row r="126">
      <c r="A126" s="86" t="inlineStr">
        <is>
          <t>L122</t>
        </is>
      </c>
      <c r="B126" s="92" t="inlineStr">
        <is>
          <t xml:space="preserve">        {"NombreLignes", each Table.RowCount(_), Int64.Type}})</t>
        </is>
      </c>
    </row>
    <row r="127">
      <c r="A127" s="86" t="inlineStr">
        <is>
          <t>L123</t>
        </is>
      </c>
      <c r="B127" s="88" t="inlineStr">
        <is>
          <t>in</t>
        </is>
      </c>
    </row>
    <row r="128">
      <c r="A128" s="86" t="inlineStr">
        <is>
          <t>L124</t>
        </is>
      </c>
      <c r="B128" s="88" t="inlineStr">
        <is>
          <t xml:space="preserve">    Agrégé</t>
        </is>
      </c>
    </row>
  </sheetData>
  <mergeCells count="19">
    <mergeCell ref="A3:C3"/>
    <mergeCell ref="E16:K16"/>
    <mergeCell ref="E7:K7"/>
    <mergeCell ref="A2:C2"/>
    <mergeCell ref="E3:K3"/>
    <mergeCell ref="E12:K12"/>
    <mergeCell ref="E5:K5"/>
    <mergeCell ref="E8:K8"/>
    <mergeCell ref="E14:K14"/>
    <mergeCell ref="E4:K4"/>
    <mergeCell ref="E10:K10"/>
    <mergeCell ref="E1:K1"/>
    <mergeCell ref="E13:K13"/>
    <mergeCell ref="A1:C1"/>
    <mergeCell ref="E9:K9"/>
    <mergeCell ref="E6:K6"/>
    <mergeCell ref="E15:K15"/>
    <mergeCell ref="E2:K2"/>
    <mergeCell ref="E11:K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2980B9"/>
    <outlinePr summaryBelow="1" summaryRight="1"/>
    <pageSetUpPr/>
  </sheetPr>
  <dimension ref="A1:S64"/>
  <sheetViews>
    <sheetView workbookViewId="0">
      <selection activeCell="A1" sqref="A1:Q1"/>
    </sheetView>
  </sheetViews>
  <sheetFormatPr baseColWidth="10" defaultRowHeight="15"/>
  <cols>
    <col width="13.28515625" customWidth="1" style="500" min="1" max="1"/>
    <col width="16" customWidth="1" style="500" min="2" max="2"/>
    <col width="9.28515625" customWidth="1" style="500" min="3" max="3"/>
    <col width="24" customWidth="1" style="500" min="4" max="4"/>
    <col width="13.28515625" customWidth="1" style="500" min="5" max="5"/>
    <col width="50.7109375" customWidth="1" style="500" min="6" max="6"/>
    <col width="10.7109375" customWidth="1" style="500" min="7" max="7"/>
    <col width="29.28515625" customWidth="1" style="500" min="8" max="8"/>
    <col width="42.7109375" customWidth="1" style="500" min="9" max="9"/>
    <col width="37.28515625" customWidth="1" style="500" min="10" max="10"/>
    <col width="18.7109375" customWidth="1" style="500" min="11" max="11"/>
    <col width="10.7109375" customWidth="1" style="500" min="12" max="13"/>
    <col width="13.28515625" customWidth="1" style="500" min="14" max="14"/>
    <col width="24" customWidth="1" style="500" min="15" max="17"/>
  </cols>
  <sheetData>
    <row r="1" ht="17.25" customHeight="1" s="500">
      <c r="A1" s="532" t="inlineStr">
        <is>
          <t>📊  BALANCES_PQ – Résultat Simulé Power Query · Table Consolidée Toutes Entités · Exercice 2025 (k€)</t>
        </is>
      </c>
      <c r="R1" s="16" t="n"/>
      <c r="S1" s="16" t="n"/>
    </row>
    <row r="2">
      <c r="A2" s="530" t="inlineStr">
        <is>
          <t>ℹ️  Cette table simule le résultat final de la requête Power Query « Consolidation_FromFolder » – Données agrégées par entité, trimestre et catégorie IFRS 18</t>
        </is>
      </c>
      <c r="R2" s="16" t="n"/>
      <c r="S2" s="16" t="n"/>
    </row>
    <row r="3">
      <c r="A3" s="543" t="inlineStr">
        <is>
          <t>Exercice</t>
        </is>
      </c>
      <c r="B3" s="543" t="inlineStr">
        <is>
          <t>Trimestre</t>
        </is>
      </c>
      <c r="C3" s="543" t="inlineStr">
        <is>
          <t>Mois</t>
        </is>
      </c>
      <c r="D3" s="543" t="inlineStr">
        <is>
          <t>EntitéNormalisée</t>
        </is>
      </c>
      <c r="E3" s="543" t="inlineStr">
        <is>
          <t>CodeCompte</t>
        </is>
      </c>
      <c r="F3" s="543" t="inlineStr">
        <is>
          <t>Libellé</t>
        </is>
      </c>
      <c r="G3" s="543" t="inlineStr">
        <is>
          <t>TypeFlux</t>
        </is>
      </c>
      <c r="H3" s="543" t="inlineStr">
        <is>
          <t>CatIFRS18_Finale</t>
        </is>
      </c>
      <c r="I3" s="543" t="inlineStr">
        <is>
          <t>PosteGroupeIFRS18</t>
        </is>
      </c>
      <c r="J3" s="543" t="inlineStr">
        <is>
          <t>SousPosteIFRS18</t>
        </is>
      </c>
      <c r="K3" s="543" t="inlineStr">
        <is>
          <t>NormeRef</t>
        </is>
      </c>
      <c r="L3" s="543" t="inlineStr">
        <is>
          <t>EstIC</t>
        </is>
      </c>
      <c r="M3" s="543" t="inlineStr">
        <is>
          <t>Devise</t>
        </is>
      </c>
      <c r="N3" s="543" t="inlineStr">
        <is>
          <t>TauxEUR</t>
        </is>
      </c>
      <c r="O3" s="543" t="inlineStr">
        <is>
          <t>Montant</t>
        </is>
      </c>
      <c r="P3" s="543" t="inlineStr">
        <is>
          <t>MontantEUR</t>
        </is>
      </c>
      <c r="Q3" s="543" t="inlineStr">
        <is>
          <t>NomFichier</t>
        </is>
      </c>
      <c r="R3" s="16" t="n"/>
      <c r="S3" s="16" t="n"/>
    </row>
    <row r="4">
      <c r="A4" s="82" t="n">
        <v>2025</v>
      </c>
      <c r="B4" s="82" t="inlineStr">
        <is>
          <t>T1-2025</t>
        </is>
      </c>
      <c r="C4" s="82" t="n">
        <v>1</v>
      </c>
      <c r="D4" s="82" t="inlineStr">
        <is>
          <t>FR_ParentCo</t>
        </is>
      </c>
      <c r="E4" s="82" t="n">
        <v>701000</v>
      </c>
      <c r="F4" s="82" t="inlineStr">
        <is>
          <t>Ventes de marchandises</t>
        </is>
      </c>
      <c r="G4" s="82" t="inlineStr">
        <is>
          <t>Crédit</t>
        </is>
      </c>
      <c r="H4" s="82" t="inlineStr">
        <is>
          <t>① Exploitation</t>
        </is>
      </c>
      <c r="I4" s="82" t="inlineStr">
        <is>
          <t>Chiffre d'affaires</t>
        </is>
      </c>
      <c r="J4" s="82" t="inlineStr">
        <is>
          <t>Ventes biens</t>
        </is>
      </c>
      <c r="K4" s="82" t="inlineStr">
        <is>
          <t>IFRS 15</t>
        </is>
      </c>
      <c r="L4" s="82" t="b">
        <v>0</v>
      </c>
      <c r="M4" s="82" t="inlineStr">
        <is>
          <t>EUR</t>
        </is>
      </c>
      <c r="N4" s="82" t="n">
        <v>1</v>
      </c>
      <c r="O4" s="82" t="n">
        <v>12800000</v>
      </c>
      <c r="P4" s="82" t="n">
        <v>12800000</v>
      </c>
      <c r="Q4" s="82" t="inlineStr">
        <is>
          <t>SRC_FR.csv</t>
        </is>
      </c>
      <c r="R4" s="16" t="n"/>
      <c r="S4" s="16" t="n"/>
    </row>
    <row r="5">
      <c r="A5" s="82" t="n">
        <v>2025</v>
      </c>
      <c r="B5" s="82" t="inlineStr">
        <is>
          <t>T1-2025</t>
        </is>
      </c>
      <c r="C5" s="82" t="n">
        <v>2</v>
      </c>
      <c r="D5" s="82" t="inlineStr">
        <is>
          <t>FR_ParentCo</t>
        </is>
      </c>
      <c r="E5" s="82" t="n">
        <v>701000</v>
      </c>
      <c r="F5" s="82" t="inlineStr">
        <is>
          <t>Ventes de marchandises</t>
        </is>
      </c>
      <c r="G5" s="82" t="inlineStr">
        <is>
          <t>Crédit</t>
        </is>
      </c>
      <c r="H5" s="82" t="inlineStr">
        <is>
          <t>① Exploitation</t>
        </is>
      </c>
      <c r="I5" s="82" t="inlineStr">
        <is>
          <t>Chiffre d'affaires</t>
        </is>
      </c>
      <c r="J5" s="82" t="inlineStr">
        <is>
          <t>Ventes biens</t>
        </is>
      </c>
      <c r="K5" s="82" t="inlineStr">
        <is>
          <t>IFRS 15</t>
        </is>
      </c>
      <c r="L5" s="82" t="b">
        <v>0</v>
      </c>
      <c r="M5" s="82" t="inlineStr">
        <is>
          <t>EUR</t>
        </is>
      </c>
      <c r="N5" s="82" t="n">
        <v>1</v>
      </c>
      <c r="O5" s="82" t="n">
        <v>14200000</v>
      </c>
      <c r="P5" s="82" t="n">
        <v>14200000</v>
      </c>
      <c r="Q5" s="82" t="inlineStr">
        <is>
          <t>SRC_FR.csv</t>
        </is>
      </c>
      <c r="R5" s="16" t="n"/>
      <c r="S5" s="16" t="n"/>
    </row>
    <row r="6">
      <c r="A6" s="82" t="n">
        <v>2025</v>
      </c>
      <c r="B6" s="82" t="inlineStr">
        <is>
          <t>T1-2025</t>
        </is>
      </c>
      <c r="C6" s="82" t="n">
        <v>3</v>
      </c>
      <c r="D6" s="82" t="inlineStr">
        <is>
          <t>FR_ParentCo</t>
        </is>
      </c>
      <c r="E6" s="82" t="n">
        <v>701000</v>
      </c>
      <c r="F6" s="82" t="inlineStr">
        <is>
          <t>Ventes de marchandises</t>
        </is>
      </c>
      <c r="G6" s="82" t="inlineStr">
        <is>
          <t>Crédit</t>
        </is>
      </c>
      <c r="H6" s="82" t="inlineStr">
        <is>
          <t>① Exploitation</t>
        </is>
      </c>
      <c r="I6" s="82" t="inlineStr">
        <is>
          <t>Chiffre d'affaires</t>
        </is>
      </c>
      <c r="J6" s="82" t="inlineStr">
        <is>
          <t>Ventes biens</t>
        </is>
      </c>
      <c r="K6" s="82" t="inlineStr">
        <is>
          <t>IFRS 15</t>
        </is>
      </c>
      <c r="L6" s="82" t="b">
        <v>0</v>
      </c>
      <c r="M6" s="82" t="inlineStr">
        <is>
          <t>EUR</t>
        </is>
      </c>
      <c r="N6" s="82" t="n">
        <v>1</v>
      </c>
      <c r="O6" s="82" t="n">
        <v>18500000</v>
      </c>
      <c r="P6" s="82" t="n">
        <v>18500000</v>
      </c>
      <c r="Q6" s="82" t="inlineStr">
        <is>
          <t>SRC_FR.csv</t>
        </is>
      </c>
    </row>
    <row r="7">
      <c r="A7" s="82" t="n">
        <v>2025</v>
      </c>
      <c r="B7" s="82" t="inlineStr">
        <is>
          <t>T2-2025</t>
        </is>
      </c>
      <c r="C7" s="82" t="n">
        <v>4</v>
      </c>
      <c r="D7" s="82" t="inlineStr">
        <is>
          <t>FR_ParentCo</t>
        </is>
      </c>
      <c r="E7" s="82" t="n">
        <v>701000</v>
      </c>
      <c r="F7" s="82" t="inlineStr">
        <is>
          <t>Ventes de marchandises</t>
        </is>
      </c>
      <c r="G7" s="82" t="inlineStr">
        <is>
          <t>Crédit</t>
        </is>
      </c>
      <c r="H7" s="82" t="inlineStr">
        <is>
          <t>① Exploitation</t>
        </is>
      </c>
      <c r="I7" s="82" t="inlineStr">
        <is>
          <t>Chiffre d'affaires</t>
        </is>
      </c>
      <c r="J7" s="82" t="inlineStr">
        <is>
          <t>Ventes biens</t>
        </is>
      </c>
      <c r="K7" s="82" t="inlineStr">
        <is>
          <t>IFRS 15</t>
        </is>
      </c>
      <c r="L7" s="82" t="b">
        <v>0</v>
      </c>
      <c r="M7" s="82" t="inlineStr">
        <is>
          <t>EUR</t>
        </is>
      </c>
      <c r="N7" s="82" t="n">
        <v>1</v>
      </c>
      <c r="O7" s="82" t="n">
        <v>21000000</v>
      </c>
      <c r="P7" s="82" t="n">
        <v>21000000</v>
      </c>
      <c r="Q7" s="82" t="inlineStr">
        <is>
          <t>SRC_FR.csv</t>
        </is>
      </c>
    </row>
    <row r="8">
      <c r="A8" s="82" t="n">
        <v>2025</v>
      </c>
      <c r="B8" s="82" t="inlineStr">
        <is>
          <t>T2-2025</t>
        </is>
      </c>
      <c r="C8" s="82" t="n">
        <v>5</v>
      </c>
      <c r="D8" s="82" t="inlineStr">
        <is>
          <t>FR_ParentCo</t>
        </is>
      </c>
      <c r="E8" s="82" t="n">
        <v>701000</v>
      </c>
      <c r="F8" s="82" t="inlineStr">
        <is>
          <t>Ventes de marchandises</t>
        </is>
      </c>
      <c r="G8" s="82" t="inlineStr">
        <is>
          <t>Crédit</t>
        </is>
      </c>
      <c r="H8" s="82" t="inlineStr">
        <is>
          <t>① Exploitation</t>
        </is>
      </c>
      <c r="I8" s="82" t="inlineStr">
        <is>
          <t>Chiffre d'affaires</t>
        </is>
      </c>
      <c r="J8" s="82" t="inlineStr">
        <is>
          <t>Ventes biens</t>
        </is>
      </c>
      <c r="K8" s="82" t="inlineStr">
        <is>
          <t>IFRS 15</t>
        </is>
      </c>
      <c r="L8" s="82" t="b">
        <v>0</v>
      </c>
      <c r="M8" s="82" t="inlineStr">
        <is>
          <t>EUR</t>
        </is>
      </c>
      <c r="N8" s="82" t="n">
        <v>1</v>
      </c>
      <c r="O8" s="82" t="n">
        <v>19800000</v>
      </c>
      <c r="P8" s="82" t="n">
        <v>19800000</v>
      </c>
      <c r="Q8" s="82" t="inlineStr">
        <is>
          <t>SRC_FR.csv</t>
        </is>
      </c>
    </row>
    <row r="9">
      <c r="A9" s="82" t="n">
        <v>2025</v>
      </c>
      <c r="B9" s="82" t="inlineStr">
        <is>
          <t>T2-2025</t>
        </is>
      </c>
      <c r="C9" s="82" t="n">
        <v>6</v>
      </c>
      <c r="D9" s="82" t="inlineStr">
        <is>
          <t>FR_ParentCo</t>
        </is>
      </c>
      <c r="E9" s="82" t="n">
        <v>701000</v>
      </c>
      <c r="F9" s="82" t="inlineStr">
        <is>
          <t>Ventes de marchandises</t>
        </is>
      </c>
      <c r="G9" s="82" t="inlineStr">
        <is>
          <t>Crédit</t>
        </is>
      </c>
      <c r="H9" s="82" t="inlineStr">
        <is>
          <t>① Exploitation</t>
        </is>
      </c>
      <c r="I9" s="82" t="inlineStr">
        <is>
          <t>Chiffre d'affaires</t>
        </is>
      </c>
      <c r="J9" s="82" t="inlineStr">
        <is>
          <t>Ventes biens</t>
        </is>
      </c>
      <c r="K9" s="82" t="inlineStr">
        <is>
          <t>IFRS 15</t>
        </is>
      </c>
      <c r="L9" s="82" t="b">
        <v>0</v>
      </c>
      <c r="M9" s="82" t="inlineStr">
        <is>
          <t>EUR</t>
        </is>
      </c>
      <c r="N9" s="82" t="n">
        <v>1</v>
      </c>
      <c r="O9" s="82" t="n">
        <v>22500000</v>
      </c>
      <c r="P9" s="82" t="n">
        <v>22500000</v>
      </c>
      <c r="Q9" s="82" t="inlineStr">
        <is>
          <t>SRC_FR.csv</t>
        </is>
      </c>
    </row>
    <row r="10">
      <c r="A10" s="82" t="n">
        <v>2025</v>
      </c>
      <c r="B10" s="82" t="inlineStr">
        <is>
          <t>T3-2025</t>
        </is>
      </c>
      <c r="C10" s="82" t="n">
        <v>7</v>
      </c>
      <c r="D10" s="82" t="inlineStr">
        <is>
          <t>FR_ParentCo</t>
        </is>
      </c>
      <c r="E10" s="82" t="n">
        <v>701000</v>
      </c>
      <c r="F10" s="82" t="inlineStr">
        <is>
          <t>Ventes de marchandises</t>
        </is>
      </c>
      <c r="G10" s="82" t="inlineStr">
        <is>
          <t>Crédit</t>
        </is>
      </c>
      <c r="H10" s="82" t="inlineStr">
        <is>
          <t>① Exploitation</t>
        </is>
      </c>
      <c r="I10" s="82" t="inlineStr">
        <is>
          <t>Chiffre d'affaires</t>
        </is>
      </c>
      <c r="J10" s="82" t="inlineStr">
        <is>
          <t>Ventes biens</t>
        </is>
      </c>
      <c r="K10" s="82" t="inlineStr">
        <is>
          <t>IFRS 15</t>
        </is>
      </c>
      <c r="L10" s="82" t="b">
        <v>0</v>
      </c>
      <c r="M10" s="82" t="inlineStr">
        <is>
          <t>EUR</t>
        </is>
      </c>
      <c r="N10" s="82" t="n">
        <v>1</v>
      </c>
      <c r="O10" s="82" t="n">
        <v>24200000</v>
      </c>
      <c r="P10" s="82" t="n">
        <v>24200000</v>
      </c>
      <c r="Q10" s="82" t="inlineStr">
        <is>
          <t>SRC_FR.csv</t>
        </is>
      </c>
    </row>
    <row r="11">
      <c r="A11" s="82" t="n">
        <v>2025</v>
      </c>
      <c r="B11" s="82" t="inlineStr">
        <is>
          <t>T3-2025</t>
        </is>
      </c>
      <c r="C11" s="82" t="n">
        <v>8</v>
      </c>
      <c r="D11" s="82" t="inlineStr">
        <is>
          <t>FR_ParentCo</t>
        </is>
      </c>
      <c r="E11" s="82" t="n">
        <v>701000</v>
      </c>
      <c r="F11" s="82" t="inlineStr">
        <is>
          <t>Ventes de marchandises</t>
        </is>
      </c>
      <c r="G11" s="82" t="inlineStr">
        <is>
          <t>Crédit</t>
        </is>
      </c>
      <c r="H11" s="82" t="inlineStr">
        <is>
          <t>① Exploitation</t>
        </is>
      </c>
      <c r="I11" s="82" t="inlineStr">
        <is>
          <t>Chiffre d'affaires</t>
        </is>
      </c>
      <c r="J11" s="82" t="inlineStr">
        <is>
          <t>Ventes biens</t>
        </is>
      </c>
      <c r="K11" s="82" t="inlineStr">
        <is>
          <t>IFRS 15</t>
        </is>
      </c>
      <c r="L11" s="82" t="b">
        <v>0</v>
      </c>
      <c r="M11" s="82" t="inlineStr">
        <is>
          <t>EUR</t>
        </is>
      </c>
      <c r="N11" s="82" t="n">
        <v>1</v>
      </c>
      <c r="O11" s="82" t="n">
        <v>28000000</v>
      </c>
      <c r="P11" s="82" t="n">
        <v>28000000</v>
      </c>
      <c r="Q11" s="82" t="inlineStr">
        <is>
          <t>SRC_FR.csv</t>
        </is>
      </c>
    </row>
    <row r="12">
      <c r="A12" s="82" t="n">
        <v>2025</v>
      </c>
      <c r="B12" s="82" t="inlineStr">
        <is>
          <t>T3-2025</t>
        </is>
      </c>
      <c r="C12" s="82" t="n">
        <v>9</v>
      </c>
      <c r="D12" s="82" t="inlineStr">
        <is>
          <t>FR_ParentCo</t>
        </is>
      </c>
      <c r="E12" s="82" t="n">
        <v>701000</v>
      </c>
      <c r="F12" s="82" t="inlineStr">
        <is>
          <t>Ventes de marchandises</t>
        </is>
      </c>
      <c r="G12" s="82" t="inlineStr">
        <is>
          <t>Crédit</t>
        </is>
      </c>
      <c r="H12" s="82" t="inlineStr">
        <is>
          <t>① Exploitation</t>
        </is>
      </c>
      <c r="I12" s="82" t="inlineStr">
        <is>
          <t>Chiffre d'affaires</t>
        </is>
      </c>
      <c r="J12" s="82" t="inlineStr">
        <is>
          <t>Ventes biens</t>
        </is>
      </c>
      <c r="K12" s="82" t="inlineStr">
        <is>
          <t>IFRS 15</t>
        </is>
      </c>
      <c r="L12" s="82" t="b">
        <v>0</v>
      </c>
      <c r="M12" s="82" t="inlineStr">
        <is>
          <t>EUR</t>
        </is>
      </c>
      <c r="N12" s="82" t="n">
        <v>1</v>
      </c>
      <c r="O12" s="82" t="n">
        <v>26500000</v>
      </c>
      <c r="P12" s="82" t="n">
        <v>26500000</v>
      </c>
      <c r="Q12" s="82" t="inlineStr">
        <is>
          <t>SRC_FR.csv</t>
        </is>
      </c>
    </row>
    <row r="13">
      <c r="A13" s="82" t="n">
        <v>2025</v>
      </c>
      <c r="B13" s="82" t="inlineStr">
        <is>
          <t>T4-2025</t>
        </is>
      </c>
      <c r="C13" s="82" t="n">
        <v>10</v>
      </c>
      <c r="D13" s="82" t="inlineStr">
        <is>
          <t>FR_ParentCo</t>
        </is>
      </c>
      <c r="E13" s="82" t="n">
        <v>701000</v>
      </c>
      <c r="F13" s="82" t="inlineStr">
        <is>
          <t>Ventes de marchandises</t>
        </is>
      </c>
      <c r="G13" s="82" t="inlineStr">
        <is>
          <t>Crédit</t>
        </is>
      </c>
      <c r="H13" s="82" t="inlineStr">
        <is>
          <t>① Exploitation</t>
        </is>
      </c>
      <c r="I13" s="82" t="inlineStr">
        <is>
          <t>Chiffre d'affaires</t>
        </is>
      </c>
      <c r="J13" s="82" t="inlineStr">
        <is>
          <t>Ventes biens</t>
        </is>
      </c>
      <c r="K13" s="82" t="inlineStr">
        <is>
          <t>IFRS 15</t>
        </is>
      </c>
      <c r="L13" s="82" t="b">
        <v>0</v>
      </c>
      <c r="M13" s="82" t="inlineStr">
        <is>
          <t>EUR</t>
        </is>
      </c>
      <c r="N13" s="82" t="n">
        <v>1</v>
      </c>
      <c r="O13" s="82" t="n">
        <v>30500000</v>
      </c>
      <c r="P13" s="82" t="n">
        <v>30500000</v>
      </c>
      <c r="Q13" s="82" t="inlineStr">
        <is>
          <t>SRC_FR.csv</t>
        </is>
      </c>
    </row>
    <row r="14">
      <c r="A14" s="82" t="n">
        <v>2025</v>
      </c>
      <c r="B14" s="82" t="inlineStr">
        <is>
          <t>T4-2025</t>
        </is>
      </c>
      <c r="C14" s="82" t="n">
        <v>11</v>
      </c>
      <c r="D14" s="82" t="inlineStr">
        <is>
          <t>FR_ParentCo</t>
        </is>
      </c>
      <c r="E14" s="82" t="n">
        <v>701000</v>
      </c>
      <c r="F14" s="82" t="inlineStr">
        <is>
          <t>Ventes de marchandises</t>
        </is>
      </c>
      <c r="G14" s="82" t="inlineStr">
        <is>
          <t>Crédit</t>
        </is>
      </c>
      <c r="H14" s="82" t="inlineStr">
        <is>
          <t>① Exploitation</t>
        </is>
      </c>
      <c r="I14" s="82" t="inlineStr">
        <is>
          <t>Chiffre d'affaires</t>
        </is>
      </c>
      <c r="J14" s="82" t="inlineStr">
        <is>
          <t>Ventes biens</t>
        </is>
      </c>
      <c r="K14" s="82" t="inlineStr">
        <is>
          <t>IFRS 15</t>
        </is>
      </c>
      <c r="L14" s="82" t="b">
        <v>0</v>
      </c>
      <c r="M14" s="82" t="inlineStr">
        <is>
          <t>EUR</t>
        </is>
      </c>
      <c r="N14" s="82" t="n">
        <v>1</v>
      </c>
      <c r="O14" s="82" t="n">
        <v>34000000</v>
      </c>
      <c r="P14" s="82" t="n">
        <v>34000000</v>
      </c>
      <c r="Q14" s="82" t="inlineStr">
        <is>
          <t>SRC_FR.csv</t>
        </is>
      </c>
    </row>
    <row r="15">
      <c r="A15" s="82" t="n">
        <v>2025</v>
      </c>
      <c r="B15" s="82" t="inlineStr">
        <is>
          <t>T4-2025</t>
        </is>
      </c>
      <c r="C15" s="82" t="n">
        <v>12</v>
      </c>
      <c r="D15" s="82" t="inlineStr">
        <is>
          <t>FR_ParentCo</t>
        </is>
      </c>
      <c r="E15" s="82" t="n">
        <v>701000</v>
      </c>
      <c r="F15" s="82" t="inlineStr">
        <is>
          <t>Ventes de marchandises</t>
        </is>
      </c>
      <c r="G15" s="82" t="inlineStr">
        <is>
          <t>Crédit</t>
        </is>
      </c>
      <c r="H15" s="82" t="inlineStr">
        <is>
          <t>① Exploitation</t>
        </is>
      </c>
      <c r="I15" s="82" t="inlineStr">
        <is>
          <t>Chiffre d'affaires</t>
        </is>
      </c>
      <c r="J15" s="82" t="inlineStr">
        <is>
          <t>Ventes biens</t>
        </is>
      </c>
      <c r="K15" s="82" t="inlineStr">
        <is>
          <t>IFRS 15</t>
        </is>
      </c>
      <c r="L15" s="82" t="b">
        <v>0</v>
      </c>
      <c r="M15" s="82" t="inlineStr">
        <is>
          <t>EUR</t>
        </is>
      </c>
      <c r="N15" s="82" t="n">
        <v>1</v>
      </c>
      <c r="O15" s="82" t="n">
        <v>33000000</v>
      </c>
      <c r="P15" s="82" t="n">
        <v>33000000</v>
      </c>
      <c r="Q15" s="82" t="inlineStr">
        <is>
          <t>SRC_FR.csv</t>
        </is>
      </c>
    </row>
    <row r="16">
      <c r="A16" s="26" t="n">
        <v>2025</v>
      </c>
      <c r="B16" s="26" t="inlineStr">
        <is>
          <t>T1-2025</t>
        </is>
      </c>
      <c r="C16" s="26" t="n">
        <v>3</v>
      </c>
      <c r="D16" s="26" t="inlineStr">
        <is>
          <t>FR_ParentCo</t>
        </is>
      </c>
      <c r="E16" s="26" t="n">
        <v>708500</v>
      </c>
      <c r="F16" s="26" t="inlineStr">
        <is>
          <t>Refacturations interco</t>
        </is>
      </c>
      <c r="G16" s="26" t="inlineStr">
        <is>
          <t>Crédit</t>
        </is>
      </c>
      <c r="H16" s="26" t="inlineStr">
        <is>
          <t>⚠️ Élimination IC</t>
        </is>
      </c>
      <c r="I16" s="26" t="inlineStr">
        <is>
          <t>Élimination IC</t>
        </is>
      </c>
      <c r="J16" s="26" t="inlineStr">
        <is>
          <t>Interco - à éliminer</t>
        </is>
      </c>
      <c r="K16" s="26" t="inlineStr">
        <is>
          <t>IFRS 10</t>
        </is>
      </c>
      <c r="L16" s="93" t="b">
        <v>1</v>
      </c>
      <c r="M16" s="26" t="inlineStr">
        <is>
          <t>EUR</t>
        </is>
      </c>
      <c r="N16" s="26" t="n">
        <v>1</v>
      </c>
      <c r="O16" s="26" t="n">
        <v>4200000</v>
      </c>
      <c r="P16" s="26" t="n">
        <v>4200000</v>
      </c>
      <c r="Q16" s="26" t="inlineStr">
        <is>
          <t>SRC_FR.csv</t>
        </is>
      </c>
    </row>
    <row r="17">
      <c r="A17" s="26" t="n">
        <v>2025</v>
      </c>
      <c r="B17" s="26" t="inlineStr">
        <is>
          <t>T2-2025</t>
        </is>
      </c>
      <c r="C17" s="26" t="n">
        <v>6</v>
      </c>
      <c r="D17" s="26" t="inlineStr">
        <is>
          <t>FR_ParentCo</t>
        </is>
      </c>
      <c r="E17" s="26" t="n">
        <v>708500</v>
      </c>
      <c r="F17" s="26" t="inlineStr">
        <is>
          <t>Refacturations interco</t>
        </is>
      </c>
      <c r="G17" s="26" t="inlineStr">
        <is>
          <t>Crédit</t>
        </is>
      </c>
      <c r="H17" s="26" t="inlineStr">
        <is>
          <t>⚠️ Élimination IC</t>
        </is>
      </c>
      <c r="I17" s="26" t="inlineStr">
        <is>
          <t>Élimination IC</t>
        </is>
      </c>
      <c r="J17" s="26" t="inlineStr">
        <is>
          <t>Interco - à éliminer</t>
        </is>
      </c>
      <c r="K17" s="26" t="inlineStr">
        <is>
          <t>IFRS 10</t>
        </is>
      </c>
      <c r="L17" s="93" t="b">
        <v>1</v>
      </c>
      <c r="M17" s="26" t="inlineStr">
        <is>
          <t>EUR</t>
        </is>
      </c>
      <c r="N17" s="26" t="n">
        <v>1</v>
      </c>
      <c r="O17" s="26" t="n">
        <v>4500000</v>
      </c>
      <c r="P17" s="26" t="n">
        <v>4500000</v>
      </c>
      <c r="Q17" s="26" t="inlineStr">
        <is>
          <t>SRC_FR.csv</t>
        </is>
      </c>
    </row>
    <row r="18">
      <c r="A18" s="26" t="n">
        <v>2025</v>
      </c>
      <c r="B18" s="26" t="inlineStr">
        <is>
          <t>T3-2025</t>
        </is>
      </c>
      <c r="C18" s="26" t="n">
        <v>9</v>
      </c>
      <c r="D18" s="26" t="inlineStr">
        <is>
          <t>FR_ParentCo</t>
        </is>
      </c>
      <c r="E18" s="26" t="n">
        <v>708500</v>
      </c>
      <c r="F18" s="26" t="inlineStr">
        <is>
          <t>Refacturations interco</t>
        </is>
      </c>
      <c r="G18" s="26" t="inlineStr">
        <is>
          <t>Crédit</t>
        </is>
      </c>
      <c r="H18" s="26" t="inlineStr">
        <is>
          <t>⚠️ Élimination IC</t>
        </is>
      </c>
      <c r="I18" s="26" t="inlineStr">
        <is>
          <t>Élimination IC</t>
        </is>
      </c>
      <c r="J18" s="26" t="inlineStr">
        <is>
          <t>Interco - à éliminer</t>
        </is>
      </c>
      <c r="K18" s="26" t="inlineStr">
        <is>
          <t>IFRS 10</t>
        </is>
      </c>
      <c r="L18" s="93" t="b">
        <v>1</v>
      </c>
      <c r="M18" s="26" t="inlineStr">
        <is>
          <t>EUR</t>
        </is>
      </c>
      <c r="N18" s="26" t="n">
        <v>1</v>
      </c>
      <c r="O18" s="26" t="n">
        <v>5000000</v>
      </c>
      <c r="P18" s="26" t="n">
        <v>5000000</v>
      </c>
      <c r="Q18" s="26" t="inlineStr">
        <is>
          <t>SRC_FR.csv</t>
        </is>
      </c>
    </row>
    <row r="19">
      <c r="A19" s="26" t="n">
        <v>2025</v>
      </c>
      <c r="B19" s="26" t="inlineStr">
        <is>
          <t>T4-2025</t>
        </is>
      </c>
      <c r="C19" s="26" t="n">
        <v>12</v>
      </c>
      <c r="D19" s="26" t="inlineStr">
        <is>
          <t>FR_ParentCo</t>
        </is>
      </c>
      <c r="E19" s="26" t="n">
        <v>708500</v>
      </c>
      <c r="F19" s="26" t="inlineStr">
        <is>
          <t>Refacturations interco</t>
        </is>
      </c>
      <c r="G19" s="26" t="inlineStr">
        <is>
          <t>Crédit</t>
        </is>
      </c>
      <c r="H19" s="26" t="inlineStr">
        <is>
          <t>⚠️ Élimination IC</t>
        </is>
      </c>
      <c r="I19" s="26" t="inlineStr">
        <is>
          <t>Élimination IC</t>
        </is>
      </c>
      <c r="J19" s="26" t="inlineStr">
        <is>
          <t>Interco - à éliminer</t>
        </is>
      </c>
      <c r="K19" s="26" t="inlineStr">
        <is>
          <t>IFRS 10</t>
        </is>
      </c>
      <c r="L19" s="93" t="b">
        <v>1</v>
      </c>
      <c r="M19" s="26" t="inlineStr">
        <is>
          <t>EUR</t>
        </is>
      </c>
      <c r="N19" s="26" t="n">
        <v>1</v>
      </c>
      <c r="O19" s="26" t="n">
        <v>4800000</v>
      </c>
      <c r="P19" s="26" t="n">
        <v>4800000</v>
      </c>
      <c r="Q19" s="26" t="inlineStr">
        <is>
          <t>SRC_FR.csv</t>
        </is>
      </c>
    </row>
    <row r="20">
      <c r="A20" s="82" t="n">
        <v>2025</v>
      </c>
      <c r="B20" s="82" t="inlineStr">
        <is>
          <t>T2-2025</t>
        </is>
      </c>
      <c r="C20" s="82" t="n">
        <v>6</v>
      </c>
      <c r="D20" s="82" t="inlineStr">
        <is>
          <t>FR_ParentCo</t>
        </is>
      </c>
      <c r="E20" s="82" t="n">
        <v>601000</v>
      </c>
      <c r="F20" s="82" t="inlineStr">
        <is>
          <t>Achats de marchandises</t>
        </is>
      </c>
      <c r="G20" s="82" t="inlineStr">
        <is>
          <t>Débit</t>
        </is>
      </c>
      <c r="H20" s="82" t="inlineStr">
        <is>
          <t>① Exploitation</t>
        </is>
      </c>
      <c r="I20" s="82" t="inlineStr">
        <is>
          <t>Achats et charges externes</t>
        </is>
      </c>
      <c r="J20" s="82" t="inlineStr">
        <is>
          <t>Coût des ventes</t>
        </is>
      </c>
      <c r="K20" s="82" t="inlineStr">
        <is>
          <t>IAS 2</t>
        </is>
      </c>
      <c r="L20" s="82" t="b">
        <v>0</v>
      </c>
      <c r="M20" s="82" t="inlineStr">
        <is>
          <t>EUR</t>
        </is>
      </c>
      <c r="N20" s="82" t="n">
        <v>1</v>
      </c>
      <c r="O20" s="82" t="n">
        <v>-38500000</v>
      </c>
      <c r="P20" s="82" t="n">
        <v>-38500000</v>
      </c>
      <c r="Q20" s="82" t="inlineStr">
        <is>
          <t>SRC_FR.csv</t>
        </is>
      </c>
    </row>
    <row r="21">
      <c r="A21" s="82" t="n">
        <v>2025</v>
      </c>
      <c r="B21" s="82" t="inlineStr">
        <is>
          <t>T4-2025</t>
        </is>
      </c>
      <c r="C21" s="82" t="n">
        <v>12</v>
      </c>
      <c r="D21" s="82" t="inlineStr">
        <is>
          <t>FR_ParentCo</t>
        </is>
      </c>
      <c r="E21" s="82" t="n">
        <v>601000</v>
      </c>
      <c r="F21" s="82" t="inlineStr">
        <is>
          <t>Achats de marchandises</t>
        </is>
      </c>
      <c r="G21" s="82" t="inlineStr">
        <is>
          <t>Débit</t>
        </is>
      </c>
      <c r="H21" s="82" t="inlineStr">
        <is>
          <t>① Exploitation</t>
        </is>
      </c>
      <c r="I21" s="82" t="inlineStr">
        <is>
          <t>Achats et charges externes</t>
        </is>
      </c>
      <c r="J21" s="82" t="inlineStr">
        <is>
          <t>Coût des ventes</t>
        </is>
      </c>
      <c r="K21" s="82" t="inlineStr">
        <is>
          <t>IAS 2</t>
        </is>
      </c>
      <c r="L21" s="82" t="b">
        <v>0</v>
      </c>
      <c r="M21" s="82" t="inlineStr">
        <is>
          <t>EUR</t>
        </is>
      </c>
      <c r="N21" s="82" t="n">
        <v>1</v>
      </c>
      <c r="O21" s="82" t="n">
        <v>-40200000</v>
      </c>
      <c r="P21" s="82" t="n">
        <v>-40200000</v>
      </c>
      <c r="Q21" s="82" t="inlineStr">
        <is>
          <t>SRC_FR.csv</t>
        </is>
      </c>
    </row>
    <row r="22">
      <c r="A22" s="82" t="n">
        <v>2025</v>
      </c>
      <c r="B22" s="82" t="inlineStr">
        <is>
          <t>T2-2025</t>
        </is>
      </c>
      <c r="C22" s="82" t="n">
        <v>6</v>
      </c>
      <c r="D22" s="82" t="inlineStr">
        <is>
          <t>FR_ParentCo</t>
        </is>
      </c>
      <c r="E22" s="82" t="n">
        <v>631000</v>
      </c>
      <c r="F22" s="82" t="inlineStr">
        <is>
          <t>Charges de personnel</t>
        </is>
      </c>
      <c r="G22" s="82" t="inlineStr">
        <is>
          <t>Débit</t>
        </is>
      </c>
      <c r="H22" s="82" t="inlineStr">
        <is>
          <t>① Exploitation</t>
        </is>
      </c>
      <c r="I22" s="82" t="inlineStr">
        <is>
          <t>Charges de personnel</t>
        </is>
      </c>
      <c r="J22" s="82" t="inlineStr">
        <is>
          <t>Personnel total</t>
        </is>
      </c>
      <c r="K22" s="82" t="inlineStr">
        <is>
          <t>IAS 19</t>
        </is>
      </c>
      <c r="L22" s="82" t="b">
        <v>0</v>
      </c>
      <c r="M22" s="82" t="inlineStr">
        <is>
          <t>EUR</t>
        </is>
      </c>
      <c r="N22" s="82" t="n">
        <v>1</v>
      </c>
      <c r="O22" s="82" t="n">
        <v>-32500000</v>
      </c>
      <c r="P22" s="82" t="n">
        <v>-32500000</v>
      </c>
      <c r="Q22" s="82" t="inlineStr">
        <is>
          <t>SRC_FR.csv</t>
        </is>
      </c>
    </row>
    <row r="23">
      <c r="A23" s="82" t="n">
        <v>2025</v>
      </c>
      <c r="B23" s="82" t="inlineStr">
        <is>
          <t>T4-2025</t>
        </is>
      </c>
      <c r="C23" s="82" t="n">
        <v>12</v>
      </c>
      <c r="D23" s="82" t="inlineStr">
        <is>
          <t>FR_ParentCo</t>
        </is>
      </c>
      <c r="E23" s="82" t="n">
        <v>631000</v>
      </c>
      <c r="F23" s="82" t="inlineStr">
        <is>
          <t>Charges de personnel</t>
        </is>
      </c>
      <c r="G23" s="82" t="inlineStr">
        <is>
          <t>Débit</t>
        </is>
      </c>
      <c r="H23" s="82" t="inlineStr">
        <is>
          <t>① Exploitation</t>
        </is>
      </c>
      <c r="I23" s="82" t="inlineStr">
        <is>
          <t>Charges de personnel</t>
        </is>
      </c>
      <c r="J23" s="82" t="inlineStr">
        <is>
          <t>Personnel total</t>
        </is>
      </c>
      <c r="K23" s="82" t="inlineStr">
        <is>
          <t>IAS 19</t>
        </is>
      </c>
      <c r="L23" s="82" t="b">
        <v>0</v>
      </c>
      <c r="M23" s="82" t="inlineStr">
        <is>
          <t>EUR</t>
        </is>
      </c>
      <c r="N23" s="82" t="n">
        <v>1</v>
      </c>
      <c r="O23" s="82" t="n">
        <v>-34200000</v>
      </c>
      <c r="P23" s="82" t="n">
        <v>-34200000</v>
      </c>
      <c r="Q23" s="82" t="inlineStr">
        <is>
          <t>SRC_FR.csv</t>
        </is>
      </c>
    </row>
    <row r="24">
      <c r="A24" s="82" t="n">
        <v>2025</v>
      </c>
      <c r="B24" s="82" t="inlineStr">
        <is>
          <t>T2-2025</t>
        </is>
      </c>
      <c r="C24" s="82" t="n">
        <v>6</v>
      </c>
      <c r="D24" s="82" t="inlineStr">
        <is>
          <t>FR_ParentCo</t>
        </is>
      </c>
      <c r="E24" s="82" t="n">
        <v>681100</v>
      </c>
      <c r="F24" s="82" t="inlineStr">
        <is>
          <t>Amortissement PP&amp;E</t>
        </is>
      </c>
      <c r="G24" s="82" t="inlineStr">
        <is>
          <t>Débit</t>
        </is>
      </c>
      <c r="H24" s="82" t="inlineStr">
        <is>
          <t>① Exploitation</t>
        </is>
      </c>
      <c r="I24" s="82" t="inlineStr">
        <is>
          <t>Amortissements &amp; dépréciations</t>
        </is>
      </c>
      <c r="J24" s="82" t="inlineStr">
        <is>
          <t>Amort. PP&amp;E</t>
        </is>
      </c>
      <c r="K24" s="82" t="inlineStr">
        <is>
          <t>IAS 16</t>
        </is>
      </c>
      <c r="L24" s="82" t="b">
        <v>0</v>
      </c>
      <c r="M24" s="82" t="inlineStr">
        <is>
          <t>EUR</t>
        </is>
      </c>
      <c r="N24" s="82" t="n">
        <v>1</v>
      </c>
      <c r="O24" s="82" t="n">
        <v>-10200000</v>
      </c>
      <c r="P24" s="82" t="n">
        <v>-10200000</v>
      </c>
      <c r="Q24" s="82" t="inlineStr">
        <is>
          <t>SRC_FR.csv</t>
        </is>
      </c>
    </row>
    <row r="25">
      <c r="A25" s="82" t="n">
        <v>2025</v>
      </c>
      <c r="B25" s="82" t="inlineStr">
        <is>
          <t>T4-2025</t>
        </is>
      </c>
      <c r="C25" s="82" t="n">
        <v>12</v>
      </c>
      <c r="D25" s="82" t="inlineStr">
        <is>
          <t>FR_ParentCo</t>
        </is>
      </c>
      <c r="E25" s="82" t="n">
        <v>681100</v>
      </c>
      <c r="F25" s="82" t="inlineStr">
        <is>
          <t>Amortissement PP&amp;E</t>
        </is>
      </c>
      <c r="G25" s="82" t="inlineStr">
        <is>
          <t>Débit</t>
        </is>
      </c>
      <c r="H25" s="82" t="inlineStr">
        <is>
          <t>① Exploitation</t>
        </is>
      </c>
      <c r="I25" s="82" t="inlineStr">
        <is>
          <t>Amortissements &amp; dépréciations</t>
        </is>
      </c>
      <c r="J25" s="82" t="inlineStr">
        <is>
          <t>Amort. PP&amp;E</t>
        </is>
      </c>
      <c r="K25" s="82" t="inlineStr">
        <is>
          <t>IAS 16</t>
        </is>
      </c>
      <c r="L25" s="82" t="b">
        <v>0</v>
      </c>
      <c r="M25" s="82" t="inlineStr">
        <is>
          <t>EUR</t>
        </is>
      </c>
      <c r="N25" s="82" t="n">
        <v>1</v>
      </c>
      <c r="O25" s="82" t="n">
        <v>-11800000</v>
      </c>
      <c r="P25" s="82" t="n">
        <v>-11800000</v>
      </c>
      <c r="Q25" s="82" t="inlineStr">
        <is>
          <t>SRC_FR.csv</t>
        </is>
      </c>
    </row>
    <row r="26">
      <c r="A26" s="52" t="n">
        <v>2025</v>
      </c>
      <c r="B26" s="52" t="inlineStr">
        <is>
          <t>T4-2025</t>
        </is>
      </c>
      <c r="C26" s="52" t="n">
        <v>12</v>
      </c>
      <c r="D26" s="52" t="inlineStr">
        <is>
          <t>FR_ParentCo</t>
        </is>
      </c>
      <c r="E26" s="52" t="n">
        <v>761000</v>
      </c>
      <c r="F26" s="52" t="inlineStr">
        <is>
          <t>Dividendes reçus filiales</t>
        </is>
      </c>
      <c r="G26" s="52" t="inlineStr">
        <is>
          <t>Crédit</t>
        </is>
      </c>
      <c r="H26" s="52" t="inlineStr">
        <is>
          <t>② Investissement</t>
        </is>
      </c>
      <c r="I26" s="52" t="inlineStr">
        <is>
          <t>Résultat investissement</t>
        </is>
      </c>
      <c r="J26" s="52" t="inlineStr">
        <is>
          <t>Dividendes reçus</t>
        </is>
      </c>
      <c r="K26" s="52" t="inlineStr">
        <is>
          <t>IFRS 18 §68</t>
        </is>
      </c>
      <c r="L26" s="93" t="b">
        <v>1</v>
      </c>
      <c r="M26" s="52" t="inlineStr">
        <is>
          <t>EUR</t>
        </is>
      </c>
      <c r="N26" s="52" t="n">
        <v>1</v>
      </c>
      <c r="O26" s="52" t="n">
        <v>4200000</v>
      </c>
      <c r="P26" s="52" t="n">
        <v>4200000</v>
      </c>
      <c r="Q26" s="52" t="inlineStr">
        <is>
          <t>SRC_FR.csv</t>
        </is>
      </c>
    </row>
    <row r="27">
      <c r="A27" s="52" t="n">
        <v>2025</v>
      </c>
      <c r="B27" s="52" t="inlineStr">
        <is>
          <t>T3-2025</t>
        </is>
      </c>
      <c r="C27" s="52" t="n">
        <v>9</v>
      </c>
      <c r="D27" s="52" t="inlineStr">
        <is>
          <t>FR_ParentCo</t>
        </is>
      </c>
      <c r="E27" s="52" t="n">
        <v>762000</v>
      </c>
      <c r="F27" s="52" t="inlineStr">
        <is>
          <t>Produits cessions actifs</t>
        </is>
      </c>
      <c r="G27" s="52" t="inlineStr">
        <is>
          <t>Crédit</t>
        </is>
      </c>
      <c r="H27" s="52" t="inlineStr">
        <is>
          <t>② Investissement</t>
        </is>
      </c>
      <c r="I27" s="52" t="inlineStr">
        <is>
          <t>Résultat investissement</t>
        </is>
      </c>
      <c r="J27" s="52" t="inlineStr">
        <is>
          <t>Plus-values cessions</t>
        </is>
      </c>
      <c r="K27" s="52" t="inlineStr">
        <is>
          <t>IFRS 18 §68</t>
        </is>
      </c>
      <c r="L27" s="52" t="b">
        <v>0</v>
      </c>
      <c r="M27" s="52" t="inlineStr">
        <is>
          <t>EUR</t>
        </is>
      </c>
      <c r="N27" s="52" t="n">
        <v>1</v>
      </c>
      <c r="O27" s="52" t="n">
        <v>1500000</v>
      </c>
      <c r="P27" s="52" t="n">
        <v>1500000</v>
      </c>
      <c r="Q27" s="52" t="inlineStr">
        <is>
          <t>SRC_FR.csv</t>
        </is>
      </c>
    </row>
    <row r="28">
      <c r="A28" s="52" t="n">
        <v>2025</v>
      </c>
      <c r="B28" s="52" t="inlineStr">
        <is>
          <t>T4-2025</t>
        </is>
      </c>
      <c r="C28" s="52" t="n">
        <v>12</v>
      </c>
      <c r="D28" s="52" t="inlineStr">
        <is>
          <t>FR_ParentCo</t>
        </is>
      </c>
      <c r="E28" s="52" t="n">
        <v>764000</v>
      </c>
      <c r="F28" s="52" t="inlineStr">
        <is>
          <t>Revenus placements CT</t>
        </is>
      </c>
      <c r="G28" s="52" t="inlineStr">
        <is>
          <t>Crédit</t>
        </is>
      </c>
      <c r="H28" s="52" t="inlineStr">
        <is>
          <t>② Investissement</t>
        </is>
      </c>
      <c r="I28" s="52" t="inlineStr">
        <is>
          <t>Résultat investissement</t>
        </is>
      </c>
      <c r="J28" s="52" t="inlineStr">
        <is>
          <t>Produits financiers</t>
        </is>
      </c>
      <c r="K28" s="52" t="inlineStr">
        <is>
          <t>IFRS 18 §68</t>
        </is>
      </c>
      <c r="L28" s="52" t="b">
        <v>0</v>
      </c>
      <c r="M28" s="52" t="inlineStr">
        <is>
          <t>EUR</t>
        </is>
      </c>
      <c r="N28" s="52" t="n">
        <v>1</v>
      </c>
      <c r="O28" s="52" t="n">
        <v>890000</v>
      </c>
      <c r="P28" s="52" t="n">
        <v>890000</v>
      </c>
      <c r="Q28" s="52" t="inlineStr">
        <is>
          <t>SRC_FR.csv</t>
        </is>
      </c>
    </row>
    <row r="29">
      <c r="A29" s="83" t="n">
        <v>2025</v>
      </c>
      <c r="B29" s="83" t="inlineStr">
        <is>
          <t>T2-2025</t>
        </is>
      </c>
      <c r="C29" s="83" t="n">
        <v>6</v>
      </c>
      <c r="D29" s="83" t="inlineStr">
        <is>
          <t>FR_ParentCo</t>
        </is>
      </c>
      <c r="E29" s="83" t="n">
        <v>661100</v>
      </c>
      <c r="F29" s="83" t="inlineStr">
        <is>
          <t>Charges d'intérêts emprunts</t>
        </is>
      </c>
      <c r="G29" s="83" t="inlineStr">
        <is>
          <t>Débit</t>
        </is>
      </c>
      <c r="H29" s="83" t="inlineStr">
        <is>
          <t>③ Financement</t>
        </is>
      </c>
      <c r="I29" s="83" t="inlineStr">
        <is>
          <t>Résultat financement</t>
        </is>
      </c>
      <c r="J29" s="83" t="inlineStr">
        <is>
          <t>Charges d'intérêts</t>
        </is>
      </c>
      <c r="K29" s="83" t="inlineStr">
        <is>
          <t>IFRS 18 §72</t>
        </is>
      </c>
      <c r="L29" s="83" t="b">
        <v>0</v>
      </c>
      <c r="M29" s="83" t="inlineStr">
        <is>
          <t>EUR</t>
        </is>
      </c>
      <c r="N29" s="83" t="n">
        <v>1</v>
      </c>
      <c r="O29" s="83" t="n">
        <v>-4200000</v>
      </c>
      <c r="P29" s="83" t="n">
        <v>-4200000</v>
      </c>
      <c r="Q29" s="83" t="inlineStr">
        <is>
          <t>SRC_FR.csv</t>
        </is>
      </c>
    </row>
    <row r="30">
      <c r="A30" s="83" t="n">
        <v>2025</v>
      </c>
      <c r="B30" s="83" t="inlineStr">
        <is>
          <t>T4-2025</t>
        </is>
      </c>
      <c r="C30" s="83" t="n">
        <v>12</v>
      </c>
      <c r="D30" s="83" t="inlineStr">
        <is>
          <t>FR_ParentCo</t>
        </is>
      </c>
      <c r="E30" s="83" t="n">
        <v>661100</v>
      </c>
      <c r="F30" s="83" t="inlineStr">
        <is>
          <t>Charges d'intérêts emprunts</t>
        </is>
      </c>
      <c r="G30" s="83" t="inlineStr">
        <is>
          <t>Débit</t>
        </is>
      </c>
      <c r="H30" s="83" t="inlineStr">
        <is>
          <t>③ Financement</t>
        </is>
      </c>
      <c r="I30" s="83" t="inlineStr">
        <is>
          <t>Résultat financement</t>
        </is>
      </c>
      <c r="J30" s="83" t="inlineStr">
        <is>
          <t>Charges d'intérêts</t>
        </is>
      </c>
      <c r="K30" s="83" t="inlineStr">
        <is>
          <t>IFRS 18 §72</t>
        </is>
      </c>
      <c r="L30" s="83" t="b">
        <v>0</v>
      </c>
      <c r="M30" s="83" t="inlineStr">
        <is>
          <t>EUR</t>
        </is>
      </c>
      <c r="N30" s="83" t="n">
        <v>1</v>
      </c>
      <c r="O30" s="83" t="n">
        <v>-4000000</v>
      </c>
      <c r="P30" s="83" t="n">
        <v>-4000000</v>
      </c>
      <c r="Q30" s="83" t="inlineStr">
        <is>
          <t>SRC_FR.csv</t>
        </is>
      </c>
    </row>
    <row r="31">
      <c r="A31" s="84" t="n">
        <v>2025</v>
      </c>
      <c r="B31" s="84" t="inlineStr">
        <is>
          <t>T4-2025</t>
        </is>
      </c>
      <c r="C31" s="84" t="n">
        <v>12</v>
      </c>
      <c r="D31" s="84" t="inlineStr">
        <is>
          <t>FR_ParentCo</t>
        </is>
      </c>
      <c r="E31" s="84" t="n">
        <v>695000</v>
      </c>
      <c r="F31" s="84" t="inlineStr">
        <is>
          <t>Charge IS courant</t>
        </is>
      </c>
      <c r="G31" s="84" t="inlineStr">
        <is>
          <t>Débit</t>
        </is>
      </c>
      <c r="H31" s="84" t="inlineStr">
        <is>
          <t>④ Impôts</t>
        </is>
      </c>
      <c r="I31" s="84" t="inlineStr">
        <is>
          <t>Impôts sur les résultats</t>
        </is>
      </c>
      <c r="J31" s="84" t="inlineStr">
        <is>
          <t>IS courant</t>
        </is>
      </c>
      <c r="K31" s="84" t="inlineStr">
        <is>
          <t>IAS 12</t>
        </is>
      </c>
      <c r="L31" s="84" t="b">
        <v>0</v>
      </c>
      <c r="M31" s="84" t="inlineStr">
        <is>
          <t>EUR</t>
        </is>
      </c>
      <c r="N31" s="84" t="n">
        <v>1</v>
      </c>
      <c r="O31" s="84" t="n">
        <v>-12400000</v>
      </c>
      <c r="P31" s="84" t="n">
        <v>-12400000</v>
      </c>
      <c r="Q31" s="84" t="inlineStr">
        <is>
          <t>SRC_FR.csv</t>
        </is>
      </c>
    </row>
    <row r="32">
      <c r="A32" s="82" t="n">
        <v>2025</v>
      </c>
      <c r="B32" s="82" t="inlineStr">
        <is>
          <t>T2-2025</t>
        </is>
      </c>
      <c r="C32" s="82" t="n">
        <v>6</v>
      </c>
      <c r="D32" s="82" t="inlineStr">
        <is>
          <t>DE_Filiale</t>
        </is>
      </c>
      <c r="E32" s="82" t="n">
        <v>701000</v>
      </c>
      <c r="F32" s="82" t="inlineStr">
        <is>
          <t>Umsatzerlöse Waren</t>
        </is>
      </c>
      <c r="G32" s="82" t="inlineStr">
        <is>
          <t>Crédit</t>
        </is>
      </c>
      <c r="H32" s="82" t="inlineStr">
        <is>
          <t>① Exploitation</t>
        </is>
      </c>
      <c r="I32" s="82" t="inlineStr">
        <is>
          <t>Chiffre d'affaires</t>
        </is>
      </c>
      <c r="J32" s="82" t="inlineStr">
        <is>
          <t>Ventes biens</t>
        </is>
      </c>
      <c r="K32" s="82" t="inlineStr">
        <is>
          <t>IFRS 15</t>
        </is>
      </c>
      <c r="L32" s="82" t="b">
        <v>0</v>
      </c>
      <c r="M32" s="82" t="inlineStr">
        <is>
          <t>EUR</t>
        </is>
      </c>
      <c r="N32" s="82" t="n">
        <v>1</v>
      </c>
      <c r="O32" s="82" t="n">
        <v>42000000</v>
      </c>
      <c r="P32" s="82" t="n">
        <v>42000000</v>
      </c>
      <c r="Q32" s="82" t="inlineStr">
        <is>
          <t>SRC_DE.csv</t>
        </is>
      </c>
    </row>
    <row r="33">
      <c r="A33" s="82" t="n">
        <v>2025</v>
      </c>
      <c r="B33" s="82" t="inlineStr">
        <is>
          <t>T4-2025</t>
        </is>
      </c>
      <c r="C33" s="82" t="n">
        <v>12</v>
      </c>
      <c r="D33" s="82" t="inlineStr">
        <is>
          <t>DE_Filiale</t>
        </is>
      </c>
      <c r="E33" s="82" t="n">
        <v>701000</v>
      </c>
      <c r="F33" s="82" t="inlineStr">
        <is>
          <t>Umsatzerlöse Waren</t>
        </is>
      </c>
      <c r="G33" s="82" t="inlineStr">
        <is>
          <t>Crédit</t>
        </is>
      </c>
      <c r="H33" s="82" t="inlineStr">
        <is>
          <t>① Exploitation</t>
        </is>
      </c>
      <c r="I33" s="82" t="inlineStr">
        <is>
          <t>Chiffre d'affaires</t>
        </is>
      </c>
      <c r="J33" s="82" t="inlineStr">
        <is>
          <t>Ventes biens</t>
        </is>
      </c>
      <c r="K33" s="82" t="inlineStr">
        <is>
          <t>IFRS 15</t>
        </is>
      </c>
      <c r="L33" s="82" t="b">
        <v>0</v>
      </c>
      <c r="M33" s="82" t="inlineStr">
        <is>
          <t>EUR</t>
        </is>
      </c>
      <c r="N33" s="82" t="n">
        <v>1</v>
      </c>
      <c r="O33" s="82" t="n">
        <v>51200000</v>
      </c>
      <c r="P33" s="82" t="n">
        <v>51200000</v>
      </c>
      <c r="Q33" s="82" t="inlineStr">
        <is>
          <t>SRC_DE.csv</t>
        </is>
      </c>
    </row>
    <row r="34">
      <c r="A34" s="82" t="n">
        <v>2025</v>
      </c>
      <c r="B34" s="82" t="inlineStr">
        <is>
          <t>T2-2025</t>
        </is>
      </c>
      <c r="C34" s="82" t="n">
        <v>6</v>
      </c>
      <c r="D34" s="82" t="inlineStr">
        <is>
          <t>DE_Filiale</t>
        </is>
      </c>
      <c r="E34" s="82" t="n">
        <v>601000</v>
      </c>
      <c r="F34" s="82" t="inlineStr">
        <is>
          <t>Wareneinkauf</t>
        </is>
      </c>
      <c r="G34" s="82" t="inlineStr">
        <is>
          <t>Débit</t>
        </is>
      </c>
      <c r="H34" s="82" t="inlineStr">
        <is>
          <t>① Exploitation</t>
        </is>
      </c>
      <c r="I34" s="82" t="inlineStr">
        <is>
          <t>Achats et charges externes</t>
        </is>
      </c>
      <c r="J34" s="82" t="inlineStr">
        <is>
          <t>Coût des ventes</t>
        </is>
      </c>
      <c r="K34" s="82" t="inlineStr">
        <is>
          <t>IAS 2</t>
        </is>
      </c>
      <c r="L34" s="82" t="b">
        <v>0</v>
      </c>
      <c r="M34" s="82" t="inlineStr">
        <is>
          <t>EUR</t>
        </is>
      </c>
      <c r="N34" s="82" t="n">
        <v>1</v>
      </c>
      <c r="O34" s="82" t="n">
        <v>-36800000</v>
      </c>
      <c r="P34" s="82" t="n">
        <v>-36800000</v>
      </c>
      <c r="Q34" s="82" t="inlineStr">
        <is>
          <t>SRC_DE.csv</t>
        </is>
      </c>
    </row>
    <row r="35">
      <c r="A35" s="82" t="n">
        <v>2025</v>
      </c>
      <c r="B35" s="82" t="inlineStr">
        <is>
          <t>T4-2025</t>
        </is>
      </c>
      <c r="C35" s="82" t="n">
        <v>12</v>
      </c>
      <c r="D35" s="82" t="inlineStr">
        <is>
          <t>DE_Filiale</t>
        </is>
      </c>
      <c r="E35" s="82" t="n">
        <v>601000</v>
      </c>
      <c r="F35" s="82" t="inlineStr">
        <is>
          <t>Wareneinkauf</t>
        </is>
      </c>
      <c r="G35" s="82" t="inlineStr">
        <is>
          <t>Débit</t>
        </is>
      </c>
      <c r="H35" s="82" t="inlineStr">
        <is>
          <t>① Exploitation</t>
        </is>
      </c>
      <c r="I35" s="82" t="inlineStr">
        <is>
          <t>Achats et charges externes</t>
        </is>
      </c>
      <c r="J35" s="82" t="inlineStr">
        <is>
          <t>Coût des ventes</t>
        </is>
      </c>
      <c r="K35" s="82" t="inlineStr">
        <is>
          <t>IAS 2</t>
        </is>
      </c>
      <c r="L35" s="82" t="b">
        <v>0</v>
      </c>
      <c r="M35" s="82" t="inlineStr">
        <is>
          <t>EUR</t>
        </is>
      </c>
      <c r="N35" s="82" t="n">
        <v>1</v>
      </c>
      <c r="O35" s="82" t="n">
        <v>-43500000</v>
      </c>
      <c r="P35" s="82" t="n">
        <v>-43500000</v>
      </c>
      <c r="Q35" s="82" t="inlineStr">
        <is>
          <t>SRC_DE.csv</t>
        </is>
      </c>
    </row>
    <row r="36">
      <c r="A36" s="82" t="n">
        <v>2025</v>
      </c>
      <c r="B36" s="82" t="inlineStr">
        <is>
          <t>T2-2025</t>
        </is>
      </c>
      <c r="C36" s="82" t="n">
        <v>6</v>
      </c>
      <c r="D36" s="82" t="inlineStr">
        <is>
          <t>DE_Filiale</t>
        </is>
      </c>
      <c r="E36" s="82" t="n">
        <v>631000</v>
      </c>
      <c r="F36" s="82" t="inlineStr">
        <is>
          <t>Personalkosten</t>
        </is>
      </c>
      <c r="G36" s="82" t="inlineStr">
        <is>
          <t>Débit</t>
        </is>
      </c>
      <c r="H36" s="82" t="inlineStr">
        <is>
          <t>① Exploitation</t>
        </is>
      </c>
      <c r="I36" s="82" t="inlineStr">
        <is>
          <t>Charges de personnel</t>
        </is>
      </c>
      <c r="J36" s="82" t="inlineStr">
        <is>
          <t>Personnel total</t>
        </is>
      </c>
      <c r="K36" s="82" t="inlineStr">
        <is>
          <t>IAS 19</t>
        </is>
      </c>
      <c r="L36" s="82" t="b">
        <v>0</v>
      </c>
      <c r="M36" s="82" t="inlineStr">
        <is>
          <t>EUR</t>
        </is>
      </c>
      <c r="N36" s="82" t="n">
        <v>1</v>
      </c>
      <c r="O36" s="82" t="n">
        <v>-21500000</v>
      </c>
      <c r="P36" s="82" t="n">
        <v>-21500000</v>
      </c>
      <c r="Q36" s="82" t="inlineStr">
        <is>
          <t>SRC_DE.csv</t>
        </is>
      </c>
    </row>
    <row r="37">
      <c r="A37" s="82" t="n">
        <v>2025</v>
      </c>
      <c r="B37" s="82" t="inlineStr">
        <is>
          <t>T4-2025</t>
        </is>
      </c>
      <c r="C37" s="82" t="n">
        <v>12</v>
      </c>
      <c r="D37" s="82" t="inlineStr">
        <is>
          <t>DE_Filiale</t>
        </is>
      </c>
      <c r="E37" s="82" t="n">
        <v>631000</v>
      </c>
      <c r="F37" s="82" t="inlineStr">
        <is>
          <t>Personalkosten</t>
        </is>
      </c>
      <c r="G37" s="82" t="inlineStr">
        <is>
          <t>Débit</t>
        </is>
      </c>
      <c r="H37" s="82" t="inlineStr">
        <is>
          <t>① Exploitation</t>
        </is>
      </c>
      <c r="I37" s="82" t="inlineStr">
        <is>
          <t>Charges de personnel</t>
        </is>
      </c>
      <c r="J37" s="82" t="inlineStr">
        <is>
          <t>Personnel total</t>
        </is>
      </c>
      <c r="K37" s="82" t="inlineStr">
        <is>
          <t>IAS 19</t>
        </is>
      </c>
      <c r="L37" s="82" t="b">
        <v>0</v>
      </c>
      <c r="M37" s="82" t="inlineStr">
        <is>
          <t>EUR</t>
        </is>
      </c>
      <c r="N37" s="82" t="n">
        <v>1</v>
      </c>
      <c r="O37" s="82" t="n">
        <v>-24800000</v>
      </c>
      <c r="P37" s="82" t="n">
        <v>-24800000</v>
      </c>
      <c r="Q37" s="82" t="inlineStr">
        <is>
          <t>SRC_DE.csv</t>
        </is>
      </c>
    </row>
    <row r="38">
      <c r="A38" s="52" t="n">
        <v>2025</v>
      </c>
      <c r="B38" s="52" t="inlineStr">
        <is>
          <t>T4-2025</t>
        </is>
      </c>
      <c r="C38" s="52" t="n">
        <v>9</v>
      </c>
      <c r="D38" s="52" t="inlineStr">
        <is>
          <t>DE_Filiale</t>
        </is>
      </c>
      <c r="E38" s="52" t="n">
        <v>762000</v>
      </c>
      <c r="F38" s="52" t="inlineStr">
        <is>
          <t>Veräußerungsgewinne</t>
        </is>
      </c>
      <c r="G38" s="52" t="inlineStr">
        <is>
          <t>Crédit</t>
        </is>
      </c>
      <c r="H38" s="52" t="inlineStr">
        <is>
          <t>② Investissement</t>
        </is>
      </c>
      <c r="I38" s="52" t="inlineStr">
        <is>
          <t>Résultat investissement</t>
        </is>
      </c>
      <c r="J38" s="52" t="inlineStr">
        <is>
          <t>Plus-values cessions</t>
        </is>
      </c>
      <c r="K38" s="52" t="inlineStr">
        <is>
          <t>IFRS 18 §68</t>
        </is>
      </c>
      <c r="L38" s="52" t="b">
        <v>0</v>
      </c>
      <c r="M38" s="52" t="inlineStr">
        <is>
          <t>EUR</t>
        </is>
      </c>
      <c r="N38" s="52" t="n">
        <v>1</v>
      </c>
      <c r="O38" s="52" t="n">
        <v>800000</v>
      </c>
      <c r="P38" s="52" t="n">
        <v>800000</v>
      </c>
      <c r="Q38" s="52" t="inlineStr">
        <is>
          <t>SRC_DE.csv</t>
        </is>
      </c>
    </row>
    <row r="39">
      <c r="A39" s="83" t="n">
        <v>2025</v>
      </c>
      <c r="B39" s="83" t="inlineStr">
        <is>
          <t>T4-2025</t>
        </is>
      </c>
      <c r="C39" s="83" t="n">
        <v>12</v>
      </c>
      <c r="D39" s="83" t="inlineStr">
        <is>
          <t>DE_Filiale</t>
        </is>
      </c>
      <c r="E39" s="83" t="n">
        <v>661100</v>
      </c>
      <c r="F39" s="83" t="inlineStr">
        <is>
          <t>Zinsaufwendungen</t>
        </is>
      </c>
      <c r="G39" s="83" t="inlineStr">
        <is>
          <t>Débit</t>
        </is>
      </c>
      <c r="H39" s="83" t="inlineStr">
        <is>
          <t>③ Financement</t>
        </is>
      </c>
      <c r="I39" s="83" t="inlineStr">
        <is>
          <t>Résultat financement</t>
        </is>
      </c>
      <c r="J39" s="83" t="inlineStr">
        <is>
          <t>Charges d'intérêts</t>
        </is>
      </c>
      <c r="K39" s="83" t="inlineStr">
        <is>
          <t>IFRS 18 §72</t>
        </is>
      </c>
      <c r="L39" s="83" t="b">
        <v>0</v>
      </c>
      <c r="M39" s="83" t="inlineStr">
        <is>
          <t>EUR</t>
        </is>
      </c>
      <c r="N39" s="83" t="n">
        <v>1</v>
      </c>
      <c r="O39" s="83" t="n">
        <v>-4500000</v>
      </c>
      <c r="P39" s="83" t="n">
        <v>-4500000</v>
      </c>
      <c r="Q39" s="83" t="inlineStr">
        <is>
          <t>SRC_DE.csv</t>
        </is>
      </c>
    </row>
    <row r="40">
      <c r="A40" s="84" t="n">
        <v>2025</v>
      </c>
      <c r="B40" s="84" t="inlineStr">
        <is>
          <t>T4-2025</t>
        </is>
      </c>
      <c r="C40" s="84" t="n">
        <v>12</v>
      </c>
      <c r="D40" s="84" t="inlineStr">
        <is>
          <t>DE_Filiale</t>
        </is>
      </c>
      <c r="E40" s="84" t="n">
        <v>695000</v>
      </c>
      <c r="F40" s="84" t="inlineStr">
        <is>
          <t>Körperschaftsteuer</t>
        </is>
      </c>
      <c r="G40" s="84" t="inlineStr">
        <is>
          <t>Débit</t>
        </is>
      </c>
      <c r="H40" s="84" t="inlineStr">
        <is>
          <t>④ Impôts</t>
        </is>
      </c>
      <c r="I40" s="84" t="inlineStr">
        <is>
          <t>Impôts sur les résultats</t>
        </is>
      </c>
      <c r="J40" s="84" t="inlineStr">
        <is>
          <t>IS courant</t>
        </is>
      </c>
      <c r="K40" s="84" t="inlineStr">
        <is>
          <t>IAS 12</t>
        </is>
      </c>
      <c r="L40" s="84" t="b">
        <v>0</v>
      </c>
      <c r="M40" s="84" t="inlineStr">
        <is>
          <t>EUR</t>
        </is>
      </c>
      <c r="N40" s="84" t="n">
        <v>1</v>
      </c>
      <c r="O40" s="84" t="n">
        <v>-8200000</v>
      </c>
      <c r="P40" s="84" t="n">
        <v>-8200000</v>
      </c>
      <c r="Q40" s="84" t="inlineStr">
        <is>
          <t>SRC_DE.csv</t>
        </is>
      </c>
    </row>
    <row r="41">
      <c r="A41" s="82" t="n">
        <v>2025</v>
      </c>
      <c r="B41" s="82" t="inlineStr">
        <is>
          <t>T2-2025</t>
        </is>
      </c>
      <c r="C41" s="82" t="n">
        <v>6</v>
      </c>
      <c r="D41" s="82" t="inlineStr">
        <is>
          <t>UK_Filiale</t>
        </is>
      </c>
      <c r="E41" s="82" t="n">
        <v>701000</v>
      </c>
      <c r="F41" s="82" t="inlineStr">
        <is>
          <t>Revenue from goods</t>
        </is>
      </c>
      <c r="G41" s="82" t="inlineStr">
        <is>
          <t>Crédit</t>
        </is>
      </c>
      <c r="H41" s="82" t="inlineStr">
        <is>
          <t>① Exploitation</t>
        </is>
      </c>
      <c r="I41" s="82" t="inlineStr">
        <is>
          <t>Chiffre d'affaires</t>
        </is>
      </c>
      <c r="J41" s="82" t="inlineStr">
        <is>
          <t>Ventes biens</t>
        </is>
      </c>
      <c r="K41" s="82" t="inlineStr">
        <is>
          <t>IFRS 15</t>
        </is>
      </c>
      <c r="L41" s="82" t="b">
        <v>0</v>
      </c>
      <c r="M41" s="82" t="inlineStr">
        <is>
          <t>GBP</t>
        </is>
      </c>
      <c r="N41" s="82" t="n">
        <v>1.165</v>
      </c>
      <c r="O41" s="82" t="n">
        <v>36500000</v>
      </c>
      <c r="P41" s="82" t="n">
        <v>42522500</v>
      </c>
      <c r="Q41" s="82" t="inlineStr">
        <is>
          <t>SRC_UK.csv</t>
        </is>
      </c>
    </row>
    <row r="42">
      <c r="A42" s="82" t="n">
        <v>2025</v>
      </c>
      <c r="B42" s="82" t="inlineStr">
        <is>
          <t>T4-2025</t>
        </is>
      </c>
      <c r="C42" s="82" t="n">
        <v>12</v>
      </c>
      <c r="D42" s="82" t="inlineStr">
        <is>
          <t>UK_Filiale</t>
        </is>
      </c>
      <c r="E42" s="82" t="n">
        <v>701000</v>
      </c>
      <c r="F42" s="82" t="inlineStr">
        <is>
          <t>Revenue from goods</t>
        </is>
      </c>
      <c r="G42" s="82" t="inlineStr">
        <is>
          <t>Crédit</t>
        </is>
      </c>
      <c r="H42" s="82" t="inlineStr">
        <is>
          <t>① Exploitation</t>
        </is>
      </c>
      <c r="I42" s="82" t="inlineStr">
        <is>
          <t>Chiffre d'affaires</t>
        </is>
      </c>
      <c r="J42" s="82" t="inlineStr">
        <is>
          <t>Ventes biens</t>
        </is>
      </c>
      <c r="K42" s="82" t="inlineStr">
        <is>
          <t>IFRS 15</t>
        </is>
      </c>
      <c r="L42" s="82" t="b">
        <v>0</v>
      </c>
      <c r="M42" s="82" t="inlineStr">
        <is>
          <t>GBP</t>
        </is>
      </c>
      <c r="N42" s="82" t="n">
        <v>1.165</v>
      </c>
      <c r="O42" s="82" t="n">
        <v>44200000</v>
      </c>
      <c r="P42" s="82" t="n">
        <v>51493000</v>
      </c>
      <c r="Q42" s="82" t="inlineStr">
        <is>
          <t>SRC_UK.csv</t>
        </is>
      </c>
    </row>
    <row r="43">
      <c r="A43" s="82" t="n">
        <v>2025</v>
      </c>
      <c r="B43" s="82" t="inlineStr">
        <is>
          <t>T2-2025</t>
        </is>
      </c>
      <c r="C43" s="82" t="n">
        <v>6</v>
      </c>
      <c r="D43" s="82" t="inlineStr">
        <is>
          <t>UK_Filiale</t>
        </is>
      </c>
      <c r="E43" s="82" t="n">
        <v>706000</v>
      </c>
      <c r="F43" s="82" t="inlineStr">
        <is>
          <t>Technology services revenue</t>
        </is>
      </c>
      <c r="G43" s="82" t="inlineStr">
        <is>
          <t>Crédit</t>
        </is>
      </c>
      <c r="H43" s="82" t="inlineStr">
        <is>
          <t>① Exploitation</t>
        </is>
      </c>
      <c r="I43" s="82" t="inlineStr">
        <is>
          <t>Chiffre d'affaires</t>
        </is>
      </c>
      <c r="J43" s="82" t="inlineStr">
        <is>
          <t>Prestations services</t>
        </is>
      </c>
      <c r="K43" s="82" t="inlineStr">
        <is>
          <t>IFRS 15</t>
        </is>
      </c>
      <c r="L43" s="82" t="b">
        <v>0</v>
      </c>
      <c r="M43" s="82" t="inlineStr">
        <is>
          <t>GBP</t>
        </is>
      </c>
      <c r="N43" s="82" t="n">
        <v>1.165</v>
      </c>
      <c r="O43" s="82" t="n">
        <v>18500000</v>
      </c>
      <c r="P43" s="82" t="n">
        <v>21552500</v>
      </c>
      <c r="Q43" s="82" t="inlineStr">
        <is>
          <t>SRC_UK.csv</t>
        </is>
      </c>
    </row>
    <row r="44">
      <c r="A44" s="82" t="n">
        <v>2025</v>
      </c>
      <c r="B44" s="82" t="inlineStr">
        <is>
          <t>T4-2025</t>
        </is>
      </c>
      <c r="C44" s="82" t="n">
        <v>12</v>
      </c>
      <c r="D44" s="82" t="inlineStr">
        <is>
          <t>UK_Filiale</t>
        </is>
      </c>
      <c r="E44" s="82" t="n">
        <v>706000</v>
      </c>
      <c r="F44" s="82" t="inlineStr">
        <is>
          <t>Technology services revenue</t>
        </is>
      </c>
      <c r="G44" s="82" t="inlineStr">
        <is>
          <t>Crédit</t>
        </is>
      </c>
      <c r="H44" s="82" t="inlineStr">
        <is>
          <t>① Exploitation</t>
        </is>
      </c>
      <c r="I44" s="82" t="inlineStr">
        <is>
          <t>Chiffre d'affaires</t>
        </is>
      </c>
      <c r="J44" s="82" t="inlineStr">
        <is>
          <t>Prestations services</t>
        </is>
      </c>
      <c r="K44" s="82" t="inlineStr">
        <is>
          <t>IFRS 15</t>
        </is>
      </c>
      <c r="L44" s="82" t="b">
        <v>0</v>
      </c>
      <c r="M44" s="82" t="inlineStr">
        <is>
          <t>GBP</t>
        </is>
      </c>
      <c r="N44" s="82" t="n">
        <v>1.165</v>
      </c>
      <c r="O44" s="82" t="n">
        <v>22800000</v>
      </c>
      <c r="P44" s="82" t="n">
        <v>26562000</v>
      </c>
      <c r="Q44" s="82" t="inlineStr">
        <is>
          <t>SRC_UK.csv</t>
        </is>
      </c>
    </row>
    <row r="45">
      <c r="A45" s="26" t="n">
        <v>2025</v>
      </c>
      <c r="B45" s="26" t="inlineStr">
        <is>
          <t>T4-2025</t>
        </is>
      </c>
      <c r="C45" s="26" t="n">
        <v>6</v>
      </c>
      <c r="D45" s="26" t="inlineStr">
        <is>
          <t>UK_Filiale</t>
        </is>
      </c>
      <c r="E45" s="26" t="n">
        <v>708500</v>
      </c>
      <c r="F45" s="26" t="inlineStr">
        <is>
          <t>Intercompany management fees</t>
        </is>
      </c>
      <c r="G45" s="26" t="inlineStr">
        <is>
          <t>Crédit</t>
        </is>
      </c>
      <c r="H45" s="26" t="inlineStr">
        <is>
          <t>⚠️ Élimination IC</t>
        </is>
      </c>
      <c r="I45" s="26" t="inlineStr">
        <is>
          <t>Élimination IC</t>
        </is>
      </c>
      <c r="J45" s="26" t="inlineStr">
        <is>
          <t>Interco - à éliminer</t>
        </is>
      </c>
      <c r="K45" s="26" t="inlineStr">
        <is>
          <t>IFRS 10</t>
        </is>
      </c>
      <c r="L45" s="93" t="b">
        <v>1</v>
      </c>
      <c r="M45" s="26" t="inlineStr">
        <is>
          <t>GBP</t>
        </is>
      </c>
      <c r="N45" s="26" t="n">
        <v>1.165</v>
      </c>
      <c r="O45" s="26" t="n">
        <v>5200000</v>
      </c>
      <c r="P45" s="26" t="n">
        <v>6058000</v>
      </c>
      <c r="Q45" s="26" t="inlineStr">
        <is>
          <t>SRC_UK.csv</t>
        </is>
      </c>
    </row>
    <row r="46">
      <c r="A46" s="26" t="n">
        <v>2025</v>
      </c>
      <c r="B46" s="26" t="inlineStr">
        <is>
          <t>T4-2025</t>
        </is>
      </c>
      <c r="C46" s="26" t="n">
        <v>12</v>
      </c>
      <c r="D46" s="26" t="inlineStr">
        <is>
          <t>UK_Filiale</t>
        </is>
      </c>
      <c r="E46" s="26" t="n">
        <v>708500</v>
      </c>
      <c r="F46" s="26" t="inlineStr">
        <is>
          <t>Intercompany management fees</t>
        </is>
      </c>
      <c r="G46" s="26" t="inlineStr">
        <is>
          <t>Crédit</t>
        </is>
      </c>
      <c r="H46" s="26" t="inlineStr">
        <is>
          <t>⚠️ Élimination IC</t>
        </is>
      </c>
      <c r="I46" s="26" t="inlineStr">
        <is>
          <t>Élimination IC</t>
        </is>
      </c>
      <c r="J46" s="26" t="inlineStr">
        <is>
          <t>Interco - à éliminer</t>
        </is>
      </c>
      <c r="K46" s="26" t="inlineStr">
        <is>
          <t>IFRS 10</t>
        </is>
      </c>
      <c r="L46" s="93" t="b">
        <v>1</v>
      </c>
      <c r="M46" s="26" t="inlineStr">
        <is>
          <t>GBP</t>
        </is>
      </c>
      <c r="N46" s="26" t="n">
        <v>1.165</v>
      </c>
      <c r="O46" s="26" t="n">
        <v>5800000</v>
      </c>
      <c r="P46" s="26" t="n">
        <v>6757000</v>
      </c>
      <c r="Q46" s="26" t="inlineStr">
        <is>
          <t>SRC_UK.csv</t>
        </is>
      </c>
    </row>
    <row r="47">
      <c r="A47" s="82" t="n">
        <v>2025</v>
      </c>
      <c r="B47" s="82" t="inlineStr">
        <is>
          <t>T2-2025</t>
        </is>
      </c>
      <c r="C47" s="82" t="n">
        <v>6</v>
      </c>
      <c r="D47" s="82" t="inlineStr">
        <is>
          <t>UK_Filiale</t>
        </is>
      </c>
      <c r="E47" s="82" t="n">
        <v>631000</v>
      </c>
      <c r="F47" s="82" t="inlineStr">
        <is>
          <t>Staff costs</t>
        </is>
      </c>
      <c r="G47" s="82" t="inlineStr">
        <is>
          <t>Débit</t>
        </is>
      </c>
      <c r="H47" s="82" t="inlineStr">
        <is>
          <t>① Exploitation</t>
        </is>
      </c>
      <c r="I47" s="82" t="inlineStr">
        <is>
          <t>Charges de personnel</t>
        </is>
      </c>
      <c r="J47" s="82" t="inlineStr">
        <is>
          <t>Personnel total</t>
        </is>
      </c>
      <c r="K47" s="82" t="inlineStr">
        <is>
          <t>IAS 19</t>
        </is>
      </c>
      <c r="L47" s="82" t="b">
        <v>0</v>
      </c>
      <c r="M47" s="82" t="inlineStr">
        <is>
          <t>GBP</t>
        </is>
      </c>
      <c r="N47" s="82" t="n">
        <v>1.165</v>
      </c>
      <c r="O47" s="82" t="n">
        <v>-18500000</v>
      </c>
      <c r="P47" s="82" t="n">
        <v>-21552500</v>
      </c>
      <c r="Q47" s="82" t="inlineStr">
        <is>
          <t>SRC_UK.csv</t>
        </is>
      </c>
    </row>
    <row r="48">
      <c r="A48" s="82" t="n">
        <v>2025</v>
      </c>
      <c r="B48" s="82" t="inlineStr">
        <is>
          <t>T4-2025</t>
        </is>
      </c>
      <c r="C48" s="82" t="n">
        <v>12</v>
      </c>
      <c r="D48" s="82" t="inlineStr">
        <is>
          <t>UK_Filiale</t>
        </is>
      </c>
      <c r="E48" s="82" t="n">
        <v>631000</v>
      </c>
      <c r="F48" s="82" t="inlineStr">
        <is>
          <t>Staff costs</t>
        </is>
      </c>
      <c r="G48" s="82" t="inlineStr">
        <is>
          <t>Débit</t>
        </is>
      </c>
      <c r="H48" s="82" t="inlineStr">
        <is>
          <t>① Exploitation</t>
        </is>
      </c>
      <c r="I48" s="82" t="inlineStr">
        <is>
          <t>Charges de personnel</t>
        </is>
      </c>
      <c r="J48" s="82" t="inlineStr">
        <is>
          <t>Personnel total</t>
        </is>
      </c>
      <c r="K48" s="82" t="inlineStr">
        <is>
          <t>IAS 19</t>
        </is>
      </c>
      <c r="L48" s="82" t="b">
        <v>0</v>
      </c>
      <c r="M48" s="82" t="inlineStr">
        <is>
          <t>GBP</t>
        </is>
      </c>
      <c r="N48" s="82" t="n">
        <v>1.165</v>
      </c>
      <c r="O48" s="82" t="n">
        <v>-20800000</v>
      </c>
      <c r="P48" s="82" t="n">
        <v>-24232000</v>
      </c>
      <c r="Q48" s="82" t="inlineStr">
        <is>
          <t>SRC_UK.csv</t>
        </is>
      </c>
    </row>
    <row r="49">
      <c r="A49" s="83" t="n">
        <v>2025</v>
      </c>
      <c r="B49" s="83" t="inlineStr">
        <is>
          <t>T4-2025</t>
        </is>
      </c>
      <c r="C49" s="83" t="n">
        <v>12</v>
      </c>
      <c r="D49" s="83" t="inlineStr">
        <is>
          <t>UK_Filiale</t>
        </is>
      </c>
      <c r="E49" s="83" t="n">
        <v>661100</v>
      </c>
      <c r="F49" s="83" t="inlineStr">
        <is>
          <t>Interest expense</t>
        </is>
      </c>
      <c r="G49" s="83" t="inlineStr">
        <is>
          <t>Débit</t>
        </is>
      </c>
      <c r="H49" s="83" t="inlineStr">
        <is>
          <t>③ Financement</t>
        </is>
      </c>
      <c r="I49" s="83" t="inlineStr">
        <is>
          <t>Résultat financement</t>
        </is>
      </c>
      <c r="J49" s="83" t="inlineStr">
        <is>
          <t>Charges d'intérêts</t>
        </is>
      </c>
      <c r="K49" s="83" t="inlineStr">
        <is>
          <t>IFRS 18 §72</t>
        </is>
      </c>
      <c r="L49" s="83" t="b">
        <v>0</v>
      </c>
      <c r="M49" s="83" t="inlineStr">
        <is>
          <t>GBP</t>
        </is>
      </c>
      <c r="N49" s="83" t="n">
        <v>1.165</v>
      </c>
      <c r="O49" s="83" t="n">
        <v>-5200000</v>
      </c>
      <c r="P49" s="83" t="n">
        <v>-6058000</v>
      </c>
      <c r="Q49" s="83" t="inlineStr">
        <is>
          <t>SRC_UK.csv</t>
        </is>
      </c>
    </row>
    <row r="50">
      <c r="A50" s="84" t="n">
        <v>2025</v>
      </c>
      <c r="B50" s="84" t="inlineStr">
        <is>
          <t>T4-2025</t>
        </is>
      </c>
      <c r="C50" s="84" t="n">
        <v>12</v>
      </c>
      <c r="D50" s="84" t="inlineStr">
        <is>
          <t>UK_Filiale</t>
        </is>
      </c>
      <c r="E50" s="84" t="n">
        <v>695000</v>
      </c>
      <c r="F50" s="84" t="inlineStr">
        <is>
          <t>Corporation tax</t>
        </is>
      </c>
      <c r="G50" s="84" t="inlineStr">
        <is>
          <t>Débit</t>
        </is>
      </c>
      <c r="H50" s="84" t="inlineStr">
        <is>
          <t>④ Impôts</t>
        </is>
      </c>
      <c r="I50" s="84" t="inlineStr">
        <is>
          <t>Impôts sur les résultats</t>
        </is>
      </c>
      <c r="J50" s="84" t="inlineStr">
        <is>
          <t>IS courant</t>
        </is>
      </c>
      <c r="K50" s="84" t="inlineStr">
        <is>
          <t>IAS 12</t>
        </is>
      </c>
      <c r="L50" s="84" t="b">
        <v>0</v>
      </c>
      <c r="M50" s="84" t="inlineStr">
        <is>
          <t>GBP</t>
        </is>
      </c>
      <c r="N50" s="84" t="n">
        <v>1.165</v>
      </c>
      <c r="O50" s="84" t="n">
        <v>-9800000</v>
      </c>
      <c r="P50" s="84" t="n">
        <v>-11417000</v>
      </c>
      <c r="Q50" s="84" t="inlineStr">
        <is>
          <t>SRC_UK.csv</t>
        </is>
      </c>
    </row>
    <row r="51">
      <c r="A51" s="82" t="n">
        <v>2025</v>
      </c>
      <c r="B51" s="82" t="inlineStr">
        <is>
          <t>T2-2025</t>
        </is>
      </c>
      <c r="C51" s="82" t="n">
        <v>6</v>
      </c>
      <c r="D51" s="82" t="inlineStr">
        <is>
          <t>US_Filiale</t>
        </is>
      </c>
      <c r="E51" s="82" t="n">
        <v>701000</v>
      </c>
      <c r="F51" s="82" t="inlineStr">
        <is>
          <t>Net sales revenue</t>
        </is>
      </c>
      <c r="G51" s="82" t="inlineStr">
        <is>
          <t>Crédit</t>
        </is>
      </c>
      <c r="H51" s="82" t="inlineStr">
        <is>
          <t>① Exploitation</t>
        </is>
      </c>
      <c r="I51" s="82" t="inlineStr">
        <is>
          <t>Chiffre d'affaires</t>
        </is>
      </c>
      <c r="J51" s="82" t="inlineStr">
        <is>
          <t>Ventes biens</t>
        </is>
      </c>
      <c r="K51" s="82" t="inlineStr">
        <is>
          <t>IFRS 15</t>
        </is>
      </c>
      <c r="L51" s="82" t="b">
        <v>0</v>
      </c>
      <c r="M51" s="82" t="inlineStr">
        <is>
          <t>USD</t>
        </is>
      </c>
      <c r="N51" s="82" t="n">
        <v>0.918</v>
      </c>
      <c r="O51" s="82" t="n">
        <v>48500000</v>
      </c>
      <c r="P51" s="82" t="n">
        <v>44523000</v>
      </c>
      <c r="Q51" s="82" t="inlineStr">
        <is>
          <t>SRC_US.csv</t>
        </is>
      </c>
    </row>
    <row r="52">
      <c r="A52" s="82" t="n">
        <v>2025</v>
      </c>
      <c r="B52" s="82" t="inlineStr">
        <is>
          <t>T4-2025</t>
        </is>
      </c>
      <c r="C52" s="82" t="n">
        <v>12</v>
      </c>
      <c r="D52" s="82" t="inlineStr">
        <is>
          <t>US_Filiale</t>
        </is>
      </c>
      <c r="E52" s="82" t="n">
        <v>701000</v>
      </c>
      <c r="F52" s="82" t="inlineStr">
        <is>
          <t>Net sales revenue</t>
        </is>
      </c>
      <c r="G52" s="82" t="inlineStr">
        <is>
          <t>Crédit</t>
        </is>
      </c>
      <c r="H52" s="82" t="inlineStr">
        <is>
          <t>① Exploitation</t>
        </is>
      </c>
      <c r="I52" s="82" t="inlineStr">
        <is>
          <t>Chiffre d'affaires</t>
        </is>
      </c>
      <c r="J52" s="82" t="inlineStr">
        <is>
          <t>Ventes biens</t>
        </is>
      </c>
      <c r="K52" s="82" t="inlineStr">
        <is>
          <t>IFRS 15</t>
        </is>
      </c>
      <c r="L52" s="82" t="b">
        <v>0</v>
      </c>
      <c r="M52" s="82" t="inlineStr">
        <is>
          <t>USD</t>
        </is>
      </c>
      <c r="N52" s="82" t="n">
        <v>0.918</v>
      </c>
      <c r="O52" s="82" t="n">
        <v>62800000</v>
      </c>
      <c r="P52" s="82" t="n">
        <v>57650400</v>
      </c>
      <c r="Q52" s="82" t="inlineStr">
        <is>
          <t>SRC_US.csv</t>
        </is>
      </c>
    </row>
    <row r="53">
      <c r="A53" s="82" t="n">
        <v>2025</v>
      </c>
      <c r="B53" s="82" t="inlineStr">
        <is>
          <t>T2-2025</t>
        </is>
      </c>
      <c r="C53" s="82" t="n">
        <v>6</v>
      </c>
      <c r="D53" s="82" t="inlineStr">
        <is>
          <t>US_Filiale</t>
        </is>
      </c>
      <c r="E53" s="82" t="n">
        <v>631000</v>
      </c>
      <c r="F53" s="82" t="inlineStr">
        <is>
          <t>Payroll &amp; benefits</t>
        </is>
      </c>
      <c r="G53" s="82" t="inlineStr">
        <is>
          <t>Débit</t>
        </is>
      </c>
      <c r="H53" s="82" t="inlineStr">
        <is>
          <t>① Exploitation</t>
        </is>
      </c>
      <c r="I53" s="82" t="inlineStr">
        <is>
          <t>Charges de personnel</t>
        </is>
      </c>
      <c r="J53" s="82" t="inlineStr">
        <is>
          <t>Personnel total</t>
        </is>
      </c>
      <c r="K53" s="82" t="inlineStr">
        <is>
          <t>IAS 19</t>
        </is>
      </c>
      <c r="L53" s="82" t="b">
        <v>0</v>
      </c>
      <c r="M53" s="82" t="inlineStr">
        <is>
          <t>USD</t>
        </is>
      </c>
      <c r="N53" s="82" t="n">
        <v>0.918</v>
      </c>
      <c r="O53" s="82" t="n">
        <v>-24200000</v>
      </c>
      <c r="P53" s="82" t="n">
        <v>-22215600</v>
      </c>
      <c r="Q53" s="82" t="inlineStr">
        <is>
          <t>SRC_US.csv</t>
        </is>
      </c>
    </row>
    <row r="54">
      <c r="A54" s="82" t="n">
        <v>2025</v>
      </c>
      <c r="B54" s="82" t="inlineStr">
        <is>
          <t>T4-2025</t>
        </is>
      </c>
      <c r="C54" s="82" t="n">
        <v>12</v>
      </c>
      <c r="D54" s="82" t="inlineStr">
        <is>
          <t>US_Filiale</t>
        </is>
      </c>
      <c r="E54" s="82" t="n">
        <v>631000</v>
      </c>
      <c r="F54" s="82" t="inlineStr">
        <is>
          <t>Payroll &amp; benefits</t>
        </is>
      </c>
      <c r="G54" s="82" t="inlineStr">
        <is>
          <t>Débit</t>
        </is>
      </c>
      <c r="H54" s="82" t="inlineStr">
        <is>
          <t>① Exploitation</t>
        </is>
      </c>
      <c r="I54" s="82" t="inlineStr">
        <is>
          <t>Charges de personnel</t>
        </is>
      </c>
      <c r="J54" s="82" t="inlineStr">
        <is>
          <t>Personnel total</t>
        </is>
      </c>
      <c r="K54" s="82" t="inlineStr">
        <is>
          <t>IAS 19</t>
        </is>
      </c>
      <c r="L54" s="82" t="b">
        <v>0</v>
      </c>
      <c r="M54" s="82" t="inlineStr">
        <is>
          <t>USD</t>
        </is>
      </c>
      <c r="N54" s="82" t="n">
        <v>0.918</v>
      </c>
      <c r="O54" s="82" t="n">
        <v>-28500000</v>
      </c>
      <c r="P54" s="82" t="n">
        <v>-26163000</v>
      </c>
      <c r="Q54" s="82" t="inlineStr">
        <is>
          <t>SRC_US.csv</t>
        </is>
      </c>
    </row>
    <row r="55">
      <c r="A55" s="83" t="n">
        <v>2025</v>
      </c>
      <c r="B55" s="83" t="inlineStr">
        <is>
          <t>T4-2025</t>
        </is>
      </c>
      <c r="C55" s="83" t="n">
        <v>12</v>
      </c>
      <c r="D55" s="83" t="inlineStr">
        <is>
          <t>US_Filiale</t>
        </is>
      </c>
      <c r="E55" s="83" t="n">
        <v>661100</v>
      </c>
      <c r="F55" s="83" t="inlineStr">
        <is>
          <t>Interest expense</t>
        </is>
      </c>
      <c r="G55" s="83" t="inlineStr">
        <is>
          <t>Débit</t>
        </is>
      </c>
      <c r="H55" s="83" t="inlineStr">
        <is>
          <t>③ Financement</t>
        </is>
      </c>
      <c r="I55" s="83" t="inlineStr">
        <is>
          <t>Résultat financement</t>
        </is>
      </c>
      <c r="J55" s="83" t="inlineStr">
        <is>
          <t>Charges d'intérêts</t>
        </is>
      </c>
      <c r="K55" s="83" t="inlineStr">
        <is>
          <t>IFRS 18 §72</t>
        </is>
      </c>
      <c r="L55" s="83" t="b">
        <v>0</v>
      </c>
      <c r="M55" s="83" t="inlineStr">
        <is>
          <t>USD</t>
        </is>
      </c>
      <c r="N55" s="83" t="n">
        <v>0.918</v>
      </c>
      <c r="O55" s="83" t="n">
        <v>-7800000</v>
      </c>
      <c r="P55" s="83" t="n">
        <v>-7160400</v>
      </c>
      <c r="Q55" s="83" t="inlineStr">
        <is>
          <t>SRC_US.csv</t>
        </is>
      </c>
    </row>
    <row r="56">
      <c r="A56" s="84" t="n">
        <v>2025</v>
      </c>
      <c r="B56" s="84" t="inlineStr">
        <is>
          <t>T4-2025</t>
        </is>
      </c>
      <c r="C56" s="84" t="n">
        <v>12</v>
      </c>
      <c r="D56" s="84" t="inlineStr">
        <is>
          <t>US_Filiale</t>
        </is>
      </c>
      <c r="E56" s="84" t="n">
        <v>695000</v>
      </c>
      <c r="F56" s="84" t="inlineStr">
        <is>
          <t>Federal &amp; state income tax</t>
        </is>
      </c>
      <c r="G56" s="84" t="inlineStr">
        <is>
          <t>Débit</t>
        </is>
      </c>
      <c r="H56" s="84" t="inlineStr">
        <is>
          <t>④ Impôts</t>
        </is>
      </c>
      <c r="I56" s="84" t="inlineStr">
        <is>
          <t>Impôts sur les résultats</t>
        </is>
      </c>
      <c r="J56" s="84" t="inlineStr">
        <is>
          <t>IS courant</t>
        </is>
      </c>
      <c r="K56" s="84" t="inlineStr">
        <is>
          <t>IAS 12</t>
        </is>
      </c>
      <c r="L56" s="84" t="b">
        <v>0</v>
      </c>
      <c r="M56" s="84" t="inlineStr">
        <is>
          <t>USD</t>
        </is>
      </c>
      <c r="N56" s="84" t="n">
        <v>0.918</v>
      </c>
      <c r="O56" s="84" t="n">
        <v>-7200000</v>
      </c>
      <c r="P56" s="84" t="n">
        <v>-6609600</v>
      </c>
      <c r="Q56" s="84" t="inlineStr">
        <is>
          <t>SRC_US.csv</t>
        </is>
      </c>
    </row>
    <row r="57">
      <c r="A57" s="82" t="n">
        <v>2025</v>
      </c>
      <c r="B57" s="82" t="inlineStr">
        <is>
          <t>T2-2025</t>
        </is>
      </c>
      <c r="C57" s="82" t="n">
        <v>6</v>
      </c>
      <c r="D57" s="82" t="inlineStr">
        <is>
          <t>SG_Filiale</t>
        </is>
      </c>
      <c r="E57" s="82" t="n">
        <v>701000</v>
      </c>
      <c r="F57" s="82" t="inlineStr">
        <is>
          <t>Revenue from financial services</t>
        </is>
      </c>
      <c r="G57" s="82" t="inlineStr">
        <is>
          <t>Crédit</t>
        </is>
      </c>
      <c r="H57" s="82" t="inlineStr">
        <is>
          <t>① Exploitation</t>
        </is>
      </c>
      <c r="I57" s="82" t="inlineStr">
        <is>
          <t>Chiffre d'affaires</t>
        </is>
      </c>
      <c r="J57" s="82" t="inlineStr">
        <is>
          <t>Ventes biens</t>
        </is>
      </c>
      <c r="K57" s="82" t="inlineStr">
        <is>
          <t>IFRS 15</t>
        </is>
      </c>
      <c r="L57" s="82" t="b">
        <v>0</v>
      </c>
      <c r="M57" s="82" t="inlineStr">
        <is>
          <t>SGD</t>
        </is>
      </c>
      <c r="N57" s="82" t="n">
        <v>0.678</v>
      </c>
      <c r="O57" s="82" t="n">
        <v>22500000</v>
      </c>
      <c r="P57" s="82" t="n">
        <v>15255000</v>
      </c>
      <c r="Q57" s="82" t="inlineStr">
        <is>
          <t>SRC_SG.csv</t>
        </is>
      </c>
    </row>
    <row r="58">
      <c r="A58" s="82" t="n">
        <v>2025</v>
      </c>
      <c r="B58" s="82" t="inlineStr">
        <is>
          <t>T4-2025</t>
        </is>
      </c>
      <c r="C58" s="82" t="n">
        <v>12</v>
      </c>
      <c r="D58" s="82" t="inlineStr">
        <is>
          <t>SG_Filiale</t>
        </is>
      </c>
      <c r="E58" s="82" t="n">
        <v>701000</v>
      </c>
      <c r="F58" s="82" t="inlineStr">
        <is>
          <t>Revenue from financial services</t>
        </is>
      </c>
      <c r="G58" s="82" t="inlineStr">
        <is>
          <t>Crédit</t>
        </is>
      </c>
      <c r="H58" s="82" t="inlineStr">
        <is>
          <t>① Exploitation</t>
        </is>
      </c>
      <c r="I58" s="82" t="inlineStr">
        <is>
          <t>Chiffre d'affaires</t>
        </is>
      </c>
      <c r="J58" s="82" t="inlineStr">
        <is>
          <t>Ventes biens</t>
        </is>
      </c>
      <c r="K58" s="82" t="inlineStr">
        <is>
          <t>IFRS 15</t>
        </is>
      </c>
      <c r="L58" s="82" t="b">
        <v>0</v>
      </c>
      <c r="M58" s="82" t="inlineStr">
        <is>
          <t>SGD</t>
        </is>
      </c>
      <c r="N58" s="82" t="n">
        <v>0.678</v>
      </c>
      <c r="O58" s="82" t="n">
        <v>28800000</v>
      </c>
      <c r="P58" s="82" t="n">
        <v>19526400</v>
      </c>
      <c r="Q58" s="82" t="inlineStr">
        <is>
          <t>SRC_SG.csv</t>
        </is>
      </c>
    </row>
    <row r="59">
      <c r="A59" s="82" t="n">
        <v>2025</v>
      </c>
      <c r="B59" s="82" t="inlineStr">
        <is>
          <t>T2-2025</t>
        </is>
      </c>
      <c r="C59" s="82" t="n">
        <v>6</v>
      </c>
      <c r="D59" s="82" t="inlineStr">
        <is>
          <t>SG_Filiale</t>
        </is>
      </c>
      <c r="E59" s="82" t="n">
        <v>631000</v>
      </c>
      <c r="F59" s="82" t="inlineStr">
        <is>
          <t>Employee costs</t>
        </is>
      </c>
      <c r="G59" s="82" t="inlineStr">
        <is>
          <t>Débit</t>
        </is>
      </c>
      <c r="H59" s="82" t="inlineStr">
        <is>
          <t>① Exploitation</t>
        </is>
      </c>
      <c r="I59" s="82" t="inlineStr">
        <is>
          <t>Charges de personnel</t>
        </is>
      </c>
      <c r="J59" s="82" t="inlineStr">
        <is>
          <t>Personnel total</t>
        </is>
      </c>
      <c r="K59" s="82" t="inlineStr">
        <is>
          <t>IAS 19</t>
        </is>
      </c>
      <c r="L59" s="82" t="b">
        <v>0</v>
      </c>
      <c r="M59" s="82" t="inlineStr">
        <is>
          <t>SGD</t>
        </is>
      </c>
      <c r="N59" s="82" t="n">
        <v>0.678</v>
      </c>
      <c r="O59" s="82" t="n">
        <v>-8900000</v>
      </c>
      <c r="P59" s="82" t="n">
        <v>-6034200</v>
      </c>
      <c r="Q59" s="82" t="inlineStr">
        <is>
          <t>SRC_SG.csv</t>
        </is>
      </c>
    </row>
    <row r="60">
      <c r="A60" s="82" t="n">
        <v>2025</v>
      </c>
      <c r="B60" s="82" t="inlineStr">
        <is>
          <t>T4-2025</t>
        </is>
      </c>
      <c r="C60" s="82" t="n">
        <v>12</v>
      </c>
      <c r="D60" s="82" t="inlineStr">
        <is>
          <t>SG_Filiale</t>
        </is>
      </c>
      <c r="E60" s="82" t="n">
        <v>631000</v>
      </c>
      <c r="F60" s="82" t="inlineStr">
        <is>
          <t>Employee costs</t>
        </is>
      </c>
      <c r="G60" s="82" t="inlineStr">
        <is>
          <t>Débit</t>
        </is>
      </c>
      <c r="H60" s="82" t="inlineStr">
        <is>
          <t>① Exploitation</t>
        </is>
      </c>
      <c r="I60" s="82" t="inlineStr">
        <is>
          <t>Charges de personnel</t>
        </is>
      </c>
      <c r="J60" s="82" t="inlineStr">
        <is>
          <t>Personnel total</t>
        </is>
      </c>
      <c r="K60" s="82" t="inlineStr">
        <is>
          <t>IAS 19</t>
        </is>
      </c>
      <c r="L60" s="82" t="b">
        <v>0</v>
      </c>
      <c r="M60" s="82" t="inlineStr">
        <is>
          <t>SGD</t>
        </is>
      </c>
      <c r="N60" s="82" t="n">
        <v>0.678</v>
      </c>
      <c r="O60" s="82" t="n">
        <v>-10200000</v>
      </c>
      <c r="P60" s="82" t="n">
        <v>-6915600</v>
      </c>
      <c r="Q60" s="82" t="inlineStr">
        <is>
          <t>SRC_SG.csv</t>
        </is>
      </c>
    </row>
    <row r="61">
      <c r="A61" s="83" t="n">
        <v>2025</v>
      </c>
      <c r="B61" s="83" t="inlineStr">
        <is>
          <t>T4-2025</t>
        </is>
      </c>
      <c r="C61" s="83" t="n">
        <v>12</v>
      </c>
      <c r="D61" s="83" t="inlineStr">
        <is>
          <t>SG_Filiale</t>
        </is>
      </c>
      <c r="E61" s="83" t="n">
        <v>661100</v>
      </c>
      <c r="F61" s="83" t="inlineStr">
        <is>
          <t>Interest expense</t>
        </is>
      </c>
      <c r="G61" s="83" t="inlineStr">
        <is>
          <t>Débit</t>
        </is>
      </c>
      <c r="H61" s="83" t="inlineStr">
        <is>
          <t>③ Financement</t>
        </is>
      </c>
      <c r="I61" s="83" t="inlineStr">
        <is>
          <t>Résultat financement</t>
        </is>
      </c>
      <c r="J61" s="83" t="inlineStr">
        <is>
          <t>Charges d'intérêts</t>
        </is>
      </c>
      <c r="K61" s="83" t="inlineStr">
        <is>
          <t>IFRS 18 §72</t>
        </is>
      </c>
      <c r="L61" s="83" t="b">
        <v>0</v>
      </c>
      <c r="M61" s="83" t="inlineStr">
        <is>
          <t>SGD</t>
        </is>
      </c>
      <c r="N61" s="83" t="n">
        <v>0.678</v>
      </c>
      <c r="O61" s="83" t="n">
        <v>-2800000</v>
      </c>
      <c r="P61" s="83" t="n">
        <v>-1898400</v>
      </c>
      <c r="Q61" s="83" t="inlineStr">
        <is>
          <t>SRC_SG.csv</t>
        </is>
      </c>
    </row>
    <row r="62">
      <c r="A62" s="84" t="n">
        <v>2025</v>
      </c>
      <c r="B62" s="84" t="inlineStr">
        <is>
          <t>T4-2025</t>
        </is>
      </c>
      <c r="C62" s="84" t="n">
        <v>12</v>
      </c>
      <c r="D62" s="84" t="inlineStr">
        <is>
          <t>SG_Filiale</t>
        </is>
      </c>
      <c r="E62" s="84" t="n">
        <v>695000</v>
      </c>
      <c r="F62" s="84" t="inlineStr">
        <is>
          <t>Singapore corporate income tax</t>
        </is>
      </c>
      <c r="G62" s="84" t="inlineStr">
        <is>
          <t>Débit</t>
        </is>
      </c>
      <c r="H62" s="84" t="inlineStr">
        <is>
          <t>④ Impôts</t>
        </is>
      </c>
      <c r="I62" s="84" t="inlineStr">
        <is>
          <t>Impôts sur les résultats</t>
        </is>
      </c>
      <c r="J62" s="84" t="inlineStr">
        <is>
          <t>IS courant</t>
        </is>
      </c>
      <c r="K62" s="84" t="inlineStr">
        <is>
          <t>IAS 12</t>
        </is>
      </c>
      <c r="L62" s="84" t="b">
        <v>0</v>
      </c>
      <c r="M62" s="84" t="inlineStr">
        <is>
          <t>SGD</t>
        </is>
      </c>
      <c r="N62" s="84" t="n">
        <v>0.678</v>
      </c>
      <c r="O62" s="84" t="n">
        <v>-3200000</v>
      </c>
      <c r="P62" s="84" t="n">
        <v>-2169600</v>
      </c>
      <c r="Q62" s="84" t="inlineStr">
        <is>
          <t>SRC_SG.csv</t>
        </is>
      </c>
    </row>
    <row r="64">
      <c r="A64" s="563" t="inlineStr">
        <is>
          <t>📊 RÉCAPITULATIF : 59 lignes · 7 flux IC · 5 entités · 4 catégories IFRS 18 · 3 devises (EUR/GBP/USD/SGD)</t>
        </is>
      </c>
    </row>
  </sheetData>
  <mergeCells count="3">
    <mergeCell ref="A2:Q2"/>
    <mergeCell ref="A64:Q64"/>
    <mergeCell ref="A1:Q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8E44AD"/>
    <outlinePr summaryBelow="1" summaryRight="1"/>
    <pageSetUpPr/>
  </sheetPr>
  <dimension ref="A1:P80"/>
  <sheetViews>
    <sheetView workbookViewId="0">
      <selection activeCell="C36" sqref="C36"/>
    </sheetView>
  </sheetViews>
  <sheetFormatPr baseColWidth="10" defaultRowHeight="15"/>
  <cols>
    <col width="24" customWidth="1" style="500" min="1" max="1"/>
    <col width="10.7109375" customWidth="1" style="500" min="2" max="2"/>
    <col width="26.7109375" customWidth="1" style="500" min="3" max="3"/>
    <col width="16" customWidth="1" style="500" min="4" max="5"/>
    <col width="24" customWidth="1" style="500" min="6" max="8"/>
    <col width="18.7109375" customWidth="1" style="500" min="9" max="9"/>
    <col width="32" customWidth="1" style="500" min="10" max="10"/>
    <col width="56" customWidth="1" style="500" min="11" max="11"/>
  </cols>
  <sheetData>
    <row r="1" ht="17.25" customHeight="1" s="500">
      <c r="A1" s="554" t="inlineStr">
        <is>
          <t>💱  PQ_TAUX_CHANGE – TABLE DES TAUX DE CHANGE IAS 21 · Exercice 2025 (EUR = devise de présentation)</t>
        </is>
      </c>
      <c r="O1" s="94" t="n"/>
      <c r="P1" s="94" t="n"/>
    </row>
    <row r="2">
      <c r="A2" s="564" t="inlineStr">
        <is>
          <t>IAS 21 §23 : Actifs/Passifs → taux de clôture · §39 : Produits/Charges → taux moyen · Capitaux propres → taux historique · Écarts → OCI non recyclable</t>
        </is>
      </c>
      <c r="O2" s="94" t="n"/>
      <c r="P2" s="94" t="n"/>
    </row>
    <row r="3">
      <c r="A3" s="94" t="n"/>
      <c r="B3" s="94" t="n"/>
      <c r="C3" s="94" t="n"/>
      <c r="D3" s="94" t="n"/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</row>
    <row r="4">
      <c r="A4" s="565" t="inlineStr">
        <is>
          <t>SECTION 1 – TAUX ANNUELS (Utilisés par Power Query – table de référence)</t>
        </is>
      </c>
      <c r="O4" s="94" t="n"/>
      <c r="P4" s="94" t="n"/>
    </row>
    <row r="5">
      <c r="A5" s="543" t="inlineStr">
        <is>
          <t>Devise</t>
        </is>
      </c>
      <c r="B5" s="543" t="inlineStr">
        <is>
          <t>Pays</t>
        </is>
      </c>
      <c r="C5" s="543" t="inlineStr">
        <is>
          <t>TypeTaux</t>
        </is>
      </c>
      <c r="D5" s="543" t="inlineStr">
        <is>
          <t>Exercice</t>
        </is>
      </c>
      <c r="E5" s="543" t="inlineStr">
        <is>
          <t>Mois</t>
        </is>
      </c>
      <c r="F5" s="543" t="inlineStr">
        <is>
          <t>TauxEUR</t>
        </is>
      </c>
      <c r="G5" s="543" t="inlineStr">
        <is>
          <t>TauxInverse</t>
        </is>
      </c>
      <c r="H5" s="543" t="inlineStr">
        <is>
          <t>Source</t>
        </is>
      </c>
      <c r="I5" s="543" t="inlineStr">
        <is>
          <t>DateMAJ</t>
        </is>
      </c>
      <c r="J5" s="543" t="inlineStr">
        <is>
          <t>IAS21_Para</t>
        </is>
      </c>
      <c r="K5" s="543" t="inlineStr">
        <is>
          <t>Commentaire</t>
        </is>
      </c>
      <c r="L5" s="94" t="n"/>
      <c r="M5" s="94" t="n"/>
      <c r="N5" s="94" t="n"/>
      <c r="O5" s="94" t="n"/>
      <c r="P5" s="94" t="n"/>
    </row>
    <row r="6">
      <c r="A6" s="95" t="inlineStr">
        <is>
          <t>GBP</t>
        </is>
      </c>
      <c r="B6" s="95" t="inlineStr">
        <is>
          <t>Royaume-Uni</t>
        </is>
      </c>
      <c r="C6" s="95" t="inlineStr">
        <is>
          <t>Clôture</t>
        </is>
      </c>
      <c r="D6" s="95" t="n">
        <v>2025</v>
      </c>
      <c r="E6" s="95" t="n">
        <v>12</v>
      </c>
      <c r="F6" s="95" t="n">
        <v>1.165</v>
      </c>
      <c r="G6" s="95" t="n">
        <v>0.8584000000000001</v>
      </c>
      <c r="H6" s="95" t="inlineStr">
        <is>
          <t>BCE / BoE</t>
        </is>
      </c>
      <c r="I6" s="95" t="inlineStr">
        <is>
          <t>31/12/2025</t>
        </is>
      </c>
      <c r="J6" s="95" t="inlineStr">
        <is>
          <t>§23</t>
        </is>
      </c>
      <c r="K6" s="95" t="inlineStr">
        <is>
          <t>Bilan – actifs &amp; passifs</t>
        </is>
      </c>
      <c r="L6" s="94" t="n"/>
      <c r="M6" s="94" t="n"/>
      <c r="N6" s="94" t="n"/>
      <c r="O6" s="94" t="n"/>
      <c r="P6" s="94" t="n"/>
    </row>
    <row r="7">
      <c r="A7" s="95" t="inlineStr">
        <is>
          <t>GBP</t>
        </is>
      </c>
      <c r="B7" s="95" t="inlineStr">
        <is>
          <t>Royaume-Uni</t>
        </is>
      </c>
      <c r="C7" s="95" t="inlineStr">
        <is>
          <t>Moyen</t>
        </is>
      </c>
      <c r="D7" s="95" t="n">
        <v>2025</v>
      </c>
      <c r="E7" s="95" t="inlineStr">
        <is>
          <t>H1</t>
        </is>
      </c>
      <c r="F7" s="95" t="n">
        <v>1.152</v>
      </c>
      <c r="G7" s="95" t="n">
        <v>0.8681</v>
      </c>
      <c r="H7" s="95" t="inlineStr">
        <is>
          <t>BCE / BoE</t>
        </is>
      </c>
      <c r="I7" s="95" t="inlineStr">
        <is>
          <t>30/06/2025</t>
        </is>
      </c>
      <c r="J7" s="95" t="inlineStr">
        <is>
          <t>§39</t>
        </is>
      </c>
      <c r="K7" s="95" t="inlineStr">
        <is>
          <t>CR – charges &amp; produits S1</t>
        </is>
      </c>
      <c r="L7" s="94" t="n"/>
      <c r="M7" s="94" t="n"/>
      <c r="N7" s="94" t="n"/>
      <c r="O7" s="94" t="n"/>
      <c r="P7" s="94" t="n"/>
    </row>
    <row r="8">
      <c r="A8" s="95" t="inlineStr">
        <is>
          <t>GBP</t>
        </is>
      </c>
      <c r="B8" s="95" t="inlineStr">
        <is>
          <t>Royaume-Uni</t>
        </is>
      </c>
      <c r="C8" s="95" t="inlineStr">
        <is>
          <t>Moyen</t>
        </is>
      </c>
      <c r="D8" s="95" t="n">
        <v>2025</v>
      </c>
      <c r="E8" s="95" t="inlineStr">
        <is>
          <t>H2</t>
        </is>
      </c>
      <c r="F8" s="95" t="n">
        <v>1.158</v>
      </c>
      <c r="G8" s="95" t="n">
        <v>0.8635</v>
      </c>
      <c r="H8" s="95" t="inlineStr">
        <is>
          <t>BCE / BoE</t>
        </is>
      </c>
      <c r="I8" s="95" t="inlineStr">
        <is>
          <t>31/12/2025</t>
        </is>
      </c>
      <c r="J8" s="95" t="inlineStr">
        <is>
          <t>§39</t>
        </is>
      </c>
      <c r="K8" s="95" t="inlineStr">
        <is>
          <t>CR – charges &amp; produits S2</t>
        </is>
      </c>
      <c r="L8" s="94" t="n"/>
      <c r="M8" s="94" t="n"/>
      <c r="N8" s="94" t="n"/>
      <c r="O8" s="94" t="n"/>
      <c r="P8" s="94" t="n"/>
    </row>
    <row r="9">
      <c r="A9" s="95" t="inlineStr">
        <is>
          <t>GBP</t>
        </is>
      </c>
      <c r="B9" s="95" t="inlineStr">
        <is>
          <t>Royaume-Uni</t>
        </is>
      </c>
      <c r="C9" s="95" t="inlineStr">
        <is>
          <t>Moyen</t>
        </is>
      </c>
      <c r="D9" s="95" t="n">
        <v>2025</v>
      </c>
      <c r="E9" s="95" t="inlineStr">
        <is>
          <t>AN</t>
        </is>
      </c>
      <c r="F9" s="95" t="n">
        <v>1.155</v>
      </c>
      <c r="G9" s="95" t="n">
        <v>0.8658</v>
      </c>
      <c r="H9" s="95" t="inlineStr">
        <is>
          <t>BCE / BoE</t>
        </is>
      </c>
      <c r="I9" s="95" t="inlineStr">
        <is>
          <t>31/12/2025</t>
        </is>
      </c>
      <c r="J9" s="95" t="inlineStr">
        <is>
          <t>§39</t>
        </is>
      </c>
      <c r="K9" s="95" t="inlineStr">
        <is>
          <t>CR – taux annuel moyen</t>
        </is>
      </c>
      <c r="L9" s="94" t="n"/>
      <c r="M9" s="94" t="n"/>
      <c r="N9" s="94" t="n"/>
      <c r="O9" s="94" t="n"/>
      <c r="P9" s="94" t="n"/>
    </row>
    <row r="10">
      <c r="A10" s="95" t="inlineStr">
        <is>
          <t>GBP</t>
        </is>
      </c>
      <c r="B10" s="95" t="inlineStr">
        <is>
          <t>Royaume-Uni</t>
        </is>
      </c>
      <c r="C10" s="95" t="inlineStr">
        <is>
          <t>Historique</t>
        </is>
      </c>
      <c r="D10" s="95" t="n">
        <v>2020</v>
      </c>
      <c r="E10" s="95" t="inlineStr">
        <is>
          <t>Acq</t>
        </is>
      </c>
      <c r="F10" s="95" t="n">
        <v>1.12</v>
      </c>
      <c r="G10" s="95" t="n">
        <v>0.8929</v>
      </c>
      <c r="H10" s="95" t="inlineStr">
        <is>
          <t>BCE</t>
        </is>
      </c>
      <c r="I10" s="95" t="inlineStr">
        <is>
          <t>15/03/2020</t>
        </is>
      </c>
      <c r="J10" s="95" t="inlineStr">
        <is>
          <t>§39</t>
        </is>
      </c>
      <c r="K10" s="95" t="inlineStr">
        <is>
          <t>Capitaux propres – date acquisition UK_Filiale</t>
        </is>
      </c>
      <c r="L10" s="94" t="n"/>
      <c r="M10" s="94" t="n"/>
      <c r="N10" s="94" t="n"/>
      <c r="O10" s="94" t="n"/>
      <c r="P10" s="94" t="n"/>
    </row>
    <row r="11">
      <c r="A11" s="96" t="inlineStr">
        <is>
          <t>USD</t>
        </is>
      </c>
      <c r="B11" s="96" t="inlineStr">
        <is>
          <t>États-Unis</t>
        </is>
      </c>
      <c r="C11" s="96" t="inlineStr">
        <is>
          <t>Clôture</t>
        </is>
      </c>
      <c r="D11" s="96" t="n">
        <v>2025</v>
      </c>
      <c r="E11" s="96" t="n">
        <v>12</v>
      </c>
      <c r="F11" s="96" t="n">
        <v>0.918</v>
      </c>
      <c r="G11" s="96" t="n">
        <v>1.0893</v>
      </c>
      <c r="H11" s="96" t="inlineStr">
        <is>
          <t>BCE / Fed</t>
        </is>
      </c>
      <c r="I11" s="96" t="inlineStr">
        <is>
          <t>31/12/2025</t>
        </is>
      </c>
      <c r="J11" s="96" t="inlineStr">
        <is>
          <t>§23</t>
        </is>
      </c>
      <c r="K11" s="96" t="inlineStr">
        <is>
          <t>Bilan – actifs &amp; passifs</t>
        </is>
      </c>
      <c r="L11" s="94" t="n"/>
      <c r="M11" s="94" t="n"/>
      <c r="N11" s="94" t="n"/>
      <c r="O11" s="94" t="n"/>
      <c r="P11" s="94" t="n"/>
    </row>
    <row r="12">
      <c r="A12" s="96" t="inlineStr">
        <is>
          <t>USD</t>
        </is>
      </c>
      <c r="B12" s="96" t="inlineStr">
        <is>
          <t>États-Unis</t>
        </is>
      </c>
      <c r="C12" s="96" t="inlineStr">
        <is>
          <t>Moyen</t>
        </is>
      </c>
      <c r="D12" s="96" t="n">
        <v>2025</v>
      </c>
      <c r="E12" s="96" t="inlineStr">
        <is>
          <t>H1</t>
        </is>
      </c>
      <c r="F12" s="96" t="n">
        <v>0.928</v>
      </c>
      <c r="G12" s="96" t="n">
        <v>1.0776</v>
      </c>
      <c r="H12" s="96" t="inlineStr">
        <is>
          <t>BCE / Fed</t>
        </is>
      </c>
      <c r="I12" s="96" t="inlineStr">
        <is>
          <t>30/06/2025</t>
        </is>
      </c>
      <c r="J12" s="96" t="inlineStr">
        <is>
          <t>§39</t>
        </is>
      </c>
      <c r="K12" s="96" t="inlineStr">
        <is>
          <t>CR – charges &amp; produits S1</t>
        </is>
      </c>
      <c r="L12" s="94" t="n"/>
      <c r="M12" s="94" t="n"/>
      <c r="N12" s="94" t="n"/>
      <c r="O12" s="94" t="n"/>
      <c r="P12" s="94" t="n"/>
    </row>
    <row r="13">
      <c r="A13" s="96" t="inlineStr">
        <is>
          <t>USD</t>
        </is>
      </c>
      <c r="B13" s="96" t="inlineStr">
        <is>
          <t>États-Unis</t>
        </is>
      </c>
      <c r="C13" s="96" t="inlineStr">
        <is>
          <t>Moyen</t>
        </is>
      </c>
      <c r="D13" s="96" t="n">
        <v>2025</v>
      </c>
      <c r="E13" s="96" t="inlineStr">
        <is>
          <t>H2</t>
        </is>
      </c>
      <c r="F13" s="96" t="n">
        <v>0.922</v>
      </c>
      <c r="G13" s="96" t="n">
        <v>1.0846</v>
      </c>
      <c r="H13" s="96" t="inlineStr">
        <is>
          <t>BCE / Fed</t>
        </is>
      </c>
      <c r="I13" s="96" t="inlineStr">
        <is>
          <t>31/12/2025</t>
        </is>
      </c>
      <c r="J13" s="96" t="inlineStr">
        <is>
          <t>§39</t>
        </is>
      </c>
      <c r="K13" s="96" t="inlineStr">
        <is>
          <t>CR – charges &amp; produits S2</t>
        </is>
      </c>
      <c r="L13" s="94" t="n"/>
      <c r="M13" s="94" t="n"/>
      <c r="N13" s="94" t="n"/>
      <c r="O13" s="94" t="n"/>
      <c r="P13" s="94" t="n"/>
    </row>
    <row r="14">
      <c r="A14" s="96" t="inlineStr">
        <is>
          <t>USD</t>
        </is>
      </c>
      <c r="B14" s="96" t="inlineStr">
        <is>
          <t>États-Unis</t>
        </is>
      </c>
      <c r="C14" s="96" t="inlineStr">
        <is>
          <t>Moyen</t>
        </is>
      </c>
      <c r="D14" s="96" t="n">
        <v>2025</v>
      </c>
      <c r="E14" s="96" t="inlineStr">
        <is>
          <t>AN</t>
        </is>
      </c>
      <c r="F14" s="96" t="n">
        <v>0.925</v>
      </c>
      <c r="G14" s="96" t="n">
        <v>1.0811</v>
      </c>
      <c r="H14" s="96" t="inlineStr">
        <is>
          <t>BCE / Fed</t>
        </is>
      </c>
      <c r="I14" s="96" t="inlineStr">
        <is>
          <t>31/12/2025</t>
        </is>
      </c>
      <c r="J14" s="96" t="inlineStr">
        <is>
          <t>§39</t>
        </is>
      </c>
      <c r="K14" s="96" t="inlineStr">
        <is>
          <t>CR – taux annuel moyen</t>
        </is>
      </c>
      <c r="L14" s="94" t="n"/>
      <c r="M14" s="94" t="n"/>
      <c r="N14" s="94" t="n"/>
      <c r="O14" s="94" t="n"/>
      <c r="P14" s="94" t="n"/>
    </row>
    <row r="15">
      <c r="A15" s="96" t="inlineStr">
        <is>
          <t>USD</t>
        </is>
      </c>
      <c r="B15" s="96" t="inlineStr">
        <is>
          <t>États-Unis</t>
        </is>
      </c>
      <c r="C15" s="96" t="inlineStr">
        <is>
          <t>Historique</t>
        </is>
      </c>
      <c r="D15" s="96" t="n">
        <v>2021</v>
      </c>
      <c r="E15" s="96" t="inlineStr">
        <is>
          <t>Acq</t>
        </is>
      </c>
      <c r="F15" s="96" t="n">
        <v>0.845</v>
      </c>
      <c r="G15" s="96" t="n">
        <v>1.1834</v>
      </c>
      <c r="H15" s="96" t="inlineStr">
        <is>
          <t>BCE</t>
        </is>
      </c>
      <c r="I15" s="97" t="n">
        <v>44197</v>
      </c>
      <c r="J15" s="96" t="inlineStr">
        <is>
          <t>§39</t>
        </is>
      </c>
      <c r="K15" s="96" t="inlineStr">
        <is>
          <t>Capitaux propres – date acquisition US_Filiale</t>
        </is>
      </c>
      <c r="L15" s="94" t="n"/>
      <c r="M15" s="94" t="n"/>
      <c r="N15" s="94" t="n"/>
      <c r="O15" s="94" t="n"/>
      <c r="P15" s="94" t="n"/>
    </row>
    <row r="16">
      <c r="A16" s="98" t="inlineStr">
        <is>
          <t>SGD</t>
        </is>
      </c>
      <c r="B16" s="98" t="inlineStr">
        <is>
          <t>Singapour</t>
        </is>
      </c>
      <c r="C16" s="98" t="inlineStr">
        <is>
          <t>Clôture</t>
        </is>
      </c>
      <c r="D16" s="98" t="n">
        <v>2025</v>
      </c>
      <c r="E16" s="98" t="n">
        <v>12</v>
      </c>
      <c r="F16" s="98" t="n">
        <v>0.678</v>
      </c>
      <c r="G16" s="98" t="n">
        <v>1.4749</v>
      </c>
      <c r="H16" s="98" t="inlineStr">
        <is>
          <t>BCE / MAS</t>
        </is>
      </c>
      <c r="I16" s="98" t="inlineStr">
        <is>
          <t>31/12/2025</t>
        </is>
      </c>
      <c r="J16" s="98" t="inlineStr">
        <is>
          <t>§23</t>
        </is>
      </c>
      <c r="K16" s="98" t="inlineStr">
        <is>
          <t>Bilan – actifs &amp; passifs</t>
        </is>
      </c>
      <c r="L16" s="94" t="n"/>
      <c r="M16" s="94" t="n"/>
      <c r="N16" s="94" t="n"/>
      <c r="O16" s="94" t="n"/>
      <c r="P16" s="94" t="n"/>
    </row>
    <row r="17">
      <c r="A17" s="98" t="inlineStr">
        <is>
          <t>SGD</t>
        </is>
      </c>
      <c r="B17" s="98" t="inlineStr">
        <is>
          <t>Singapour</t>
        </is>
      </c>
      <c r="C17" s="98" t="inlineStr">
        <is>
          <t>Moyen</t>
        </is>
      </c>
      <c r="D17" s="98" t="n">
        <v>2025</v>
      </c>
      <c r="E17" s="98" t="inlineStr">
        <is>
          <t>H1</t>
        </is>
      </c>
      <c r="F17" s="98" t="n">
        <v>0.6840000000000001</v>
      </c>
      <c r="G17" s="98" t="n">
        <v>1.462</v>
      </c>
      <c r="H17" s="98" t="inlineStr">
        <is>
          <t>BCE / MAS</t>
        </is>
      </c>
      <c r="I17" s="98" t="inlineStr">
        <is>
          <t>30/06/2025</t>
        </is>
      </c>
      <c r="J17" s="98" t="inlineStr">
        <is>
          <t>§39</t>
        </is>
      </c>
      <c r="K17" s="98" t="inlineStr">
        <is>
          <t>CR – charges &amp; produits S1</t>
        </is>
      </c>
      <c r="L17" s="94" t="n"/>
      <c r="M17" s="94" t="n"/>
      <c r="N17" s="94" t="n"/>
      <c r="O17" s="94" t="n"/>
      <c r="P17" s="94" t="n"/>
    </row>
    <row r="18">
      <c r="A18" s="98" t="inlineStr">
        <is>
          <t>SGD</t>
        </is>
      </c>
      <c r="B18" s="98" t="inlineStr">
        <is>
          <t>Singapour</t>
        </is>
      </c>
      <c r="C18" s="98" t="inlineStr">
        <is>
          <t>Moyen</t>
        </is>
      </c>
      <c r="D18" s="98" t="n">
        <v>2025</v>
      </c>
      <c r="E18" s="98" t="inlineStr">
        <is>
          <t>H2</t>
        </is>
      </c>
      <c r="F18" s="98" t="n">
        <v>0.68</v>
      </c>
      <c r="G18" s="98" t="n">
        <v>1.4706</v>
      </c>
      <c r="H18" s="98" t="inlineStr">
        <is>
          <t>BCE / MAS</t>
        </is>
      </c>
      <c r="I18" s="98" t="inlineStr">
        <is>
          <t>31/12/2025</t>
        </is>
      </c>
      <c r="J18" s="98" t="inlineStr">
        <is>
          <t>§39</t>
        </is>
      </c>
      <c r="K18" s="98" t="inlineStr">
        <is>
          <t>CR – charges &amp; produits S2</t>
        </is>
      </c>
      <c r="L18" s="94" t="n"/>
      <c r="M18" s="94" t="n"/>
      <c r="N18" s="94" t="n"/>
      <c r="O18" s="94" t="n"/>
      <c r="P18" s="94" t="n"/>
    </row>
    <row r="19">
      <c r="A19" s="98" t="inlineStr">
        <is>
          <t>SGD</t>
        </is>
      </c>
      <c r="B19" s="98" t="inlineStr">
        <is>
          <t>Singapour</t>
        </is>
      </c>
      <c r="C19" s="98" t="inlineStr">
        <is>
          <t>Moyen</t>
        </is>
      </c>
      <c r="D19" s="98" t="n">
        <v>2025</v>
      </c>
      <c r="E19" s="98" t="inlineStr">
        <is>
          <t>AN</t>
        </is>
      </c>
      <c r="F19" s="98" t="n">
        <v>0.6820000000000001</v>
      </c>
      <c r="G19" s="98" t="n">
        <v>1.4663</v>
      </c>
      <c r="H19" s="98" t="inlineStr">
        <is>
          <t>BCE / MAS</t>
        </is>
      </c>
      <c r="I19" s="98" t="inlineStr">
        <is>
          <t>31/12/2025</t>
        </is>
      </c>
      <c r="J19" s="98" t="inlineStr">
        <is>
          <t>§39</t>
        </is>
      </c>
      <c r="K19" s="98" t="inlineStr">
        <is>
          <t>CR – taux annuel moyen</t>
        </is>
      </c>
      <c r="L19" s="94" t="n"/>
      <c r="M19" s="94" t="n"/>
      <c r="N19" s="94" t="n"/>
      <c r="O19" s="94" t="n"/>
      <c r="P19" s="94" t="n"/>
    </row>
    <row r="20">
      <c r="A20" s="98" t="inlineStr">
        <is>
          <t>SGD</t>
        </is>
      </c>
      <c r="B20" s="98" t="inlineStr">
        <is>
          <t>Singapour</t>
        </is>
      </c>
      <c r="C20" s="98" t="inlineStr">
        <is>
          <t>Historique</t>
        </is>
      </c>
      <c r="D20" s="98" t="n">
        <v>2022</v>
      </c>
      <c r="E20" s="98" t="inlineStr">
        <is>
          <t>Acq</t>
        </is>
      </c>
      <c r="F20" s="98" t="n">
        <v>0.65</v>
      </c>
      <c r="G20" s="98" t="n">
        <v>1.5385</v>
      </c>
      <c r="H20" s="98" t="inlineStr">
        <is>
          <t>BCE</t>
        </is>
      </c>
      <c r="I20" s="99" t="n">
        <v>44570</v>
      </c>
      <c r="J20" s="98" t="inlineStr">
        <is>
          <t>§39</t>
        </is>
      </c>
      <c r="K20" s="98" t="inlineStr">
        <is>
          <t>Capitaux propres – date acquisition SG_Filiale</t>
        </is>
      </c>
      <c r="L20" s="94" t="n"/>
      <c r="M20" s="94" t="n"/>
      <c r="N20" s="94" t="n"/>
      <c r="O20" s="94" t="n"/>
      <c r="P20" s="94" t="n"/>
    </row>
    <row r="21">
      <c r="A21" s="100" t="inlineStr">
        <is>
          <t>EUR</t>
        </is>
      </c>
      <c r="B21" s="100" t="inlineStr">
        <is>
          <t>France / Allemagne</t>
        </is>
      </c>
      <c r="C21" s="100" t="inlineStr">
        <is>
          <t>Clôture</t>
        </is>
      </c>
      <c r="D21" s="100" t="n">
        <v>2025</v>
      </c>
      <c r="E21" s="100" t="n">
        <v>12</v>
      </c>
      <c r="F21" s="100" t="n">
        <v>1</v>
      </c>
      <c r="G21" s="100" t="n">
        <v>1</v>
      </c>
      <c r="H21" s="100" t="inlineStr">
        <is>
          <t>N/A</t>
        </is>
      </c>
      <c r="I21" s="100" t="inlineStr">
        <is>
          <t>31/12/2025</t>
        </is>
      </c>
      <c r="J21" s="100" t="inlineStr">
        <is>
          <t>§23</t>
        </is>
      </c>
      <c r="K21" s="100" t="inlineStr">
        <is>
          <t>Devise de présentation – pas de conversion</t>
        </is>
      </c>
      <c r="L21" s="94" t="n"/>
      <c r="M21" s="94" t="n"/>
      <c r="N21" s="94" t="n"/>
      <c r="O21" s="94" t="n"/>
      <c r="P21" s="94" t="n"/>
    </row>
    <row r="22">
      <c r="A22" s="100" t="inlineStr">
        <is>
          <t>EUR</t>
        </is>
      </c>
      <c r="B22" s="100" t="inlineStr">
        <is>
          <t>France / Allemagne</t>
        </is>
      </c>
      <c r="C22" s="100" t="inlineStr">
        <is>
          <t>Moyen</t>
        </is>
      </c>
      <c r="D22" s="100" t="n">
        <v>2025</v>
      </c>
      <c r="E22" s="100" t="inlineStr">
        <is>
          <t>AN</t>
        </is>
      </c>
      <c r="F22" s="100" t="n">
        <v>1</v>
      </c>
      <c r="G22" s="100" t="n">
        <v>1</v>
      </c>
      <c r="H22" s="100" t="inlineStr">
        <is>
          <t>N/A</t>
        </is>
      </c>
      <c r="I22" s="100" t="inlineStr">
        <is>
          <t>31/12/2025</t>
        </is>
      </c>
      <c r="J22" s="100" t="inlineStr">
        <is>
          <t>§39</t>
        </is>
      </c>
      <c r="K22" s="100" t="inlineStr">
        <is>
          <t>Pas de conversion</t>
        </is>
      </c>
      <c r="L22" s="94" t="n"/>
      <c r="M22" s="94" t="n"/>
      <c r="N22" s="94" t="n"/>
      <c r="O22" s="94" t="n"/>
      <c r="P22" s="94" t="n"/>
    </row>
    <row r="23">
      <c r="A23" s="94" t="n"/>
      <c r="B23" s="94" t="n"/>
      <c r="C23" s="94" t="n"/>
      <c r="D23" s="94" t="n"/>
      <c r="E23" s="94" t="n"/>
      <c r="F23" s="94" t="n"/>
      <c r="G23" s="94" t="n"/>
      <c r="H23" s="94" t="n"/>
      <c r="I23" s="94" t="n"/>
      <c r="J23" s="94" t="n"/>
      <c r="K23" s="94" t="n"/>
      <c r="L23" s="94" t="n"/>
      <c r="M23" s="94" t="n"/>
      <c r="N23" s="94" t="n"/>
      <c r="O23" s="94" t="n"/>
      <c r="P23" s="94" t="n"/>
    </row>
    <row r="24">
      <c r="A24" s="94" t="n"/>
      <c r="B24" s="94" t="n"/>
      <c r="C24" s="94" t="n"/>
      <c r="D24" s="94" t="n"/>
      <c r="E24" s="94" t="n"/>
      <c r="F24" s="94" t="n"/>
      <c r="G24" s="94" t="n"/>
      <c r="H24" s="94" t="n"/>
      <c r="I24" s="94" t="n"/>
      <c r="J24" s="94" t="n"/>
      <c r="K24" s="94" t="n"/>
      <c r="L24" s="94" t="n"/>
      <c r="M24" s="94" t="n"/>
      <c r="N24" s="94" t="n"/>
      <c r="O24" s="94" t="n"/>
      <c r="P24" s="94" t="n"/>
    </row>
    <row r="25">
      <c r="A25" s="565" t="inlineStr">
        <is>
          <t>SECTION 2 – TAUX MENSUELS 2025 (pour analyses trimestrielles)</t>
        </is>
      </c>
      <c r="O25" s="94" t="n"/>
      <c r="P25" s="94" t="n"/>
    </row>
    <row r="26">
      <c r="A26" s="543" t="inlineStr">
        <is>
          <t>Mois</t>
        </is>
      </c>
      <c r="B26" s="543" t="inlineStr">
        <is>
          <t>Label</t>
        </is>
      </c>
      <c r="C26" s="543" t="inlineStr">
        <is>
          <t>GBP/EUR</t>
        </is>
      </c>
      <c r="D26" s="543" t="inlineStr">
        <is>
          <t>USD/EUR</t>
        </is>
      </c>
      <c r="E26" s="543" t="inlineStr">
        <is>
          <t>SGD/EUR</t>
        </is>
      </c>
      <c r="F26" s="543" t="inlineStr">
        <is>
          <t>Trimestre</t>
        </is>
      </c>
      <c r="G26" s="94" t="n"/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</row>
    <row r="27">
      <c r="A27" s="81" t="n">
        <v>1</v>
      </c>
      <c r="B27" s="101" t="n">
        <v>45658</v>
      </c>
      <c r="C27" s="81" t="n">
        <v>1.148</v>
      </c>
      <c r="D27" s="81" t="n">
        <v>0.9320000000000001</v>
      </c>
      <c r="E27" s="81" t="n">
        <v>0.6850000000000001</v>
      </c>
      <c r="F27" s="81" t="inlineStr">
        <is>
          <t>T1-2025</t>
        </is>
      </c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</row>
    <row r="28">
      <c r="A28" s="81" t="n">
        <v>2</v>
      </c>
      <c r="B28" s="81" t="inlineStr">
        <is>
          <t>Fév-2025</t>
        </is>
      </c>
      <c r="C28" s="81" t="n">
        <v>1.151</v>
      </c>
      <c r="D28" s="81" t="n">
        <v>0.929</v>
      </c>
      <c r="E28" s="81" t="n">
        <v>0.6840000000000001</v>
      </c>
      <c r="F28" s="81" t="inlineStr">
        <is>
          <t>T1-2025</t>
        </is>
      </c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</row>
    <row r="29">
      <c r="A29" s="81" t="n">
        <v>3</v>
      </c>
      <c r="B29" s="101" t="n">
        <v>45717</v>
      </c>
      <c r="C29" s="81" t="n">
        <v>1.155</v>
      </c>
      <c r="D29" s="81" t="n">
        <v>0.926</v>
      </c>
      <c r="E29" s="81" t="n">
        <v>0.6830000000000001</v>
      </c>
      <c r="F29" s="81" t="inlineStr">
        <is>
          <t>T1-2025</t>
        </is>
      </c>
      <c r="G29" s="94" t="n"/>
      <c r="H29" s="94" t="n"/>
      <c r="I29" s="94" t="n"/>
      <c r="J29" s="94" t="n"/>
      <c r="K29" s="94" t="n"/>
      <c r="L29" s="94" t="n"/>
      <c r="M29" s="94" t="n"/>
      <c r="N29" s="94" t="n"/>
      <c r="O29" s="94" t="n"/>
      <c r="P29" s="94" t="n"/>
    </row>
    <row r="30" ht="15.75" customHeight="1" s="500">
      <c r="A30" s="510" t="inlineStr">
        <is>
          <t>📊  ANALYSE DE SENSIBILITÉ – Impact ±taux de change sur CA des filiales étrangères (k€)</t>
        </is>
      </c>
      <c r="B30" s="95" t="n"/>
      <c r="C30" s="95" t="n"/>
      <c r="D30" s="95" t="n"/>
      <c r="E30" s="95" t="n"/>
      <c r="F30" s="95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</row>
    <row r="31">
      <c r="A31" s="387" t="inlineStr">
        <is>
          <t>Base: Taux BCE au 31/12/2025. Cellules jaunes = valeur centrale. Lié aux taux F6, F11, F16 ci-dessus → se recalcule à chaque mise à jour des taux.</t>
        </is>
      </c>
      <c r="B31" s="95" t="n"/>
      <c r="C31" s="95" t="n"/>
      <c r="D31" s="95" t="n"/>
      <c r="E31" s="95" t="n"/>
      <c r="F31" s="95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</row>
    <row r="32">
      <c r="A32" s="321" t="inlineStr">
        <is>
          <t>Devise / Entité</t>
        </is>
      </c>
      <c r="B32" s="321" t="inlineStr">
        <is>
          <t>CA local (k devise)</t>
        </is>
      </c>
      <c r="C32" s="321" t="inlineStr">
        <is>
          <t>Taux base (live)</t>
        </is>
      </c>
      <c r="D32" s="321" t="inlineStr">
        <is>
          <t>CA EUR base</t>
        </is>
      </c>
      <c r="E32" s="321" t="inlineStr">
        <is>
          <t>-10% taux</t>
        </is>
      </c>
      <c r="F32" s="321" t="inlineStr">
        <is>
          <t>-5% taux</t>
        </is>
      </c>
      <c r="G32" s="309" t="inlineStr">
        <is>
          <t>-2.5% taux</t>
        </is>
      </c>
      <c r="H32" s="309" t="inlineStr">
        <is>
          <t>Base ★</t>
        </is>
      </c>
      <c r="I32" s="309" t="inlineStr">
        <is>
          <t>+2.5% taux</t>
        </is>
      </c>
      <c r="J32" s="309" t="inlineStr">
        <is>
          <t>+5% taux</t>
        </is>
      </c>
      <c r="K32" s="309" t="inlineStr">
        <is>
          <t>+10% taux</t>
        </is>
      </c>
      <c r="L32" s="94" t="n"/>
      <c r="M32" s="94" t="n"/>
      <c r="N32" s="94" t="n"/>
      <c r="O32" s="94" t="n"/>
      <c r="P32" s="94" t="n"/>
    </row>
    <row r="33">
      <c r="A33" s="346" t="inlineStr">
        <is>
          <t>GBP · UK_Filiale</t>
        </is>
      </c>
      <c r="B33" s="388" t="n">
        <v>142000</v>
      </c>
      <c r="C33" s="1078">
        <f>F6</f>
        <v/>
      </c>
      <c r="D33" s="388">
        <f>B33*C33</f>
        <v/>
      </c>
      <c r="E33" s="388">
        <f>B33*(C33*0.9)</f>
        <v/>
      </c>
      <c r="F33" s="388">
        <f>B33*(C33*0.95)</f>
        <v/>
      </c>
      <c r="G33" s="389">
        <f>B33*(C33*0.975)</f>
        <v/>
      </c>
      <c r="H33" s="390">
        <f>B33*C33</f>
        <v/>
      </c>
      <c r="I33" s="389">
        <f>B33*(C33*1.025)</f>
        <v/>
      </c>
      <c r="J33" s="389">
        <f>B33*(C33*1.05)</f>
        <v/>
      </c>
      <c r="K33" s="389">
        <f>B33*(C33*1.1)</f>
        <v/>
      </c>
      <c r="L33" s="94" t="n"/>
      <c r="M33" s="94" t="n"/>
      <c r="N33" s="94" t="n"/>
      <c r="O33" s="94" t="n"/>
      <c r="P33" s="94" t="n"/>
    </row>
    <row r="34">
      <c r="A34" s="63" t="inlineStr">
        <is>
          <t>USD · US_Filiale</t>
        </is>
      </c>
      <c r="B34" s="391" t="n">
        <v>195000</v>
      </c>
      <c r="C34" s="1079">
        <f>F11</f>
        <v/>
      </c>
      <c r="D34" s="391">
        <f>B34*C34</f>
        <v/>
      </c>
      <c r="E34" s="391">
        <f>B34*(C34*0.9)</f>
        <v/>
      </c>
      <c r="F34" s="391">
        <f>B34*(C34*0.95)</f>
        <v/>
      </c>
      <c r="G34" s="392">
        <f>B34*(C34*0.975)</f>
        <v/>
      </c>
      <c r="H34" s="390">
        <f>B34*C34</f>
        <v/>
      </c>
      <c r="I34" s="392">
        <f>B34*(C34*1.025)</f>
        <v/>
      </c>
      <c r="J34" s="392">
        <f>B34*(C34*1.05)</f>
        <v/>
      </c>
      <c r="K34" s="392">
        <f>B34*(C34*1.1)</f>
        <v/>
      </c>
      <c r="L34" s="94" t="n"/>
      <c r="M34" s="94" t="n"/>
      <c r="N34" s="94" t="n"/>
      <c r="O34" s="94" t="n"/>
      <c r="P34" s="94" t="n"/>
    </row>
    <row r="35">
      <c r="A35" s="346" t="inlineStr">
        <is>
          <t>SGD · SG_Filiale</t>
        </is>
      </c>
      <c r="B35" s="388" t="n">
        <v>88000</v>
      </c>
      <c r="C35" s="1078">
        <f>F16</f>
        <v/>
      </c>
      <c r="D35" s="388">
        <f>B35*C35</f>
        <v/>
      </c>
      <c r="E35" s="388">
        <f>B35*(C35*0.9)</f>
        <v/>
      </c>
      <c r="F35" s="388">
        <f>B35*(C35*0.95)</f>
        <v/>
      </c>
      <c r="G35" s="389">
        <f>B35*(C35*0.975)</f>
        <v/>
      </c>
      <c r="H35" s="390">
        <f>B35*C35</f>
        <v/>
      </c>
      <c r="I35" s="389">
        <f>B35*(C35*1.025)</f>
        <v/>
      </c>
      <c r="J35" s="389">
        <f>B35*(C35*1.05)</f>
        <v/>
      </c>
      <c r="K35" s="389">
        <f>B35*(C35*1.1)</f>
        <v/>
      </c>
      <c r="L35" s="94" t="n"/>
      <c r="M35" s="94" t="n"/>
      <c r="N35" s="94" t="n"/>
      <c r="O35" s="94" t="n"/>
      <c r="P35" s="94" t="n"/>
    </row>
    <row r="36">
      <c r="A36" s="326" t="inlineStr">
        <is>
          <t>TOTAL CA ÉTRANGER</t>
        </is>
      </c>
      <c r="B36" s="393" t="n">
        <v>45931</v>
      </c>
      <c r="C36" s="394" t="n">
        <v>1.162</v>
      </c>
      <c r="D36" s="399">
        <f>SUM(D33:D35)</f>
        <v/>
      </c>
      <c r="E36" s="399">
        <f>SUM(E33:E35)</f>
        <v/>
      </c>
      <c r="F36" s="399">
        <f>SUM(F33:F35)</f>
        <v/>
      </c>
      <c r="G36" s="395">
        <f>SUM(G33:G35)</f>
        <v/>
      </c>
      <c r="H36" s="390">
        <f>SUM(H33:H35)</f>
        <v/>
      </c>
      <c r="I36" s="395">
        <f>SUM(I33:I35)</f>
        <v/>
      </c>
      <c r="J36" s="395">
        <f>SUM(J33:J35)</f>
        <v/>
      </c>
      <c r="K36" s="395">
        <f>SUM(K33:K35)</f>
        <v/>
      </c>
      <c r="L36" s="94" t="n"/>
      <c r="M36" s="94" t="n"/>
      <c r="N36" s="94" t="n"/>
      <c r="O36" s="94" t="n"/>
      <c r="P36" s="94" t="n"/>
    </row>
    <row r="37">
      <c r="A37" s="400" t="inlineStr">
        <is>
          <t>Impact Δ vs base</t>
        </is>
      </c>
      <c r="B37" s="102" t="n">
        <v>45962</v>
      </c>
      <c r="C37" s="96" t="n">
        <v>1.164</v>
      </c>
      <c r="D37" s="96" t="n">
        <v>0.916</v>
      </c>
      <c r="E37" s="401">
        <f>E36-H36</f>
        <v/>
      </c>
      <c r="F37" s="401">
        <f>F36-H36</f>
        <v/>
      </c>
      <c r="G37" s="402">
        <f>G36-H36</f>
        <v/>
      </c>
      <c r="H37" s="94" t="inlineStr">
        <is>
          <t>—</t>
        </is>
      </c>
      <c r="I37" s="402">
        <f>I36-H36</f>
        <v/>
      </c>
      <c r="J37" s="402">
        <f>J36-H36</f>
        <v/>
      </c>
      <c r="K37" s="402">
        <f>K36-H36</f>
        <v/>
      </c>
      <c r="L37" s="94" t="n"/>
      <c r="M37" s="94" t="n"/>
      <c r="N37" s="94" t="n"/>
      <c r="O37" s="94" t="n"/>
      <c r="P37" s="94" t="n"/>
    </row>
    <row r="38">
      <c r="A38" s="96" t="n">
        <v>12</v>
      </c>
      <c r="B38" s="96" t="inlineStr">
        <is>
          <t>Déc-2025</t>
        </is>
      </c>
      <c r="C38" s="96" t="n">
        <v>1.165</v>
      </c>
      <c r="D38" s="96" t="n">
        <v>0.918</v>
      </c>
      <c r="E38" s="96" t="n">
        <v>0.678</v>
      </c>
      <c r="F38" s="96" t="inlineStr">
        <is>
          <t>T4-2025</t>
        </is>
      </c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</row>
    <row r="39">
      <c r="A39" s="94" t="n"/>
      <c r="B39" s="94" t="n"/>
      <c r="C39" s="94" t="n"/>
      <c r="D39" s="94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</row>
    <row r="40">
      <c r="A40" s="94" t="n"/>
      <c r="B40" s="94" t="n"/>
      <c r="C40" s="94" t="n"/>
      <c r="D40" s="94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</row>
    <row r="41">
      <c r="A41" s="565" t="inlineStr">
        <is>
          <t>SECTION 3 – CALCUL ÉCART DE CONVERSION (IAS 21 §41 – Impact OCI)</t>
        </is>
      </c>
      <c r="O41" s="94" t="n"/>
      <c r="P41" s="94" t="n"/>
    </row>
    <row r="42">
      <c r="A42" s="543" t="inlineStr">
        <is>
          <t>Filiale</t>
        </is>
      </c>
      <c r="B42" s="543" t="inlineStr">
        <is>
          <t>Devise</t>
        </is>
      </c>
      <c r="C42" s="543" t="inlineStr">
        <is>
          <t>Actif Net (monnaie loc.)</t>
        </is>
      </c>
      <c r="D42" s="543" t="inlineStr">
        <is>
          <t>Taux Clôture</t>
        </is>
      </c>
      <c r="E42" s="543" t="inlineStr">
        <is>
          <t>Taux Moyen</t>
        </is>
      </c>
      <c r="F42" s="543" t="inlineStr">
        <is>
          <t>Actif Net (taux clôt.)</t>
        </is>
      </c>
      <c r="G42" s="543" t="inlineStr">
        <is>
          <t>Actif Net (taux moy.)</t>
        </is>
      </c>
      <c r="H42" s="543" t="inlineStr">
        <is>
          <t>Écart Conv. OCI</t>
        </is>
      </c>
      <c r="I42" s="94" t="n"/>
      <c r="J42" s="94" t="n"/>
      <c r="K42" s="94" t="n"/>
      <c r="L42" s="94" t="n"/>
      <c r="M42" s="94" t="n"/>
      <c r="N42" s="94" t="n"/>
      <c r="O42" s="94" t="n"/>
      <c r="P42" s="94" t="n"/>
    </row>
    <row r="43">
      <c r="A43" s="95" t="inlineStr">
        <is>
          <t>UK_Filiale</t>
        </is>
      </c>
      <c r="B43" s="95" t="inlineStr">
        <is>
          <t>GBP</t>
        </is>
      </c>
      <c r="C43" s="95" t="n">
        <v>148800</v>
      </c>
      <c r="D43" s="95" t="n">
        <v>1.165</v>
      </c>
      <c r="E43" s="95" t="n">
        <v>1.155</v>
      </c>
      <c r="F43" s="95">
        <f>148800*1.165</f>
        <v/>
      </c>
      <c r="G43" s="95">
        <f>148800*1.155</f>
        <v/>
      </c>
      <c r="H43" s="95">
        <f>(148800*1.165)-(148800*1.155)</f>
        <v/>
      </c>
      <c r="I43" s="94" t="n"/>
      <c r="J43" s="94" t="n"/>
      <c r="K43" s="94" t="n"/>
      <c r="L43" s="94" t="n"/>
      <c r="M43" s="94" t="n"/>
      <c r="N43" s="94" t="n"/>
      <c r="O43" s="94" t="n"/>
      <c r="P43" s="94" t="n"/>
    </row>
    <row r="44">
      <c r="A44" s="540" t="inlineStr">
        <is>
          <t>US_Filiale</t>
        </is>
      </c>
      <c r="B44" s="540" t="inlineStr">
        <is>
          <t>USD</t>
        </is>
      </c>
      <c r="C44" s="540" t="n">
        <v>154200</v>
      </c>
      <c r="D44" s="540" t="n">
        <v>0.918</v>
      </c>
      <c r="E44" s="540" t="n">
        <v>0.925</v>
      </c>
      <c r="F44" s="540">
        <f>154200*0.918</f>
        <v/>
      </c>
      <c r="G44" s="540">
        <f>154200*0.925</f>
        <v/>
      </c>
      <c r="H44" s="540">
        <f>(154200*0.918)-(154200*0.925)</f>
        <v/>
      </c>
      <c r="I44" s="94" t="n"/>
      <c r="J44" s="94" t="n"/>
      <c r="K44" s="94" t="n"/>
      <c r="L44" s="94" t="n"/>
      <c r="M44" s="94" t="n"/>
      <c r="N44" s="94" t="n"/>
      <c r="O44" s="94" t="n"/>
      <c r="P44" s="94" t="n"/>
    </row>
    <row r="45">
      <c r="A45" s="95" t="inlineStr">
        <is>
          <t>SG_Filiale</t>
        </is>
      </c>
      <c r="B45" s="95" t="inlineStr">
        <is>
          <t>SGD</t>
        </is>
      </c>
      <c r="C45" s="95" t="n">
        <v>72800</v>
      </c>
      <c r="D45" s="95" t="n">
        <v>0.678</v>
      </c>
      <c r="E45" s="95" t="n">
        <v>0.6820000000000001</v>
      </c>
      <c r="F45" s="95">
        <f>72800*0.678</f>
        <v/>
      </c>
      <c r="G45" s="95">
        <f>72800*0.682</f>
        <v/>
      </c>
      <c r="H45" s="95">
        <f>(72800*0.678)-(72800*0.682)</f>
        <v/>
      </c>
      <c r="I45" s="94" t="n"/>
      <c r="J45" s="94" t="n"/>
      <c r="K45" s="94" t="n"/>
      <c r="L45" s="94" t="n"/>
      <c r="M45" s="94" t="n"/>
      <c r="N45" s="94" t="n"/>
      <c r="O45" s="94" t="n"/>
      <c r="P45" s="94" t="n"/>
    </row>
    <row r="46">
      <c r="A46" s="103" t="inlineStr">
        <is>
          <t>TOTAL ÉCART DE CONVERSION (→ OCI Bilan consolidé)</t>
        </is>
      </c>
      <c r="B46" s="104" t="n"/>
      <c r="C46" s="104" t="n"/>
      <c r="D46" s="104" t="n"/>
      <c r="E46" s="104" t="n"/>
      <c r="F46" s="104" t="n"/>
      <c r="G46" s="94" t="n"/>
      <c r="H46" s="103">
        <f>SUM(H43:H45)</f>
        <v/>
      </c>
      <c r="I46" s="94" t="n"/>
      <c r="J46" s="94" t="n"/>
      <c r="K46" s="94" t="n"/>
      <c r="L46" s="94" t="n"/>
      <c r="M46" s="94" t="n"/>
      <c r="N46" s="94" t="n"/>
      <c r="O46" s="94" t="n"/>
      <c r="P46" s="94" t="n"/>
    </row>
    <row r="47">
      <c r="A47" s="94" t="n"/>
      <c r="B47" s="94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</row>
    <row r="48">
      <c r="A48" s="94" t="n"/>
      <c r="B48" s="94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L48" s="94" t="n"/>
      <c r="M48" s="94" t="n"/>
      <c r="N48" s="94" t="n"/>
      <c r="O48" s="94" t="n"/>
      <c r="P48" s="94" t="n"/>
    </row>
    <row r="49">
      <c r="A49" s="94" t="n"/>
      <c r="B49" s="94" t="n"/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  <c r="L49" s="94" t="n"/>
      <c r="M49" s="94" t="n"/>
      <c r="N49" s="94" t="n"/>
      <c r="O49" s="94" t="n"/>
      <c r="P49" s="94" t="n"/>
    </row>
    <row r="50">
      <c r="A50" s="94" t="n"/>
      <c r="B50" s="94" t="n"/>
      <c r="C50" s="94" t="n"/>
      <c r="D50" s="94" t="n"/>
      <c r="E50" s="94" t="n"/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</row>
    <row r="51">
      <c r="A51" s="94" t="n"/>
      <c r="B51" s="94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L51" s="94" t="n"/>
      <c r="M51" s="94" t="n"/>
      <c r="N51" s="94" t="n"/>
      <c r="O51" s="94" t="n"/>
      <c r="P51" s="94" t="n"/>
    </row>
    <row r="52">
      <c r="A52" s="94" t="n"/>
      <c r="B52" s="94" t="n"/>
      <c r="C52" s="94" t="n"/>
      <c r="D52" s="94" t="n"/>
      <c r="E52" s="94" t="n"/>
      <c r="F52" s="94" t="n"/>
      <c r="G52" s="94" t="n"/>
      <c r="H52" s="94" t="n"/>
      <c r="I52" s="94" t="n"/>
      <c r="J52" s="94" t="n"/>
      <c r="K52" s="94" t="n"/>
      <c r="L52" s="94" t="n"/>
      <c r="M52" s="94" t="n"/>
      <c r="N52" s="94" t="n"/>
      <c r="O52" s="94" t="n"/>
      <c r="P52" s="94" t="n"/>
    </row>
    <row r="53">
      <c r="A53" s="94" t="n"/>
      <c r="B53" s="94" t="n"/>
      <c r="C53" s="94" t="n"/>
      <c r="D53" s="94" t="n"/>
      <c r="E53" s="94" t="n"/>
      <c r="F53" s="94" t="n"/>
      <c r="G53" s="94" t="n"/>
      <c r="H53" s="94" t="n"/>
      <c r="I53" s="94" t="n"/>
      <c r="J53" s="94" t="n"/>
      <c r="K53" s="94" t="n"/>
      <c r="L53" s="94" t="n"/>
      <c r="M53" s="94" t="n"/>
      <c r="N53" s="94" t="n"/>
      <c r="O53" s="94" t="n"/>
      <c r="P53" s="94" t="n"/>
    </row>
    <row r="54">
      <c r="A54" s="94" t="n"/>
      <c r="B54" s="94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4" t="n"/>
      <c r="L54" s="94" t="n"/>
      <c r="M54" s="94" t="n"/>
      <c r="N54" s="94" t="n"/>
      <c r="O54" s="94" t="n"/>
      <c r="P54" s="94" t="n"/>
    </row>
    <row r="55">
      <c r="A55" s="94" t="n"/>
      <c r="B55" s="94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</row>
    <row r="56">
      <c r="A56" s="94" t="n"/>
      <c r="B56" s="94" t="n"/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  <c r="L56" s="94" t="n"/>
      <c r="M56" s="94" t="n"/>
      <c r="N56" s="94" t="n"/>
      <c r="O56" s="94" t="n"/>
      <c r="P56" s="94" t="n"/>
    </row>
    <row r="57">
      <c r="A57" s="94" t="n"/>
      <c r="B57" s="94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</row>
    <row r="58">
      <c r="A58" s="94" t="n"/>
      <c r="B58" s="94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L58" s="94" t="n"/>
      <c r="M58" s="94" t="n"/>
      <c r="N58" s="94" t="n"/>
      <c r="O58" s="94" t="n"/>
      <c r="P58" s="94" t="n"/>
    </row>
    <row r="59">
      <c r="A59" s="94" t="n"/>
      <c r="B59" s="94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n"/>
    </row>
    <row r="60">
      <c r="A60" s="94" t="n"/>
      <c r="B60" s="94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 t="n"/>
      <c r="O60" s="94" t="n"/>
      <c r="P60" s="94" t="n"/>
    </row>
    <row r="61">
      <c r="A61" s="94" t="n"/>
      <c r="B61" s="94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L61" s="94" t="n"/>
      <c r="M61" s="94" t="n"/>
      <c r="N61" s="94" t="n"/>
      <c r="O61" s="94" t="n"/>
      <c r="P61" s="94" t="n"/>
    </row>
    <row r="62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</row>
    <row r="63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</row>
    <row r="64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</row>
    <row r="65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O65" s="94" t="n"/>
      <c r="P65" s="94" t="n"/>
    </row>
    <row r="66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O66" s="94" t="n"/>
      <c r="P66" s="94" t="n"/>
    </row>
    <row r="67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O67" s="94" t="n"/>
      <c r="P67" s="94" t="n"/>
    </row>
    <row r="68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O68" s="94" t="n"/>
      <c r="P68" s="94" t="n"/>
    </row>
    <row r="69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O69" s="94" t="n"/>
      <c r="P69" s="94" t="n"/>
    </row>
    <row r="70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O70" s="94" t="n"/>
      <c r="P70" s="94" t="n"/>
    </row>
    <row r="71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O71" s="94" t="n"/>
      <c r="P71" s="94" t="n"/>
    </row>
    <row r="72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O72" s="94" t="n"/>
      <c r="P72" s="94" t="n"/>
    </row>
    <row r="73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O73" s="94" t="n"/>
      <c r="P73" s="94" t="n"/>
    </row>
    <row r="74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O74" s="94" t="n"/>
      <c r="P74" s="94" t="n"/>
    </row>
    <row r="75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O75" s="94" t="n"/>
      <c r="P75" s="94" t="n"/>
    </row>
    <row r="76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O76" s="94" t="n"/>
      <c r="P76" s="94" t="n"/>
    </row>
    <row r="77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O77" s="94" t="n"/>
      <c r="P77" s="94" t="n"/>
    </row>
    <row r="78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O78" s="94" t="n"/>
      <c r="P78" s="94" t="n"/>
    </row>
    <row r="79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O79" s="94" t="n"/>
      <c r="P79" s="94" t="n"/>
    </row>
    <row r="80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94" t="n"/>
    </row>
  </sheetData>
  <mergeCells count="5">
    <mergeCell ref="A4:N4"/>
    <mergeCell ref="A2:N2"/>
    <mergeCell ref="A25:N25"/>
    <mergeCell ref="A41:N41"/>
    <mergeCell ref="A1:N1"/>
  </mergeCells>
  <dataValidations count="1">
    <dataValidation sqref="F6:F20" showDropDown="0" showInputMessage="1" showErrorMessage="1" allowBlank="1" errorTitle="Taux invalide" error="Le taux doit être compris entre 0.1 et 5. Vérifiez la source BCE ou BoE." promptTitle="Taux de change IAS 21" prompt="Saisissez un taux entre 0.1 et 5 (EUR ratio). Ex: 1.165 pour GBP, 0.918 pour USD." type="decimal">
      <formula1>0.1</formula1>
      <formula2>5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8E44AD"/>
    <outlinePr summaryBelow="1" summaryRight="1"/>
    <pageSetUpPr/>
  </sheetPr>
  <dimension ref="A1:R80"/>
  <sheetViews>
    <sheetView workbookViewId="0">
      <selection activeCell="A28" sqref="A28:J28"/>
    </sheetView>
  </sheetViews>
  <sheetFormatPr baseColWidth="10" defaultRowHeight="15"/>
  <cols>
    <col width="29.28515625" customWidth="1" style="500" min="1" max="1"/>
    <col width="16" customWidth="1" style="500" min="2" max="2"/>
    <col width="24" customWidth="1" style="500" min="3" max="3"/>
    <col width="21.28515625" customWidth="1" style="500" min="4" max="4"/>
    <col width="24" customWidth="1" style="500" min="5" max="5"/>
    <col width="21.28515625" customWidth="1" style="500" min="6" max="7"/>
    <col width="24" customWidth="1" style="500" min="8" max="8"/>
    <col width="21.28515625" customWidth="1" style="500" min="9" max="9"/>
    <col width="46.7109375" customWidth="1" style="500" min="10" max="10"/>
  </cols>
  <sheetData>
    <row r="1" ht="17.25" customHeight="1" s="500">
      <c r="A1" s="554" t="inlineStr">
        <is>
          <t>🏢  PQ_DETENTION – TABLE % DÉTENTION &amp; CALCUL INTÉRÊTS MINORITAIRES (NCI) · IFRS 10 / IFRS 3</t>
        </is>
      </c>
      <c r="Q1" s="94" t="n"/>
      <c r="R1" s="94" t="n"/>
    </row>
    <row r="2">
      <c r="A2" s="564" t="inlineStr">
        <is>
          <t>IFRS 10 §22 : Intégration globale si contrôle exclusif (&gt; 50% droits de vote) · IFRS 3 : NCI = % minoritaires × Actif Net JV à date d'acquisition</t>
        </is>
      </c>
      <c r="Q2" s="94" t="n"/>
      <c r="R2" s="94" t="n"/>
    </row>
    <row r="3">
      <c r="A3" s="94" t="n"/>
      <c r="B3" s="94" t="n"/>
      <c r="C3" s="94" t="n"/>
      <c r="D3" s="94" t="n"/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</row>
    <row r="4">
      <c r="A4" s="565" t="inlineStr">
        <is>
          <t>SECTION 1 – STRUCTURE DE DÉTENTION DU GROUPE (Table de référence Power Query)</t>
        </is>
      </c>
      <c r="Q4" s="94" t="n"/>
      <c r="R4" s="94" t="n"/>
    </row>
    <row r="5">
      <c r="A5" s="543" t="inlineStr">
        <is>
          <t>EntitéFiliale</t>
        </is>
      </c>
      <c r="B5" s="543" t="inlineStr">
        <is>
          <t>EntitéMère</t>
        </is>
      </c>
      <c r="C5" s="543" t="inlineStr">
        <is>
          <t>PctDetentionDirecte</t>
        </is>
      </c>
      <c r="D5" s="543" t="inlineStr">
        <is>
          <t>PctDetentionIndirecte</t>
        </is>
      </c>
      <c r="E5" s="543" t="inlineStr">
        <is>
          <t>PctDetentionTotal</t>
        </is>
      </c>
      <c r="F5" s="543" t="inlineStr">
        <is>
          <t>PctNCI</t>
        </is>
      </c>
      <c r="G5" s="543" t="inlineStr">
        <is>
          <t>MethodeConsol</t>
        </is>
      </c>
      <c r="H5" s="543" t="inlineStr">
        <is>
          <t>Devise</t>
        </is>
      </c>
      <c r="I5" s="543" t="inlineStr">
        <is>
          <t>DateAcquisition</t>
        </is>
      </c>
      <c r="J5" s="543" t="inlineStr">
        <is>
          <t>TauxHistorique</t>
        </is>
      </c>
      <c r="K5" s="543" t="inlineStr">
        <is>
          <t>PrixAcquisition_kEUR</t>
        </is>
      </c>
      <c r="L5" s="543" t="inlineStr">
        <is>
          <t>ActifNetJVAcq_kEUR</t>
        </is>
      </c>
      <c r="M5" s="543" t="inlineStr">
        <is>
          <t>GoodwillBrut_kEUR</t>
        </is>
      </c>
      <c r="N5" s="543" t="inlineStr">
        <is>
          <t>GoodwillNet_kEUR</t>
        </is>
      </c>
      <c r="O5" s="543" t="inlineStr">
        <is>
          <t>NormeRegroupement</t>
        </is>
      </c>
      <c r="P5" s="543" t="inlineStr">
        <is>
          <t>Commentaire</t>
        </is>
      </c>
      <c r="Q5" s="94" t="n"/>
      <c r="R5" s="94" t="n"/>
    </row>
    <row r="6">
      <c r="A6" s="95" t="inlineStr">
        <is>
          <t>DE_Filiale</t>
        </is>
      </c>
      <c r="B6" s="95" t="inlineStr">
        <is>
          <t>FR_ParentCo</t>
        </is>
      </c>
      <c r="C6" s="95" t="n">
        <v>1</v>
      </c>
      <c r="D6" s="95" t="n">
        <v>0</v>
      </c>
      <c r="E6" s="95" t="n">
        <v>1</v>
      </c>
      <c r="F6" s="95" t="n">
        <v>0</v>
      </c>
      <c r="G6" s="95" t="inlineStr">
        <is>
          <t>Intégration Globale</t>
        </is>
      </c>
      <c r="H6" s="95" t="inlineStr">
        <is>
          <t>EUR</t>
        </is>
      </c>
      <c r="I6" s="105" t="n">
        <v>43472</v>
      </c>
      <c r="J6" s="95" t="n">
        <v>1</v>
      </c>
      <c r="K6" s="95" t="n">
        <v>85000</v>
      </c>
      <c r="L6" s="95" t="n">
        <v>62000</v>
      </c>
      <c r="M6" s="95" t="n">
        <v>23000</v>
      </c>
      <c r="N6" s="95" t="n">
        <v>19500</v>
      </c>
      <c r="O6" s="95" t="inlineStr">
        <is>
          <t>IFRS 3</t>
        </is>
      </c>
      <c r="P6" s="95" t="inlineStr">
        <is>
          <t>100% → NCI = 0</t>
        </is>
      </c>
      <c r="Q6" s="94" t="n"/>
      <c r="R6" s="94" t="n"/>
    </row>
    <row r="7">
      <c r="A7" s="540" t="inlineStr">
        <is>
          <t>UK_Filiale</t>
        </is>
      </c>
      <c r="B7" s="540" t="inlineStr">
        <is>
          <t>FR_ParentCo</t>
        </is>
      </c>
      <c r="C7" s="540" t="n">
        <v>0.8</v>
      </c>
      <c r="D7" s="540" t="n">
        <v>0</v>
      </c>
      <c r="E7" s="540" t="n">
        <v>0.8</v>
      </c>
      <c r="F7" s="540" t="n">
        <v>0.2</v>
      </c>
      <c r="G7" s="540" t="inlineStr">
        <is>
          <t>Intégration Globale</t>
        </is>
      </c>
      <c r="H7" s="540" t="inlineStr">
        <is>
          <t>GBP</t>
        </is>
      </c>
      <c r="I7" s="540" t="inlineStr">
        <is>
          <t>15/03/2020</t>
        </is>
      </c>
      <c r="J7" s="540" t="n">
        <v>1.12</v>
      </c>
      <c r="K7" s="540" t="n">
        <v>72000</v>
      </c>
      <c r="L7" s="540" t="n">
        <v>48500</v>
      </c>
      <c r="M7" s="540" t="n">
        <v>23500</v>
      </c>
      <c r="N7" s="540" t="n">
        <v>19300</v>
      </c>
      <c r="O7" s="540" t="inlineStr">
        <is>
          <t>IFRS 3</t>
        </is>
      </c>
      <c r="P7" s="540" t="inlineStr">
        <is>
          <t>20% NCI → full GW method</t>
        </is>
      </c>
      <c r="Q7" s="94" t="n"/>
      <c r="R7" s="94" t="n"/>
    </row>
    <row r="8">
      <c r="A8" s="95" t="inlineStr">
        <is>
          <t>US_Filiale</t>
        </is>
      </c>
      <c r="B8" s="95" t="inlineStr">
        <is>
          <t>FR_ParentCo</t>
        </is>
      </c>
      <c r="C8" s="95" t="n">
        <v>0.75</v>
      </c>
      <c r="D8" s="95" t="n">
        <v>0</v>
      </c>
      <c r="E8" s="95" t="n">
        <v>0.75</v>
      </c>
      <c r="F8" s="95" t="n">
        <v>0.25</v>
      </c>
      <c r="G8" s="95" t="inlineStr">
        <is>
          <t>Intégration Globale</t>
        </is>
      </c>
      <c r="H8" s="95" t="inlineStr">
        <is>
          <t>USD</t>
        </is>
      </c>
      <c r="I8" s="105" t="n">
        <v>44197</v>
      </c>
      <c r="J8" s="95" t="n">
        <v>0.845</v>
      </c>
      <c r="K8" s="95" t="n">
        <v>95000</v>
      </c>
      <c r="L8" s="95" t="n">
        <v>71000</v>
      </c>
      <c r="M8" s="95" t="n">
        <v>24000</v>
      </c>
      <c r="N8" s="95" t="n">
        <v>18200</v>
      </c>
      <c r="O8" s="95" t="inlineStr">
        <is>
          <t>IFRS 3</t>
        </is>
      </c>
      <c r="P8" s="95" t="inlineStr">
        <is>
          <t>25% NCI</t>
        </is>
      </c>
      <c r="Q8" s="94" t="n"/>
      <c r="R8" s="94" t="n"/>
    </row>
    <row r="9">
      <c r="A9" s="106" t="inlineStr">
        <is>
          <t>SG_Filiale</t>
        </is>
      </c>
      <c r="B9" s="106" t="inlineStr">
        <is>
          <t>FR_ParentCo</t>
        </is>
      </c>
      <c r="C9" s="106" t="n">
        <v>0.6</v>
      </c>
      <c r="D9" s="106" t="n">
        <v>0</v>
      </c>
      <c r="E9" s="106" t="n">
        <v>0.6</v>
      </c>
      <c r="F9" s="106" t="n">
        <v>0.4</v>
      </c>
      <c r="G9" s="106" t="inlineStr">
        <is>
          <t>Intégration Globale</t>
        </is>
      </c>
      <c r="H9" s="106" t="inlineStr">
        <is>
          <t>SGD</t>
        </is>
      </c>
      <c r="I9" s="107" t="n">
        <v>44570</v>
      </c>
      <c r="J9" s="106" t="n">
        <v>0.65</v>
      </c>
      <c r="K9" s="106" t="n">
        <v>38000</v>
      </c>
      <c r="L9" s="106" t="n">
        <v>28500</v>
      </c>
      <c r="M9" s="106" t="n">
        <v>9500</v>
      </c>
      <c r="N9" s="106" t="n">
        <v>8300</v>
      </c>
      <c r="O9" s="106" t="inlineStr">
        <is>
          <t>IFRS 3</t>
        </is>
      </c>
      <c r="P9" s="106" t="inlineStr">
        <is>
          <t>40% NCI – attention seuil de contrôle</t>
        </is>
      </c>
      <c r="Q9" s="94" t="n"/>
      <c r="R9" s="94" t="n"/>
    </row>
    <row r="10">
      <c r="A10" s="95" t="inlineStr">
        <is>
          <t>FR_ParentCo</t>
        </is>
      </c>
      <c r="B10" s="95" t="inlineStr">
        <is>
          <t>—</t>
        </is>
      </c>
      <c r="C10" s="95" t="n">
        <v>1</v>
      </c>
      <c r="D10" s="95" t="n">
        <v>0</v>
      </c>
      <c r="E10" s="95" t="n">
        <v>1</v>
      </c>
      <c r="F10" s="95" t="n">
        <v>0</v>
      </c>
      <c r="G10" s="95" t="inlineStr">
        <is>
          <t>Mère / Entité présentante</t>
        </is>
      </c>
      <c r="H10" s="95" t="inlineStr">
        <is>
          <t>EUR</t>
        </is>
      </c>
      <c r="I10" s="95" t="inlineStr">
        <is>
          <t>—</t>
        </is>
      </c>
      <c r="J10" s="95" t="n">
        <v>1</v>
      </c>
      <c r="K10" s="95" t="n">
        <v>0</v>
      </c>
      <c r="L10" s="95" t="n">
        <v>0</v>
      </c>
      <c r="M10" s="95" t="n">
        <v>0</v>
      </c>
      <c r="N10" s="95" t="n">
        <v>0</v>
      </c>
      <c r="O10" s="95" t="inlineStr">
        <is>
          <t>—</t>
        </is>
      </c>
      <c r="P10" s="95" t="inlineStr">
        <is>
          <t>Société mère – pas de NCI</t>
        </is>
      </c>
      <c r="Q10" s="94" t="n"/>
      <c r="R10" s="94" t="n"/>
    </row>
    <row r="11">
      <c r="A11" s="94" t="n"/>
      <c r="B11" s="94" t="n"/>
      <c r="C11" s="94" t="n"/>
      <c r="D11" s="94" t="n"/>
      <c r="E11" s="94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</row>
    <row r="12">
      <c r="A12" s="94" t="n"/>
      <c r="B12" s="94" t="n"/>
      <c r="C12" s="94" t="n"/>
      <c r="D12" s="94" t="n"/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4" t="n"/>
      <c r="R12" s="94" t="n"/>
    </row>
    <row r="13">
      <c r="A13" s="565" t="inlineStr">
        <is>
          <t>SECTION 2 – CALCUL NCI PAR COMPOSANTE (IFRS 10 / IFRS 3)</t>
        </is>
      </c>
      <c r="Q13" s="94" t="n"/>
      <c r="R13" s="94" t="n"/>
    </row>
    <row r="14">
      <c r="A14" s="543" t="inlineStr">
        <is>
          <t>Filiale</t>
        </is>
      </c>
      <c r="B14" s="543" t="inlineStr">
        <is>
          <t>% NCI</t>
        </is>
      </c>
      <c r="C14" s="543" t="inlineStr">
        <is>
          <t>Actif Net (k€)</t>
        </is>
      </c>
      <c r="D14" s="543" t="inlineStr">
        <is>
          <t>NCI Bilan (k€)</t>
        </is>
      </c>
      <c r="E14" s="543" t="inlineStr">
        <is>
          <t>RN Filiale (k€)</t>
        </is>
      </c>
      <c r="F14" s="543" t="inlineStr">
        <is>
          <t>NCI Résultat (k€)</t>
        </is>
      </c>
      <c r="G14" s="543" t="inlineStr">
        <is>
          <t>Dividendes (k€)</t>
        </is>
      </c>
      <c r="H14" s="543" t="inlineStr">
        <is>
          <t>NCI Dividendes (k€)</t>
        </is>
      </c>
      <c r="I14" s="543" t="inlineStr">
        <is>
          <t>Variation NCI</t>
        </is>
      </c>
      <c r="J14" s="543" t="inlineStr">
        <is>
          <t>Commentaire</t>
        </is>
      </c>
      <c r="K14" s="94" t="n"/>
      <c r="L14" s="94" t="n"/>
      <c r="M14" s="94" t="n"/>
      <c r="N14" s="94" t="n"/>
      <c r="O14" s="94" t="n"/>
      <c r="P14" s="94" t="n"/>
      <c r="Q14" s="94" t="n"/>
      <c r="R14" s="94" t="n"/>
    </row>
    <row r="15">
      <c r="A15" s="95" t="inlineStr">
        <is>
          <t>DE_Filiale</t>
        </is>
      </c>
      <c r="B15" s="108" t="n">
        <v>0</v>
      </c>
      <c r="C15" s="95" t="n">
        <v>148200</v>
      </c>
      <c r="D15" s="95">
        <f>C15*B15</f>
        <v/>
      </c>
      <c r="E15" s="95" t="n">
        <v>18500</v>
      </c>
      <c r="F15" s="95">
        <f>E15*B15</f>
        <v/>
      </c>
      <c r="G15" s="95" t="n">
        <v>5200</v>
      </c>
      <c r="H15" s="95">
        <f>G15*B15</f>
        <v/>
      </c>
      <c r="I15" s="95">
        <f>D15-H15</f>
        <v/>
      </c>
      <c r="J15" s="95" t="inlineStr">
        <is>
          <t>NCI=0% × Actif Net EUR</t>
        </is>
      </c>
      <c r="K15" s="94" t="n"/>
      <c r="L15" s="94" t="n"/>
      <c r="M15" s="94" t="n"/>
      <c r="N15" s="94" t="n"/>
      <c r="O15" s="94" t="n"/>
      <c r="P15" s="94" t="n"/>
      <c r="Q15" s="94" t="n"/>
      <c r="R15" s="94" t="n"/>
    </row>
    <row r="16">
      <c r="A16" s="540" t="inlineStr">
        <is>
          <t>UK_Filiale</t>
        </is>
      </c>
      <c r="B16" s="37" t="n">
        <v>0.2</v>
      </c>
      <c r="C16" s="540" t="n">
        <v>98600</v>
      </c>
      <c r="D16" s="540">
        <f>C16*B16</f>
        <v/>
      </c>
      <c r="E16" s="540" t="n">
        <v>26096</v>
      </c>
      <c r="F16" s="540">
        <f>E16*B16</f>
        <v/>
      </c>
      <c r="G16" s="540" t="n">
        <v>7200</v>
      </c>
      <c r="H16" s="540">
        <f>G16*B16</f>
        <v/>
      </c>
      <c r="I16" s="540">
        <f>D16-H16</f>
        <v/>
      </c>
      <c r="J16" s="540" t="inlineStr">
        <is>
          <t>NCI=20% × Actif Net EUR</t>
        </is>
      </c>
      <c r="K16" s="94" t="n"/>
      <c r="L16" s="94" t="n"/>
      <c r="M16" s="94" t="n"/>
      <c r="N16" s="94" t="n"/>
      <c r="O16" s="94" t="n"/>
      <c r="P16" s="94" t="n"/>
      <c r="Q16" s="94" t="n"/>
      <c r="R16" s="94" t="n"/>
    </row>
    <row r="17">
      <c r="A17" s="95" t="inlineStr">
        <is>
          <t>US_Filiale</t>
        </is>
      </c>
      <c r="B17" s="108" t="n">
        <v>0.25</v>
      </c>
      <c r="C17" s="95" t="n">
        <v>88200</v>
      </c>
      <c r="D17" s="95">
        <f>C17*B17</f>
        <v/>
      </c>
      <c r="E17" s="95" t="n">
        <v>15800</v>
      </c>
      <c r="F17" s="95">
        <f>E17*B17</f>
        <v/>
      </c>
      <c r="G17" s="95" t="n">
        <v>4800</v>
      </c>
      <c r="H17" s="95">
        <f>G17*B17</f>
        <v/>
      </c>
      <c r="I17" s="95">
        <f>D17-H17</f>
        <v/>
      </c>
      <c r="J17" s="95" t="inlineStr">
        <is>
          <t>NCI=25% × Actif Net EUR</t>
        </is>
      </c>
      <c r="K17" s="94" t="n"/>
      <c r="L17" s="94" t="n"/>
      <c r="M17" s="94" t="n"/>
      <c r="N17" s="94" t="n"/>
      <c r="O17" s="94" t="n"/>
      <c r="P17" s="94" t="n"/>
      <c r="Q17" s="94" t="n"/>
      <c r="R17" s="94" t="n"/>
    </row>
    <row r="18">
      <c r="A18" s="540" t="inlineStr">
        <is>
          <t>SG_Filiale</t>
        </is>
      </c>
      <c r="B18" s="37" t="n">
        <v>0.4</v>
      </c>
      <c r="C18" s="540" t="n">
        <v>38400</v>
      </c>
      <c r="D18" s="540">
        <f>C18*B18</f>
        <v/>
      </c>
      <c r="E18" s="540" t="n">
        <v>9200</v>
      </c>
      <c r="F18" s="540">
        <f>E18*B18</f>
        <v/>
      </c>
      <c r="G18" s="540" t="n">
        <v>2400</v>
      </c>
      <c r="H18" s="540">
        <f>G18*B18</f>
        <v/>
      </c>
      <c r="I18" s="540">
        <f>D18-H18</f>
        <v/>
      </c>
      <c r="J18" s="540" t="inlineStr">
        <is>
          <t>NCI=40% × Actif Net EUR</t>
        </is>
      </c>
      <c r="K18" s="94" t="n"/>
      <c r="L18" s="94" t="n"/>
      <c r="M18" s="94" t="n"/>
      <c r="N18" s="94" t="n"/>
      <c r="O18" s="94" t="n"/>
      <c r="P18" s="94" t="n"/>
      <c r="Q18" s="94" t="n"/>
      <c r="R18" s="94" t="n"/>
    </row>
    <row r="19">
      <c r="A19" s="109" t="inlineStr">
        <is>
          <t>TOTAL NCI CONSOLIDÉ</t>
        </is>
      </c>
      <c r="B19" s="109" t="n"/>
      <c r="C19" s="109" t="n"/>
      <c r="D19" s="109">
        <f>SUM(D15:D18)</f>
        <v/>
      </c>
      <c r="E19" s="109" t="n"/>
      <c r="F19" s="109">
        <f>SUM(F15:F18)</f>
        <v/>
      </c>
      <c r="G19" s="109" t="n"/>
      <c r="H19" s="109">
        <f>SUM(H15:H18)</f>
        <v/>
      </c>
      <c r="I19" s="109" t="n"/>
      <c r="J19" s="109" t="n"/>
      <c r="K19" s="94" t="n"/>
      <c r="L19" s="94" t="n"/>
      <c r="M19" s="94" t="n"/>
      <c r="N19" s="94" t="n"/>
      <c r="O19" s="94" t="n"/>
      <c r="P19" s="94" t="n"/>
      <c r="Q19" s="94" t="n"/>
      <c r="R19" s="94" t="n"/>
    </row>
    <row r="20">
      <c r="A20" s="94" t="n"/>
      <c r="B20" s="94" t="n"/>
      <c r="C20" s="94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</row>
    <row r="21">
      <c r="A21" s="94" t="n"/>
      <c r="B21" s="94" t="n"/>
      <c r="C21" s="94" t="n"/>
      <c r="D21" s="94" t="n"/>
      <c r="E21" s="94" t="n"/>
      <c r="F21" s="94" t="n"/>
      <c r="G21" s="94" t="n"/>
      <c r="H21" s="94" t="n"/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</row>
    <row r="22">
      <c r="A22" s="565" t="inlineStr">
        <is>
          <t>SECTION 3 – SCHÉMA HIÉRARCHIQUE DU PÉRIMÈTRE</t>
        </is>
      </c>
      <c r="K22" s="94" t="n"/>
      <c r="L22" s="94" t="n"/>
      <c r="M22" s="94" t="n"/>
      <c r="N22" s="94" t="n"/>
      <c r="O22" s="94" t="n"/>
      <c r="P22" s="94" t="n"/>
      <c r="Q22" s="94" t="n"/>
      <c r="R22" s="94" t="n"/>
    </row>
    <row r="23">
      <c r="A23" s="569" t="inlineStr">
        <is>
          <t>FR_ParentCo (Holding – 100% Groupe)</t>
        </is>
      </c>
      <c r="K23" s="94" t="n"/>
      <c r="L23" s="94" t="n"/>
      <c r="M23" s="94" t="n"/>
      <c r="N23" s="94" t="n"/>
      <c r="O23" s="94" t="n"/>
      <c r="P23" s="94" t="n"/>
      <c r="Q23" s="94" t="n"/>
      <c r="R23" s="94" t="n"/>
    </row>
    <row r="24">
      <c r="A24" s="566" t="inlineStr">
        <is>
          <t xml:space="preserve">  ├── DE_Filiale  ← 100% (EUR) · Industrie · NCI = 0%</t>
        </is>
      </c>
      <c r="K24" s="94" t="n"/>
      <c r="L24" s="94" t="n"/>
      <c r="M24" s="94" t="n"/>
      <c r="N24" s="94" t="n"/>
      <c r="O24" s="94" t="n"/>
      <c r="P24" s="94" t="n"/>
      <c r="Q24" s="94" t="n"/>
      <c r="R24" s="94" t="n"/>
    </row>
    <row r="25">
      <c r="A25" s="567" t="inlineStr">
        <is>
          <t xml:space="preserve">  ├── UK_Filiale  ← 80%  (GBP) · Tech &amp; Digital · NCI = 20%</t>
        </is>
      </c>
      <c r="K25" s="94" t="n"/>
      <c r="L25" s="94" t="n"/>
      <c r="M25" s="94" t="n"/>
      <c r="N25" s="94" t="n"/>
      <c r="O25" s="94" t="n"/>
      <c r="P25" s="94" t="n"/>
      <c r="Q25" s="94" t="n"/>
      <c r="R25" s="94" t="n"/>
    </row>
    <row r="26">
      <c r="A26" s="566" t="inlineStr">
        <is>
          <t xml:space="preserve">  ├── US_Filiale  ← 75%  (USD) · Distribution · NCI = 25%</t>
        </is>
      </c>
      <c r="K26" s="94" t="n"/>
      <c r="L26" s="94" t="n"/>
      <c r="M26" s="94" t="n"/>
      <c r="N26" s="94" t="n"/>
      <c r="O26" s="94" t="n"/>
      <c r="P26" s="94" t="n"/>
      <c r="Q26" s="94" t="n"/>
      <c r="R26" s="94" t="n"/>
    </row>
    <row r="27">
      <c r="A27" s="567" t="inlineStr">
        <is>
          <t xml:space="preserve">  └── SG_Filiale  ← 60%  (SGD) · Finance &amp; Inv. · NCI = 40%</t>
        </is>
      </c>
      <c r="K27" s="94" t="n"/>
      <c r="L27" s="94" t="n"/>
      <c r="M27" s="94" t="n"/>
      <c r="N27" s="94" t="n"/>
      <c r="O27" s="94" t="n"/>
      <c r="P27" s="94" t="n"/>
      <c r="Q27" s="94" t="n"/>
      <c r="R27" s="94" t="n"/>
    </row>
    <row r="28">
      <c r="A28" s="568" t="inlineStr">
        <is>
          <t>Méthode : INTÉGRATION GLOBALE (IFRS 10) · Goodwill : FULL GW (IFRS 3) · IAS 36 tests annuels</t>
        </is>
      </c>
      <c r="K28" s="94" t="n"/>
      <c r="L28" s="94" t="n"/>
      <c r="M28" s="94" t="n"/>
      <c r="N28" s="94" t="n"/>
      <c r="O28" s="94" t="n"/>
      <c r="P28" s="94" t="n"/>
      <c r="Q28" s="94" t="n"/>
      <c r="R28" s="94" t="n"/>
    </row>
    <row r="29">
      <c r="A29" s="94" t="n"/>
      <c r="B29" s="94" t="n"/>
      <c r="C29" s="94" t="n"/>
      <c r="D29" s="94" t="n"/>
      <c r="E29" s="94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</row>
    <row r="30">
      <c r="A30" s="94" t="n"/>
      <c r="B30" s="94" t="n"/>
      <c r="C30" s="94" t="n"/>
      <c r="D30" s="94" t="n"/>
      <c r="E30" s="94" t="n"/>
      <c r="F30" s="94" t="n"/>
      <c r="G30" s="94" t="n"/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</row>
    <row r="31">
      <c r="A31" s="94" t="n"/>
      <c r="B31" s="94" t="n"/>
      <c r="C31" s="94" t="n"/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</row>
    <row r="32">
      <c r="A32" s="94" t="n"/>
      <c r="B32" s="94" t="n"/>
      <c r="C32" s="94" t="n"/>
      <c r="D32" s="94" t="n"/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</row>
    <row r="33">
      <c r="A33" s="94" t="n"/>
      <c r="B33" s="94" t="n"/>
      <c r="C33" s="94" t="n"/>
      <c r="D33" s="94" t="n"/>
      <c r="E33" s="94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</row>
    <row r="34">
      <c r="A34" s="94" t="n"/>
      <c r="B34" s="94" t="n"/>
      <c r="C34" s="94" t="n"/>
      <c r="D34" s="94" t="n"/>
      <c r="E34" s="94" t="n"/>
      <c r="F34" s="94" t="n"/>
      <c r="G34" s="94" t="n"/>
      <c r="H34" s="94" t="n"/>
      <c r="I34" s="94" t="n"/>
      <c r="J34" s="94" t="n"/>
      <c r="K34" s="94" t="n"/>
      <c r="L34" s="94" t="n"/>
      <c r="M34" s="94" t="n"/>
      <c r="N34" s="94" t="n"/>
      <c r="O34" s="94" t="n"/>
      <c r="P34" s="94" t="n"/>
      <c r="Q34" s="94" t="n"/>
      <c r="R34" s="94" t="n"/>
    </row>
    <row r="35">
      <c r="A35" s="94" t="n"/>
      <c r="B35" s="94" t="n"/>
      <c r="C35" s="94" t="n"/>
      <c r="D35" s="94" t="n"/>
      <c r="E35" s="94" t="n"/>
      <c r="F35" s="94" t="n"/>
      <c r="G35" s="94" t="n"/>
      <c r="H35" s="94" t="n"/>
      <c r="I35" s="94" t="n"/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</row>
    <row r="36">
      <c r="A36" s="94" t="n"/>
      <c r="B36" s="94" t="n"/>
      <c r="C36" s="94" t="n"/>
      <c r="D36" s="94" t="n"/>
      <c r="E36" s="94" t="n"/>
      <c r="F36" s="94" t="n"/>
      <c r="G36" s="94" t="n"/>
      <c r="H36" s="94" t="n"/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</row>
    <row r="37">
      <c r="A37" s="94" t="n"/>
      <c r="B37" s="94" t="n"/>
      <c r="C37" s="94" t="n"/>
      <c r="D37" s="94" t="n"/>
      <c r="E37" s="94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</row>
    <row r="38">
      <c r="A38" s="94" t="n"/>
      <c r="B38" s="94" t="n"/>
      <c r="C38" s="94" t="n"/>
      <c r="D38" s="94" t="n"/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</row>
    <row r="39">
      <c r="A39" s="94" t="n"/>
      <c r="B39" s="94" t="n"/>
      <c r="C39" s="94" t="n"/>
      <c r="D39" s="94" t="n"/>
      <c r="E39" s="94" t="n"/>
      <c r="F39" s="94" t="n"/>
      <c r="G39" s="94" t="n"/>
      <c r="H39" s="94" t="n"/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</row>
    <row r="40">
      <c r="A40" s="94" t="n"/>
      <c r="B40" s="94" t="n"/>
      <c r="C40" s="94" t="n"/>
      <c r="D40" s="94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</row>
    <row r="41">
      <c r="A41" s="94" t="n"/>
      <c r="B41" s="94" t="n"/>
      <c r="C41" s="94" t="n"/>
      <c r="D41" s="94" t="n"/>
      <c r="E41" s="94" t="n"/>
      <c r="F41" s="94" t="n"/>
      <c r="G41" s="94" t="n"/>
      <c r="H41" s="94" t="n"/>
      <c r="I41" s="94" t="n"/>
      <c r="J41" s="94" t="n"/>
      <c r="K41" s="94" t="n"/>
      <c r="L41" s="94" t="n"/>
      <c r="M41" s="94" t="n"/>
      <c r="N41" s="94" t="n"/>
      <c r="O41" s="94" t="n"/>
      <c r="P41" s="94" t="n"/>
      <c r="Q41" s="94" t="n"/>
      <c r="R41" s="94" t="n"/>
    </row>
    <row r="42">
      <c r="A42" s="94" t="n"/>
      <c r="B42" s="94" t="n"/>
      <c r="C42" s="94" t="n"/>
      <c r="D42" s="94" t="n"/>
      <c r="E42" s="94" t="n"/>
      <c r="F42" s="94" t="n"/>
      <c r="G42" s="94" t="n"/>
      <c r="H42" s="94" t="n"/>
      <c r="I42" s="94" t="n"/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</row>
    <row r="43">
      <c r="A43" s="94" t="n"/>
      <c r="B43" s="94" t="n"/>
      <c r="C43" s="94" t="n"/>
      <c r="D43" s="94" t="n"/>
      <c r="E43" s="94" t="n"/>
      <c r="F43" s="94" t="n"/>
      <c r="G43" s="94" t="n"/>
      <c r="H43" s="94" t="n"/>
      <c r="I43" s="94" t="n"/>
      <c r="J43" s="94" t="n"/>
      <c r="K43" s="94" t="n"/>
      <c r="L43" s="94" t="n"/>
      <c r="M43" s="94" t="n"/>
      <c r="N43" s="94" t="n"/>
      <c r="O43" s="94" t="n"/>
      <c r="P43" s="94" t="n"/>
      <c r="Q43" s="94" t="n"/>
      <c r="R43" s="94" t="n"/>
    </row>
    <row r="44">
      <c r="A44" s="94" t="n"/>
      <c r="B44" s="94" t="n"/>
      <c r="C44" s="94" t="n"/>
      <c r="D44" s="94" t="n"/>
      <c r="E44" s="94" t="n"/>
      <c r="F44" s="94" t="n"/>
      <c r="G44" s="94" t="n"/>
      <c r="H44" s="94" t="n"/>
      <c r="I44" s="94" t="n"/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</row>
    <row r="45">
      <c r="A45" s="94" t="n"/>
      <c r="B45" s="94" t="n"/>
      <c r="C45" s="94" t="n"/>
      <c r="D45" s="94" t="n"/>
      <c r="E45" s="94" t="n"/>
      <c r="F45" s="94" t="n"/>
      <c r="G45" s="94" t="n"/>
      <c r="H45" s="94" t="n"/>
      <c r="I45" s="94" t="n"/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</row>
    <row r="46">
      <c r="A46" s="94" t="n"/>
      <c r="B46" s="94" t="n"/>
      <c r="C46" s="94" t="n"/>
      <c r="D46" s="94" t="n"/>
      <c r="E46" s="94" t="n"/>
      <c r="F46" s="94" t="n"/>
      <c r="G46" s="94" t="n"/>
      <c r="H46" s="94" t="n"/>
      <c r="I46" s="94" t="n"/>
      <c r="J46" s="94" t="n"/>
      <c r="K46" s="94" t="n"/>
      <c r="L46" s="94" t="n"/>
      <c r="M46" s="94" t="n"/>
      <c r="N46" s="94" t="n"/>
      <c r="O46" s="94" t="n"/>
      <c r="P46" s="94" t="n"/>
      <c r="Q46" s="94" t="n"/>
      <c r="R46" s="94" t="n"/>
    </row>
    <row r="47">
      <c r="A47" s="94" t="n"/>
      <c r="B47" s="94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</row>
    <row r="48">
      <c r="A48" s="94" t="n"/>
      <c r="B48" s="94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</row>
    <row r="49">
      <c r="A49" s="94" t="n"/>
      <c r="B49" s="94" t="n"/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  <c r="L49" s="94" t="n"/>
      <c r="M49" s="94" t="n"/>
      <c r="N49" s="94" t="n"/>
      <c r="O49" s="94" t="n"/>
      <c r="P49" s="94" t="n"/>
      <c r="Q49" s="94" t="n"/>
      <c r="R49" s="94" t="n"/>
    </row>
    <row r="50">
      <c r="A50" s="94" t="n"/>
      <c r="B50" s="94" t="n"/>
      <c r="C50" s="94" t="n"/>
      <c r="D50" s="94" t="n"/>
      <c r="E50" s="94" t="n"/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</row>
    <row r="51">
      <c r="A51" s="94" t="n"/>
      <c r="B51" s="94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L51" s="94" t="n"/>
      <c r="M51" s="94" t="n"/>
      <c r="N51" s="94" t="n"/>
      <c r="O51" s="94" t="n"/>
      <c r="P51" s="94" t="n"/>
      <c r="Q51" s="94" t="n"/>
      <c r="R51" s="94" t="n"/>
    </row>
    <row r="52">
      <c r="A52" s="94" t="n"/>
      <c r="B52" s="94" t="n"/>
      <c r="C52" s="94" t="n"/>
      <c r="D52" s="94" t="n"/>
      <c r="E52" s="94" t="n"/>
      <c r="F52" s="94" t="n"/>
      <c r="G52" s="94" t="n"/>
      <c r="H52" s="94" t="n"/>
      <c r="I52" s="94" t="n"/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</row>
    <row r="53">
      <c r="A53" s="94" t="n"/>
      <c r="B53" s="94" t="n"/>
      <c r="C53" s="94" t="n"/>
      <c r="D53" s="94" t="n"/>
      <c r="E53" s="94" t="n"/>
      <c r="F53" s="94" t="n"/>
      <c r="G53" s="94" t="n"/>
      <c r="H53" s="94" t="n"/>
      <c r="I53" s="94" t="n"/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</row>
    <row r="54">
      <c r="A54" s="94" t="n"/>
      <c r="B54" s="94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4" t="n"/>
      <c r="L54" s="94" t="n"/>
      <c r="M54" s="94" t="n"/>
      <c r="N54" s="94" t="n"/>
      <c r="O54" s="94" t="n"/>
      <c r="P54" s="94" t="n"/>
      <c r="Q54" s="94" t="n"/>
      <c r="R54" s="94" t="n"/>
    </row>
    <row r="55">
      <c r="A55" s="94" t="n"/>
      <c r="B55" s="94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</row>
    <row r="56">
      <c r="A56" s="94" t="n"/>
      <c r="B56" s="94" t="n"/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</row>
    <row r="57">
      <c r="A57" s="94" t="n"/>
      <c r="B57" s="94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4" t="n"/>
    </row>
    <row r="58">
      <c r="A58" s="94" t="n"/>
      <c r="B58" s="94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L58" s="94" t="n"/>
      <c r="M58" s="94" t="n"/>
      <c r="N58" s="94" t="n"/>
      <c r="O58" s="94" t="n"/>
      <c r="P58" s="94" t="n"/>
      <c r="Q58" s="94" t="n"/>
      <c r="R58" s="94" t="n"/>
    </row>
    <row r="59">
      <c r="A59" s="94" t="n"/>
      <c r="B59" s="94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n"/>
      <c r="Q59" s="94" t="n"/>
      <c r="R59" s="94" t="n"/>
    </row>
    <row r="60">
      <c r="A60" s="94" t="n"/>
      <c r="B60" s="94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</row>
    <row r="61">
      <c r="A61" s="94" t="n"/>
      <c r="B61" s="94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</row>
    <row r="62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</row>
    <row r="63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</row>
    <row r="64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</row>
    <row r="65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</row>
    <row r="66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O66" s="94" t="n"/>
      <c r="P66" s="94" t="n"/>
      <c r="Q66" s="94" t="n"/>
      <c r="R66" s="94" t="n"/>
    </row>
    <row r="67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O67" s="94" t="n"/>
      <c r="P67" s="94" t="n"/>
      <c r="Q67" s="94" t="n"/>
      <c r="R67" s="94" t="n"/>
    </row>
    <row r="68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</row>
    <row r="69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</row>
    <row r="70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O70" s="94" t="n"/>
      <c r="P70" s="94" t="n"/>
      <c r="Q70" s="94" t="n"/>
      <c r="R70" s="94" t="n"/>
    </row>
    <row r="71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</row>
    <row r="72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O72" s="94" t="n"/>
      <c r="P72" s="94" t="n"/>
      <c r="Q72" s="94" t="n"/>
      <c r="R72" s="94" t="n"/>
    </row>
    <row r="73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O73" s="94" t="n"/>
      <c r="P73" s="94" t="n"/>
      <c r="Q73" s="94" t="n"/>
      <c r="R73" s="94" t="n"/>
    </row>
    <row r="74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O74" s="94" t="n"/>
      <c r="P74" s="94" t="n"/>
      <c r="Q74" s="94" t="n"/>
      <c r="R74" s="94" t="n"/>
    </row>
    <row r="75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O75" s="94" t="n"/>
      <c r="P75" s="94" t="n"/>
      <c r="Q75" s="94" t="n"/>
      <c r="R75" s="94" t="n"/>
    </row>
    <row r="76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O76" s="94" t="n"/>
      <c r="P76" s="94" t="n"/>
      <c r="Q76" s="94" t="n"/>
      <c r="R76" s="94" t="n"/>
    </row>
    <row r="77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</row>
    <row r="78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O78" s="94" t="n"/>
      <c r="P78" s="94" t="n"/>
      <c r="Q78" s="94" t="n"/>
      <c r="R78" s="94" t="n"/>
    </row>
    <row r="79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O79" s="94" t="n"/>
      <c r="P79" s="94" t="n"/>
      <c r="Q79" s="94" t="n"/>
      <c r="R79" s="94" t="n"/>
    </row>
    <row r="80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</row>
  </sheetData>
  <mergeCells count="11">
    <mergeCell ref="A23:J23"/>
    <mergeCell ref="A13:P13"/>
    <mergeCell ref="A22:J22"/>
    <mergeCell ref="A1:P1"/>
    <mergeCell ref="A27:J27"/>
    <mergeCell ref="A4:P4"/>
    <mergeCell ref="A26:J26"/>
    <mergeCell ref="A24:J24"/>
    <mergeCell ref="A28:J28"/>
    <mergeCell ref="A25:J25"/>
    <mergeCell ref="A2:P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8E44AD"/>
    <outlinePr summaryBelow="1" summaryRight="1"/>
    <pageSetUpPr/>
  </sheetPr>
  <dimension ref="A1:R120"/>
  <sheetViews>
    <sheetView workbookViewId="0">
      <selection activeCell="C48" sqref="C48"/>
    </sheetView>
  </sheetViews>
  <sheetFormatPr baseColWidth="10" defaultRowHeight="15"/>
  <cols>
    <col width="21.28515625" customWidth="1" style="500" min="1" max="1"/>
    <col width="24" customWidth="1" style="500" min="2" max="3"/>
    <col width="18.7109375" customWidth="1" style="500" min="4" max="4"/>
    <col width="23" customWidth="1" style="500" min="5" max="5"/>
    <col width="29.28515625" customWidth="1" style="500" min="6" max="6"/>
    <col width="21.28515625" customWidth="1" style="500" min="7" max="7"/>
    <col width="18.7109375" customWidth="1" style="500" min="8" max="8"/>
    <col width="21.28515625" customWidth="1" style="500" min="9" max="9"/>
    <col width="16" customWidth="1" style="500" min="10" max="11"/>
    <col width="24" customWidth="1" style="500" min="12" max="12"/>
    <col width="16" customWidth="1" style="500" min="13" max="13"/>
  </cols>
  <sheetData>
    <row r="1" ht="17.25" customHeight="1" s="500">
      <c r="A1" s="573" t="inlineStr">
        <is>
          <t>🔄  PQ_ELIMINATIONS – MOTEUR D'ÉLIMINATIONS INTRAGROUPE AUTOMATISÉES · 4 TYPES · IFRS 10</t>
        </is>
      </c>
      <c r="R1" s="110" t="n"/>
    </row>
    <row r="2">
      <c r="A2" s="110" t="n"/>
      <c r="B2" s="110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0" t="n"/>
      <c r="Q2" s="110" t="n"/>
      <c r="R2" s="110" t="n"/>
    </row>
    <row r="3">
      <c r="A3" s="571" t="inlineStr">
        <is>
          <t>TYPE 1 – ÉLIMINATION DES VENTES / ACHATS INTRAGROUPE (IFRS 10 §B86)</t>
        </is>
      </c>
      <c r="R3" s="110" t="n"/>
    </row>
    <row r="4">
      <c r="A4" s="543" t="inlineStr">
        <is>
          <t>RefElim</t>
        </is>
      </c>
      <c r="B4" s="543" t="inlineStr">
        <is>
          <t>Vendeur</t>
        </is>
      </c>
      <c r="C4" s="543" t="inlineStr">
        <is>
          <t>Acheteur</t>
        </is>
      </c>
      <c r="D4" s="543" t="inlineStr">
        <is>
          <t>Devise</t>
        </is>
      </c>
      <c r="E4" s="543" t="inlineStr">
        <is>
          <t>TxConversion</t>
        </is>
      </c>
      <c r="F4" s="543" t="inlineStr">
        <is>
          <t>MontantLocal</t>
        </is>
      </c>
      <c r="G4" s="543" t="inlineStr">
        <is>
          <t>MontantEUR</t>
        </is>
      </c>
      <c r="H4" s="543" t="inlineStr">
        <is>
          <t>CompteCA_Elim</t>
        </is>
      </c>
      <c r="I4" s="543" t="inlineStr">
        <is>
          <t>CompteAchats_Elim</t>
        </is>
      </c>
      <c r="J4" s="543" t="inlineStr">
        <is>
          <t>CompteIC_Actif</t>
        </is>
      </c>
      <c r="K4" s="543" t="inlineStr">
        <is>
          <t>CompteIC_Passif</t>
        </is>
      </c>
      <c r="L4" s="543" t="inlineStr">
        <is>
          <t>Statut</t>
        </is>
      </c>
      <c r="M4" s="543" t="inlineStr">
        <is>
          <t>Validation</t>
        </is>
      </c>
      <c r="N4" s="110" t="n"/>
      <c r="O4" s="110" t="n"/>
      <c r="P4" s="110" t="n"/>
      <c r="Q4" s="110" t="n"/>
      <c r="R4" s="110" t="n"/>
    </row>
    <row r="5">
      <c r="A5" s="111" t="inlineStr">
        <is>
          <t>V-IC-001</t>
        </is>
      </c>
      <c r="B5" s="111" t="inlineStr">
        <is>
          <t>FR_ParentCo</t>
        </is>
      </c>
      <c r="C5" s="111" t="inlineStr">
        <is>
          <t>DE_Filiale</t>
        </is>
      </c>
      <c r="D5" s="111" t="inlineStr">
        <is>
          <t>EUR</t>
        </is>
      </c>
      <c r="E5" s="111" t="n">
        <v>1</v>
      </c>
      <c r="F5" s="111" t="n">
        <v>18500</v>
      </c>
      <c r="G5" s="111" t="n">
        <v>18500</v>
      </c>
      <c r="H5" s="111" t="n">
        <v>708500</v>
      </c>
      <c r="I5" s="111" t="n">
        <v>601000</v>
      </c>
      <c r="J5" s="111" t="n">
        <v>451000</v>
      </c>
      <c r="K5" s="111" t="n">
        <v>451500</v>
      </c>
      <c r="L5" s="111" t="inlineStr">
        <is>
          <t>✅ Équilibré</t>
        </is>
      </c>
      <c r="M5" s="111">
        <f>IF(F5=G5,"✅ OK","⚠️ ÉCART")</f>
        <v/>
      </c>
      <c r="N5" s="110" t="n"/>
      <c r="O5" s="110" t="n"/>
      <c r="P5" s="110" t="n"/>
      <c r="Q5" s="110" t="n"/>
      <c r="R5" s="110" t="n"/>
    </row>
    <row r="6">
      <c r="A6" s="540" t="inlineStr">
        <is>
          <t>V-IC-002</t>
        </is>
      </c>
      <c r="B6" s="540" t="inlineStr">
        <is>
          <t>FR_ParentCo</t>
        </is>
      </c>
      <c r="C6" s="540" t="inlineStr">
        <is>
          <t>UK_Filiale</t>
        </is>
      </c>
      <c r="D6" s="540" t="inlineStr">
        <is>
          <t>GBP</t>
        </is>
      </c>
      <c r="E6" s="540" t="n">
        <v>1.165</v>
      </c>
      <c r="F6" s="540" t="n">
        <v>12400</v>
      </c>
      <c r="G6" s="540" t="n">
        <v>14446</v>
      </c>
      <c r="H6" s="540" t="n">
        <v>708500</v>
      </c>
      <c r="I6" s="540" t="n">
        <v>601000</v>
      </c>
      <c r="J6" s="540" t="n">
        <v>451000</v>
      </c>
      <c r="K6" s="540" t="n">
        <v>451500</v>
      </c>
      <c r="L6" s="540" t="inlineStr">
        <is>
          <t>✅ Équilibré</t>
        </is>
      </c>
      <c r="M6" s="540">
        <f>IF(F6*E6=G6,"✅ OK","⚠️ ÉCART")</f>
        <v/>
      </c>
      <c r="N6" s="110" t="n"/>
      <c r="O6" s="110" t="n"/>
      <c r="P6" s="110" t="n"/>
      <c r="Q6" s="110" t="n"/>
      <c r="R6" s="110" t="n"/>
    </row>
    <row r="7">
      <c r="A7" s="111" t="inlineStr">
        <is>
          <t>V-IC-003</t>
        </is>
      </c>
      <c r="B7" s="111" t="inlineStr">
        <is>
          <t>FR_ParentCo</t>
        </is>
      </c>
      <c r="C7" s="111" t="inlineStr">
        <is>
          <t>US_Filiale</t>
        </is>
      </c>
      <c r="D7" s="111" t="inlineStr">
        <is>
          <t>USD</t>
        </is>
      </c>
      <c r="E7" s="111" t="n">
        <v>0.918</v>
      </c>
      <c r="F7" s="111" t="n">
        <v>8500</v>
      </c>
      <c r="G7" s="111" t="n">
        <v>7803</v>
      </c>
      <c r="H7" s="111" t="n">
        <v>708500</v>
      </c>
      <c r="I7" s="111" t="n">
        <v>601000</v>
      </c>
      <c r="J7" s="111" t="n">
        <v>451000</v>
      </c>
      <c r="K7" s="111" t="n">
        <v>451500</v>
      </c>
      <c r="L7" s="111" t="inlineStr">
        <is>
          <t>✅ Équilibré</t>
        </is>
      </c>
      <c r="M7" s="111">
        <f>IF(F7*E7=G7,"✅ OK","⚠️ ÉCART")</f>
        <v/>
      </c>
      <c r="N7" s="110" t="n"/>
      <c r="O7" s="110" t="n"/>
      <c r="P7" s="110" t="n"/>
      <c r="Q7" s="110" t="n"/>
      <c r="R7" s="110" t="n"/>
    </row>
    <row r="8">
      <c r="A8" s="540" t="inlineStr">
        <is>
          <t>V-IC-004</t>
        </is>
      </c>
      <c r="B8" s="540" t="inlineStr">
        <is>
          <t>DE_Filiale</t>
        </is>
      </c>
      <c r="C8" s="540" t="inlineStr">
        <is>
          <t>UK_Filiale</t>
        </is>
      </c>
      <c r="D8" s="540" t="inlineStr">
        <is>
          <t>GBP</t>
        </is>
      </c>
      <c r="E8" s="540" t="n">
        <v>1.165</v>
      </c>
      <c r="F8" s="540" t="n">
        <v>3200</v>
      </c>
      <c r="G8" s="540" t="n">
        <v>3728</v>
      </c>
      <c r="H8" s="540" t="n">
        <v>708500</v>
      </c>
      <c r="I8" s="540" t="n">
        <v>601000</v>
      </c>
      <c r="J8" s="540" t="n">
        <v>451000</v>
      </c>
      <c r="K8" s="540" t="n">
        <v>451500</v>
      </c>
      <c r="L8" s="540" t="inlineStr">
        <is>
          <t>✅ Équilibré</t>
        </is>
      </c>
      <c r="M8" s="540">
        <f>IF(F8*E8=G8,"✅ OK","⚠️ ÉCART")</f>
        <v/>
      </c>
      <c r="N8" s="110" t="n"/>
      <c r="O8" s="110" t="n"/>
      <c r="P8" s="110" t="n"/>
      <c r="Q8" s="110" t="n"/>
      <c r="R8" s="110" t="n"/>
    </row>
    <row r="9">
      <c r="A9" s="112" t="inlineStr">
        <is>
          <t>TOTAL ÉLIM. VENTES IC</t>
        </is>
      </c>
      <c r="B9" s="112" t="n"/>
      <c r="C9" s="112" t="n"/>
      <c r="D9" s="112" t="n"/>
      <c r="E9" s="112" t="n"/>
      <c r="F9" s="112" t="n"/>
      <c r="G9" s="112">
        <f>SUM(G5:G8)</f>
        <v/>
      </c>
      <c r="H9" s="112" t="n"/>
      <c r="I9" s="112" t="n"/>
      <c r="J9" s="112" t="n"/>
      <c r="K9" s="112" t="n"/>
      <c r="L9" s="112" t="n"/>
      <c r="M9" s="112" t="n"/>
      <c r="N9" s="110" t="n"/>
      <c r="O9" s="110" t="n"/>
      <c r="P9" s="110" t="n"/>
      <c r="Q9" s="110" t="n"/>
      <c r="R9" s="110" t="n"/>
    </row>
    <row r="10">
      <c r="A10" s="110" t="n"/>
      <c r="B10" s="110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</row>
    <row r="11">
      <c r="A11" s="574" t="inlineStr">
        <is>
          <t>📝  ÉCRITURE COMPTABLE – Élimination ventes IC (exemple V-IC-001 : 18 500 k€)</t>
        </is>
      </c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</row>
    <row r="12">
      <c r="A12" s="111" t="inlineStr">
        <is>
          <t>Débit</t>
        </is>
      </c>
      <c r="B12" s="111" t="inlineStr">
        <is>
          <t>708500 – Refacturations IC (CA vendeur)</t>
        </is>
      </c>
      <c r="C12" s="111" t="inlineStr">
        <is>
          <t>18 500</t>
        </is>
      </c>
      <c r="D12" s="111" t="inlineStr">
        <is>
          <t>Crédit</t>
        </is>
      </c>
      <c r="E12" s="111" t="inlineStr">
        <is>
          <t>601000 – Achats marchandises (CA acheteur)</t>
        </is>
      </c>
      <c r="F12" s="111" t="inlineStr">
        <is>
          <t>18 500</t>
        </is>
      </c>
      <c r="G12" s="111" t="inlineStr">
        <is>
          <t>→ Neutralise le CA et le coût d'achat IC</t>
        </is>
      </c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</row>
    <row r="13">
      <c r="A13" s="110" t="n"/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</row>
    <row r="14">
      <c r="A14" s="110" t="n"/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</row>
    <row r="15">
      <c r="A15" s="571" t="inlineStr">
        <is>
          <t>TYPE 2 – ÉLIMINATION DES MARGES INTRAGROUPE SUR STOCKS (IFRS 10 §B86(b))</t>
        </is>
      </c>
      <c r="R15" s="110" t="n"/>
    </row>
    <row r="16">
      <c r="A16" s="543" t="inlineStr">
        <is>
          <t>RefElim</t>
        </is>
      </c>
      <c r="B16" s="543" t="inlineStr">
        <is>
          <t>Vendeur</t>
        </is>
      </c>
      <c r="C16" s="543" t="inlineStr">
        <is>
          <t>Acheteur</t>
        </is>
      </c>
      <c r="D16" s="543" t="inlineStr">
        <is>
          <t>StockRestant_kEUR</t>
        </is>
      </c>
      <c r="E16" s="543" t="inlineStr">
        <is>
          <t>CoutRevient_kEUR</t>
        </is>
      </c>
      <c r="F16" s="543" t="inlineStr">
        <is>
          <t>PrixVenteIC_kEUR</t>
        </is>
      </c>
      <c r="G16" s="543" t="inlineStr">
        <is>
          <t>MargeIC_kEUR</t>
        </is>
      </c>
      <c r="H16" s="543" t="inlineStr">
        <is>
          <t>TauxMarge</t>
        </is>
      </c>
      <c r="I16" s="543" t="inlineStr">
        <is>
          <t>ImpactBilan_Stocks</t>
        </is>
      </c>
      <c r="J16" s="543" t="inlineStr">
        <is>
          <t>ImpactCR_Achats</t>
        </is>
      </c>
      <c r="K16" s="543" t="inlineStr">
        <is>
          <t>ImpactFiscal_kEUR</t>
        </is>
      </c>
      <c r="L16" s="543" t="inlineStr">
        <is>
          <t>Compte</t>
        </is>
      </c>
      <c r="M16" s="110" t="n"/>
      <c r="N16" s="110" t="n"/>
      <c r="O16" s="110" t="n"/>
      <c r="P16" s="110" t="n"/>
      <c r="Q16" s="110" t="n"/>
      <c r="R16" s="110" t="n"/>
    </row>
    <row r="17">
      <c r="A17" s="111" t="inlineStr">
        <is>
          <t>M-IC-001</t>
        </is>
      </c>
      <c r="B17" s="111" t="inlineStr">
        <is>
          <t>FR_ParentCo</t>
        </is>
      </c>
      <c r="C17" s="111" t="inlineStr">
        <is>
          <t>DE_Filiale</t>
        </is>
      </c>
      <c r="D17" s="111" t="n">
        <v>6400</v>
      </c>
      <c r="E17" s="111" t="n">
        <v>4800</v>
      </c>
      <c r="F17" s="111" t="n">
        <v>6400</v>
      </c>
      <c r="G17" s="111">
        <f>F17-E17</f>
        <v/>
      </c>
      <c r="H17" s="111">
        <f>G17/F17</f>
        <v/>
      </c>
      <c r="I17" s="111">
        <f>-G17</f>
        <v/>
      </c>
      <c r="J17" s="111">
        <f>G17</f>
        <v/>
      </c>
      <c r="K17" s="111">
        <f>-G17*0.25</f>
        <v/>
      </c>
      <c r="L17" s="111" t="inlineStr">
        <is>
          <t>311000/601000</t>
        </is>
      </c>
      <c r="M17" s="110" t="n"/>
      <c r="N17" s="110" t="n"/>
      <c r="O17" s="110" t="n"/>
      <c r="P17" s="110" t="n"/>
      <c r="Q17" s="110" t="n"/>
      <c r="R17" s="110" t="n"/>
    </row>
    <row r="18">
      <c r="A18" s="540" t="inlineStr">
        <is>
          <t>M-IC-002</t>
        </is>
      </c>
      <c r="B18" s="540" t="inlineStr">
        <is>
          <t>FR_ParentCo</t>
        </is>
      </c>
      <c r="C18" s="540" t="inlineStr">
        <is>
          <t>UK_Filiale</t>
        </is>
      </c>
      <c r="D18" s="540" t="n">
        <v>6400</v>
      </c>
      <c r="E18" s="540" t="n">
        <v>4800</v>
      </c>
      <c r="F18" s="540" t="n">
        <v>6400</v>
      </c>
      <c r="G18" s="540">
        <f>F18-E18</f>
        <v/>
      </c>
      <c r="H18" s="540">
        <f>G18/F18</f>
        <v/>
      </c>
      <c r="I18" s="540">
        <f>-G18</f>
        <v/>
      </c>
      <c r="J18" s="540">
        <f>G18</f>
        <v/>
      </c>
      <c r="K18" s="540">
        <f>-G18*0.25</f>
        <v/>
      </c>
      <c r="L18" s="540" t="inlineStr">
        <is>
          <t>311000/601000</t>
        </is>
      </c>
      <c r="M18" s="110" t="n"/>
      <c r="N18" s="110" t="n"/>
      <c r="O18" s="110" t="n"/>
      <c r="P18" s="110" t="n"/>
      <c r="Q18" s="110" t="n"/>
      <c r="R18" s="110" t="n"/>
    </row>
    <row r="19">
      <c r="A19" s="112" t="inlineStr">
        <is>
          <t>TOTAL MARGES IC À ÉLIMINER</t>
        </is>
      </c>
      <c r="B19" s="112" t="n"/>
      <c r="C19" s="112" t="n"/>
      <c r="D19" s="112" t="n"/>
      <c r="E19" s="112" t="n"/>
      <c r="F19" s="112" t="n"/>
      <c r="G19" s="112">
        <f>SUM(G17:G18)</f>
        <v/>
      </c>
      <c r="H19" s="112" t="n"/>
      <c r="I19" s="112">
        <f>SUM(I17:I18)</f>
        <v/>
      </c>
      <c r="J19" s="112" t="n"/>
      <c r="K19" s="112">
        <f>SUM(K17:K18)</f>
        <v/>
      </c>
      <c r="L19" s="112" t="n"/>
      <c r="M19" s="110" t="n"/>
      <c r="N19" s="110" t="n"/>
      <c r="O19" s="110" t="n"/>
      <c r="P19" s="110" t="n"/>
      <c r="Q19" s="110" t="n"/>
      <c r="R19" s="110" t="n"/>
    </row>
    <row r="20">
      <c r="A20" s="570" t="inlineStr">
        <is>
          <t>⚠️  IAS 12 : La marge éliminée génère un impôt différé actif (IDA) car la charge sera déductible lors de la vente finale à un tiers. Taux IS appliqué : 25%</t>
        </is>
      </c>
      <c r="M20" s="110" t="n"/>
      <c r="N20" s="110" t="n"/>
      <c r="O20" s="110" t="n"/>
      <c r="P20" s="110" t="n"/>
      <c r="Q20" s="110" t="n"/>
      <c r="R20" s="110" t="n"/>
    </row>
    <row r="21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</row>
    <row r="22">
      <c r="A22" s="110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</row>
    <row r="23">
      <c r="A23" s="571" t="inlineStr">
        <is>
          <t>TYPE 3 – ÉLIMINATION DES DIVIDENDES INTRAGROUPE (IFRS 10 §B86(a))</t>
        </is>
      </c>
      <c r="R23" s="110" t="n"/>
    </row>
    <row r="24">
      <c r="A24" s="543" t="inlineStr">
        <is>
          <t>RefElim</t>
        </is>
      </c>
      <c r="B24" s="543" t="inlineStr">
        <is>
          <t>DistributeurDividende</t>
        </is>
      </c>
      <c r="C24" s="543" t="inlineStr">
        <is>
          <t>Bénéficiaire</t>
        </is>
      </c>
      <c r="D24" s="543" t="inlineStr">
        <is>
          <t>Devise</t>
        </is>
      </c>
      <c r="E24" s="543" t="inlineStr">
        <is>
          <t>TxConv</t>
        </is>
      </c>
      <c r="F24" s="543" t="inlineStr">
        <is>
          <t>DividendeLocal</t>
        </is>
      </c>
      <c r="G24" s="543" t="inlineStr">
        <is>
          <t>DividendeEUR</t>
        </is>
      </c>
      <c r="H24" s="543" t="inlineStr">
        <is>
          <t>ProdFin_Elim(761)</t>
        </is>
      </c>
      <c r="I24" s="543" t="inlineStr">
        <is>
          <t>Dividendes_Elim(457)</t>
        </is>
      </c>
      <c r="J24" s="543" t="inlineStr">
        <is>
          <t>NormeRef</t>
        </is>
      </c>
      <c r="K24" s="110" t="n"/>
      <c r="L24" s="110" t="n"/>
      <c r="M24" s="110" t="n"/>
      <c r="N24" s="110" t="n"/>
      <c r="O24" s="110" t="n"/>
      <c r="P24" s="110" t="n"/>
      <c r="Q24" s="110" t="n"/>
      <c r="R24" s="110" t="n"/>
    </row>
    <row r="25">
      <c r="A25" s="111" t="inlineStr">
        <is>
          <t>D-IC-001</t>
        </is>
      </c>
      <c r="B25" s="111" t="inlineStr">
        <is>
          <t>DE_Filiale</t>
        </is>
      </c>
      <c r="C25" s="111" t="inlineStr">
        <is>
          <t>FR_ParentCo</t>
        </is>
      </c>
      <c r="D25" s="111" t="inlineStr">
        <is>
          <t>EUR</t>
        </is>
      </c>
      <c r="E25" s="111" t="n">
        <v>1</v>
      </c>
      <c r="F25" s="111" t="n">
        <v>4200</v>
      </c>
      <c r="G25" s="111" t="n">
        <v>4200</v>
      </c>
      <c r="H25" s="111" t="n">
        <v>761000</v>
      </c>
      <c r="I25" s="111">
        <f>H25</f>
        <v/>
      </c>
      <c r="J25" s="111" t="inlineStr">
        <is>
          <t>IFRS 18 §68 + IFRS 10</t>
        </is>
      </c>
      <c r="K25" s="110" t="n"/>
      <c r="L25" s="110" t="n"/>
      <c r="M25" s="110" t="n"/>
      <c r="N25" s="110" t="n"/>
      <c r="O25" s="110" t="n"/>
      <c r="P25" s="110" t="n"/>
      <c r="Q25" s="110" t="n"/>
      <c r="R25" s="110" t="n"/>
    </row>
    <row r="26">
      <c r="A26" s="540" t="inlineStr">
        <is>
          <t>D-IC-002</t>
        </is>
      </c>
      <c r="B26" s="540" t="inlineStr">
        <is>
          <t>UK_Filiale</t>
        </is>
      </c>
      <c r="C26" s="540" t="inlineStr">
        <is>
          <t>FR_ParentCo</t>
        </is>
      </c>
      <c r="D26" s="540" t="inlineStr">
        <is>
          <t>GBP</t>
        </is>
      </c>
      <c r="E26" s="540" t="n">
        <v>1.165</v>
      </c>
      <c r="F26" s="540" t="n">
        <v>2800</v>
      </c>
      <c r="G26" s="540" t="n">
        <v>3262</v>
      </c>
      <c r="H26" s="540" t="n">
        <v>761000</v>
      </c>
      <c r="I26" s="540">
        <f>H26</f>
        <v/>
      </c>
      <c r="J26" s="540" t="inlineStr">
        <is>
          <t>IFRS 18 §68 + IFRS 10</t>
        </is>
      </c>
      <c r="K26" s="110" t="n"/>
      <c r="L26" s="110" t="n"/>
      <c r="M26" s="110" t="n"/>
      <c r="N26" s="110" t="n"/>
      <c r="O26" s="110" t="n"/>
      <c r="P26" s="110" t="n"/>
      <c r="Q26" s="110" t="n"/>
      <c r="R26" s="110" t="n"/>
    </row>
    <row r="27">
      <c r="A27" s="111" t="inlineStr">
        <is>
          <t>D-IC-003</t>
        </is>
      </c>
      <c r="B27" s="111" t="inlineStr">
        <is>
          <t>US_Filiale</t>
        </is>
      </c>
      <c r="C27" s="111" t="inlineStr">
        <is>
          <t>FR_ParentCo</t>
        </is>
      </c>
      <c r="D27" s="111" t="inlineStr">
        <is>
          <t>USD</t>
        </is>
      </c>
      <c r="E27" s="111" t="n">
        <v>0.918</v>
      </c>
      <c r="F27" s="111" t="n">
        <v>1800</v>
      </c>
      <c r="G27" s="111" t="n">
        <v>1652</v>
      </c>
      <c r="H27" s="111" t="n">
        <v>761000</v>
      </c>
      <c r="I27" s="111">
        <f>H27</f>
        <v/>
      </c>
      <c r="J27" s="111" t="inlineStr">
        <is>
          <t>IFRS 18 §68 + IFRS 10</t>
        </is>
      </c>
      <c r="K27" s="110" t="n"/>
      <c r="L27" s="110" t="n"/>
      <c r="M27" s="110" t="n"/>
      <c r="N27" s="110" t="n"/>
      <c r="O27" s="110" t="n"/>
      <c r="P27" s="110" t="n"/>
      <c r="Q27" s="110" t="n"/>
      <c r="R27" s="110" t="n"/>
    </row>
    <row r="28">
      <c r="A28" s="112" t="inlineStr">
        <is>
          <t>TOTAL ÉLIM. DIVIDENDES IC</t>
        </is>
      </c>
      <c r="B28" s="112" t="n"/>
      <c r="C28" s="112" t="n"/>
      <c r="D28" s="112" t="n"/>
      <c r="E28" s="112" t="n"/>
      <c r="F28" s="112" t="n"/>
      <c r="G28" s="112">
        <f>SUM(G25:G27)</f>
        <v/>
      </c>
      <c r="H28" s="112" t="n"/>
      <c r="I28" s="112" t="n"/>
      <c r="J28" s="112" t="n"/>
      <c r="K28" s="110" t="n"/>
      <c r="L28" s="110" t="n"/>
      <c r="M28" s="110" t="n"/>
      <c r="N28" s="110" t="n"/>
      <c r="O28" s="110" t="n"/>
      <c r="P28" s="110" t="n"/>
      <c r="Q28" s="110" t="n"/>
      <c r="R28" s="110" t="n"/>
    </row>
    <row r="29">
      <c r="A29" s="570" t="inlineStr">
        <is>
          <t>🆕  IFRS 18 §68 : Les dividendes reçus d'une entité non consolidée restent en Investissement. Les dividendes IC sont ÉLIMINÉS avant toute catégorisation IFRS 18.</t>
        </is>
      </c>
      <c r="K29" s="110" t="n"/>
      <c r="L29" s="110" t="n"/>
      <c r="M29" s="110" t="n"/>
      <c r="N29" s="110" t="n"/>
      <c r="O29" s="110" t="n"/>
      <c r="P29" s="110" t="n"/>
      <c r="Q29" s="110" t="n"/>
      <c r="R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  <c r="P30" s="110" t="n"/>
      <c r="Q30" s="110" t="n"/>
      <c r="R30" s="110" t="n"/>
    </row>
    <row r="31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</row>
    <row r="32">
      <c r="A32" s="571" t="inlineStr">
        <is>
          <t>TYPE 4 – ÉLIMINATION DES PRÊTS / EMPRUNTS INTRAGROUPE + INTÉRÊTS (IFRS 10 §B86)</t>
        </is>
      </c>
      <c r="R32" s="110" t="n"/>
    </row>
    <row r="33">
      <c r="A33" s="543" t="inlineStr">
        <is>
          <t>RefElim</t>
        </is>
      </c>
      <c r="B33" s="543" t="inlineStr">
        <is>
          <t>Prêteur</t>
        </is>
      </c>
      <c r="C33" s="543" t="inlineStr">
        <is>
          <t>Emprunteur</t>
        </is>
      </c>
      <c r="D33" s="543" t="inlineStr">
        <is>
          <t>Devise</t>
        </is>
      </c>
      <c r="E33" s="543" t="inlineStr">
        <is>
          <t>TxConv</t>
        </is>
      </c>
      <c r="F33" s="543" t="inlineStr">
        <is>
          <t>CapitalLocal</t>
        </is>
      </c>
      <c r="G33" s="543" t="inlineStr">
        <is>
          <t>CapitalEUR</t>
        </is>
      </c>
      <c r="H33" s="543" t="inlineStr">
        <is>
          <t>TauxIntérêt</t>
        </is>
      </c>
      <c r="I33" s="543" t="inlineStr">
        <is>
          <t>IntérêtsEUR</t>
        </is>
      </c>
      <c r="J33" s="543" t="inlineStr">
        <is>
          <t>CompteActif</t>
        </is>
      </c>
      <c r="K33" s="543" t="inlineStr">
        <is>
          <t>ComptePssif</t>
        </is>
      </c>
      <c r="L33" s="543" t="inlineStr">
        <is>
          <t>EcartConv</t>
        </is>
      </c>
      <c r="M33" s="110" t="n"/>
      <c r="N33" s="110" t="n"/>
      <c r="O33" s="110" t="n"/>
      <c r="P33" s="110" t="n"/>
      <c r="Q33" s="110" t="n"/>
      <c r="R33" s="110" t="n"/>
    </row>
    <row r="34">
      <c r="A34" s="111" t="inlineStr">
        <is>
          <t>P-IC-001</t>
        </is>
      </c>
      <c r="B34" s="111" t="inlineStr">
        <is>
          <t>FR_ParentCo</t>
        </is>
      </c>
      <c r="C34" s="111" t="inlineStr">
        <is>
          <t>SG_Filiale</t>
        </is>
      </c>
      <c r="D34" s="111" t="inlineStr">
        <is>
          <t>SGD</t>
        </is>
      </c>
      <c r="E34" s="111" t="n">
        <v>0.678</v>
      </c>
      <c r="F34" s="111" t="n">
        <v>5200</v>
      </c>
      <c r="G34" s="111" t="n">
        <v>3526</v>
      </c>
      <c r="H34" s="113" t="n">
        <v>0.045</v>
      </c>
      <c r="I34" s="111">
        <f>G34*H34</f>
        <v/>
      </c>
      <c r="J34" s="111" t="n">
        <v>274100</v>
      </c>
      <c r="K34" s="111" t="n">
        <v>167100</v>
      </c>
      <c r="L34" s="111">
        <f>I34*0.03</f>
        <v/>
      </c>
      <c r="M34" s="110" t="n"/>
      <c r="N34" s="110" t="n"/>
      <c r="O34" s="110" t="n"/>
      <c r="P34" s="110" t="n"/>
      <c r="Q34" s="110" t="n"/>
      <c r="R34" s="110" t="n"/>
    </row>
    <row r="35">
      <c r="A35" s="540" t="inlineStr">
        <is>
          <t>P-IC-002</t>
        </is>
      </c>
      <c r="B35" s="540" t="inlineStr">
        <is>
          <t>FR_ParentCo</t>
        </is>
      </c>
      <c r="C35" s="540" t="inlineStr">
        <is>
          <t>UK_Filiale</t>
        </is>
      </c>
      <c r="D35" s="540" t="inlineStr">
        <is>
          <t>GBP</t>
        </is>
      </c>
      <c r="E35" s="540" t="n">
        <v>1.165</v>
      </c>
      <c r="F35" s="540" t="n">
        <v>3800</v>
      </c>
      <c r="G35" s="540" t="n">
        <v>4427</v>
      </c>
      <c r="H35" s="30" t="n">
        <v>0.038</v>
      </c>
      <c r="I35" s="540">
        <f>G35*H35</f>
        <v/>
      </c>
      <c r="J35" s="540" t="n">
        <v>274100</v>
      </c>
      <c r="K35" s="540" t="n">
        <v>167100</v>
      </c>
      <c r="L35" s="540">
        <f>I35*0.03</f>
        <v/>
      </c>
      <c r="M35" s="110" t="n"/>
      <c r="N35" s="110" t="n"/>
      <c r="O35" s="110" t="n"/>
      <c r="P35" s="110" t="n"/>
      <c r="Q35" s="110" t="n"/>
      <c r="R35" s="110" t="n"/>
    </row>
    <row r="36">
      <c r="A36" s="112" t="inlineStr">
        <is>
          <t>TOTAL PRÊTS IC</t>
        </is>
      </c>
      <c r="B36" s="112" t="n"/>
      <c r="C36" s="112" t="n"/>
      <c r="D36" s="112" t="n"/>
      <c r="E36" s="112" t="n"/>
      <c r="F36" s="112" t="n"/>
      <c r="G36" s="112">
        <f>SUM(G34:G35)</f>
        <v/>
      </c>
      <c r="H36" s="112" t="n"/>
      <c r="I36" s="112">
        <f>SUM(I34:I35)</f>
        <v/>
      </c>
      <c r="J36" s="112" t="n"/>
      <c r="K36" s="112" t="n"/>
      <c r="L36" s="112" t="n"/>
      <c r="M36" s="110" t="n"/>
      <c r="N36" s="110" t="n"/>
      <c r="O36" s="110" t="n"/>
      <c r="P36" s="110" t="n"/>
      <c r="Q36" s="110" t="n"/>
      <c r="R36" s="110" t="n"/>
    </row>
    <row r="37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  <c r="P37" s="110" t="n"/>
      <c r="Q37" s="110" t="n"/>
      <c r="R37" s="110" t="n"/>
    </row>
    <row r="38">
      <c r="A38" s="110" t="n"/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  <c r="P38" s="110" t="n"/>
      <c r="Q38" s="110" t="n"/>
      <c r="R38" s="110" t="n"/>
    </row>
    <row r="39" ht="15.75" customHeight="1" s="500">
      <c r="A39" s="572" t="inlineStr">
        <is>
          <t>📊 RÉCAPITULATIF GLOBAL DES ÉLIMINATIONS – IMPACT SUR LES ÉTATS FINANCIERS CONSOLIDÉS</t>
        </is>
      </c>
      <c r="M39" s="110" t="n"/>
      <c r="N39" s="110" t="n"/>
      <c r="O39" s="110" t="n"/>
      <c r="P39" s="110" t="n"/>
      <c r="Q39" s="110" t="n"/>
      <c r="R39" s="110" t="n"/>
    </row>
    <row r="40">
      <c r="A40" s="543" t="inlineStr">
        <is>
          <t>Type Élimination</t>
        </is>
      </c>
      <c r="B40" s="543" t="inlineStr">
        <is>
          <t>Impact CR (k€)</t>
        </is>
      </c>
      <c r="C40" s="543" t="inlineStr">
        <is>
          <t>Impact Bilan (k€)</t>
        </is>
      </c>
      <c r="D40" s="543" t="inlineStr">
        <is>
          <t>Impact IDA (k€)</t>
        </is>
      </c>
      <c r="E40" s="543" t="inlineStr">
        <is>
          <t>Impact OCI (k€)</t>
        </is>
      </c>
      <c r="F40" s="543" t="inlineStr">
        <is>
          <t>Norme</t>
        </is>
      </c>
      <c r="G40" s="110" t="n"/>
      <c r="H40" s="110" t="n"/>
      <c r="I40" s="110" t="n"/>
      <c r="J40" s="110" t="n"/>
      <c r="K40" s="110" t="n"/>
      <c r="L40" s="110" t="n"/>
      <c r="M40" s="110" t="n"/>
      <c r="N40" s="110" t="n"/>
      <c r="O40" s="110" t="n"/>
      <c r="P40" s="110" t="n"/>
      <c r="Q40" s="110" t="n"/>
      <c r="R40" s="110" t="n"/>
    </row>
    <row r="41">
      <c r="A41" s="111" t="inlineStr">
        <is>
          <t>Ventes IC (CA + Achats)</t>
        </is>
      </c>
      <c r="B41" s="111">
        <f>-G9</f>
        <v/>
      </c>
      <c r="C41" s="111" t="n">
        <v>0</v>
      </c>
      <c r="D41" s="111" t="n">
        <v>0</v>
      </c>
      <c r="E41" s="111" t="n">
        <v>0</v>
      </c>
      <c r="F41" s="111" t="inlineStr">
        <is>
          <t>IFRS 10 §B86(b)</t>
        </is>
      </c>
      <c r="G41" s="110" t="n"/>
      <c r="H41" s="110" t="n"/>
      <c r="I41" s="110" t="n"/>
      <c r="J41" s="110" t="n"/>
      <c r="K41" s="110" t="n"/>
      <c r="L41" s="110" t="n"/>
      <c r="M41" s="110" t="n"/>
      <c r="N41" s="110" t="n"/>
      <c r="O41" s="110" t="n"/>
      <c r="P41" s="110" t="n"/>
      <c r="Q41" s="110" t="n"/>
      <c r="R41" s="110" t="n"/>
    </row>
    <row r="42">
      <c r="A42" s="540" t="inlineStr">
        <is>
          <t>Marges stocks IC</t>
        </is>
      </c>
      <c r="B42" s="540">
        <f>-G19</f>
        <v/>
      </c>
      <c r="C42" s="540">
        <f>I19</f>
        <v/>
      </c>
      <c r="D42" s="540">
        <f>K19</f>
        <v/>
      </c>
      <c r="E42" s="540" t="n">
        <v>0</v>
      </c>
      <c r="F42" s="540" t="inlineStr">
        <is>
          <t>IFRS 10 §B86 + IAS 12</t>
        </is>
      </c>
      <c r="G42" s="110" t="n"/>
      <c r="H42" s="110" t="n"/>
      <c r="I42" s="110" t="n"/>
      <c r="J42" s="110" t="n"/>
      <c r="K42" s="110" t="n"/>
      <c r="L42" s="110" t="n"/>
      <c r="M42" s="110" t="n"/>
      <c r="N42" s="110" t="n"/>
      <c r="O42" s="110" t="n"/>
      <c r="P42" s="110" t="n"/>
      <c r="Q42" s="110" t="n"/>
      <c r="R42" s="110" t="n"/>
    </row>
    <row r="43">
      <c r="A43" s="111" t="inlineStr">
        <is>
          <t>Dividendes IC</t>
        </is>
      </c>
      <c r="B43" s="111">
        <f>-G28</f>
        <v/>
      </c>
      <c r="C43" s="111" t="n">
        <v>0</v>
      </c>
      <c r="D43" s="111" t="n">
        <v>0</v>
      </c>
      <c r="E43" s="111" t="n">
        <v>0</v>
      </c>
      <c r="F43" s="111" t="inlineStr">
        <is>
          <t>IFRS 10 §B86(a) + IFRS 18 §68</t>
        </is>
      </c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  <c r="Q43" s="110" t="n"/>
      <c r="R43" s="110" t="n"/>
    </row>
    <row r="44">
      <c r="A44" s="540" t="inlineStr">
        <is>
          <t>Prêts IC (capital)</t>
        </is>
      </c>
      <c r="B44" s="540" t="n">
        <v>0</v>
      </c>
      <c r="C44" s="540">
        <f>-G36</f>
        <v/>
      </c>
      <c r="D44" s="540" t="n">
        <v>0</v>
      </c>
      <c r="E44" s="540">
        <f>L36</f>
        <v/>
      </c>
      <c r="F44" s="540" t="inlineStr">
        <is>
          <t>IFRS 10 + IAS 21</t>
        </is>
      </c>
      <c r="G44" s="110" t="n"/>
      <c r="H44" s="110" t="n"/>
      <c r="I44" s="110" t="n"/>
      <c r="J44" s="110" t="n"/>
      <c r="K44" s="110" t="n"/>
      <c r="L44" s="110" t="n"/>
      <c r="M44" s="110" t="n"/>
      <c r="N44" s="110" t="n"/>
      <c r="O44" s="110" t="n"/>
      <c r="P44" s="110" t="n"/>
      <c r="Q44" s="110" t="n"/>
      <c r="R44" s="110" t="n"/>
    </row>
    <row r="45">
      <c r="A45" s="111" t="inlineStr">
        <is>
          <t>Prêts IC (intérêts)</t>
        </is>
      </c>
      <c r="B45" s="111">
        <f>-I36</f>
        <v/>
      </c>
      <c r="C45" s="111" t="n">
        <v>0</v>
      </c>
      <c r="D45" s="111" t="n">
        <v>0</v>
      </c>
      <c r="E45" s="111" t="n">
        <v>0</v>
      </c>
      <c r="F45" s="111" t="inlineStr">
        <is>
          <t>IFRS 18 §72</t>
        </is>
      </c>
      <c r="G45" s="110" t="n"/>
      <c r="H45" s="110" t="n"/>
      <c r="I45" s="110" t="n"/>
      <c r="J45" s="110" t="n"/>
      <c r="K45" s="110" t="n"/>
      <c r="L45" s="110" t="n"/>
      <c r="M45" s="110" t="n"/>
      <c r="N45" s="110" t="n"/>
      <c r="O45" s="110" t="n"/>
      <c r="P45" s="110" t="n"/>
      <c r="Q45" s="110" t="n"/>
      <c r="R45" s="110" t="n"/>
    </row>
    <row r="46">
      <c r="A46" s="114" t="inlineStr">
        <is>
          <t>TOTAL IMPACT ÉLIMINATIONS</t>
        </is>
      </c>
      <c r="B46" s="114">
        <f>SUM(B41:B45)</f>
        <v/>
      </c>
      <c r="C46" s="114">
        <f>SUM(C41:C45)</f>
        <v/>
      </c>
      <c r="D46" s="114">
        <f>SUM(D41:D45)</f>
        <v/>
      </c>
      <c r="E46" s="114">
        <f>SUM(E41:E45)</f>
        <v/>
      </c>
      <c r="F46" s="114" t="n"/>
      <c r="G46" s="110" t="n"/>
      <c r="H46" s="110" t="n"/>
      <c r="I46" s="110" t="n"/>
      <c r="J46" s="110" t="n"/>
      <c r="K46" s="110" t="n"/>
      <c r="L46" s="110" t="n"/>
      <c r="M46" s="110" t="n"/>
      <c r="N46" s="110" t="n"/>
      <c r="O46" s="110" t="n"/>
      <c r="P46" s="110" t="n"/>
      <c r="Q46" s="110" t="n"/>
      <c r="R46" s="110" t="n"/>
    </row>
    <row r="47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  <c r="M47" s="110" t="n"/>
      <c r="N47" s="110" t="n"/>
      <c r="O47" s="110" t="n"/>
      <c r="P47" s="110" t="n"/>
      <c r="Q47" s="110" t="n"/>
      <c r="R47" s="110" t="n"/>
    </row>
    <row r="48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110" t="n"/>
      <c r="N48" s="110" t="n"/>
      <c r="O48" s="110" t="n"/>
      <c r="P48" s="110" t="n"/>
      <c r="Q48" s="110" t="n"/>
      <c r="R48" s="110" t="n"/>
    </row>
    <row r="49">
      <c r="A49" s="110" t="n"/>
      <c r="B49" s="110" t="n"/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110" t="n"/>
      <c r="N49" s="110" t="n"/>
      <c r="O49" s="110" t="n"/>
      <c r="P49" s="110" t="n"/>
      <c r="Q49" s="110" t="n"/>
      <c r="R49" s="110" t="n"/>
    </row>
    <row r="50">
      <c r="A50" s="110" t="n"/>
      <c r="B50" s="110" t="n"/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110" t="n"/>
      <c r="N50" s="110" t="n"/>
      <c r="O50" s="110" t="n"/>
      <c r="P50" s="110" t="n"/>
      <c r="Q50" s="110" t="n"/>
      <c r="R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  <c r="Q51" s="110" t="n"/>
      <c r="R51" s="110" t="n"/>
    </row>
    <row r="52">
      <c r="A52" s="110" t="n"/>
      <c r="B52" s="110" t="n"/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  <c r="Q52" s="110" t="n"/>
      <c r="R52" s="110" t="n"/>
    </row>
    <row r="53">
      <c r="A53" s="110" t="n"/>
      <c r="B53" s="110" t="n"/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  <c r="M53" s="110" t="n"/>
      <c r="N53" s="110" t="n"/>
      <c r="O53" s="110" t="n"/>
      <c r="P53" s="110" t="n"/>
      <c r="Q53" s="110" t="n"/>
      <c r="R53" s="110" t="n"/>
    </row>
    <row r="54">
      <c r="A54" s="110" t="n"/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</row>
    <row r="55">
      <c r="A55" s="110" t="n"/>
      <c r="B55" s="110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</row>
    <row r="56">
      <c r="A56" s="110" t="n"/>
      <c r="B56" s="110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</row>
    <row r="57">
      <c r="A57" s="110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</row>
    <row r="58">
      <c r="A58" s="110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10" t="n"/>
      <c r="N58" s="110" t="n"/>
      <c r="O58" s="110" t="n"/>
      <c r="P58" s="110" t="n"/>
      <c r="Q58" s="110" t="n"/>
      <c r="R58" s="110" t="n"/>
    </row>
    <row r="59">
      <c r="A59" s="110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O62" s="110" t="n"/>
      <c r="P62" s="110" t="n"/>
      <c r="Q62" s="110" t="n"/>
      <c r="R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O63" s="110" t="n"/>
      <c r="P63" s="110" t="n"/>
      <c r="Q63" s="110" t="n"/>
      <c r="R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O64" s="110" t="n"/>
      <c r="P64" s="110" t="n"/>
      <c r="Q64" s="110" t="n"/>
      <c r="R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O65" s="110" t="n"/>
      <c r="P65" s="110" t="n"/>
      <c r="Q65" s="110" t="n"/>
      <c r="R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O66" s="110" t="n"/>
      <c r="P66" s="110" t="n"/>
      <c r="Q66" s="110" t="n"/>
      <c r="R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O67" s="110" t="n"/>
      <c r="P67" s="110" t="n"/>
      <c r="Q67" s="110" t="n"/>
      <c r="R67" s="110" t="n"/>
    </row>
    <row r="68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0" t="n"/>
      <c r="P68" s="110" t="n"/>
      <c r="Q68" s="110" t="n"/>
      <c r="R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O69" s="110" t="n"/>
      <c r="P69" s="110" t="n"/>
      <c r="Q69" s="110" t="n"/>
      <c r="R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O70" s="110" t="n"/>
      <c r="P70" s="110" t="n"/>
      <c r="Q70" s="110" t="n"/>
      <c r="R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O71" s="110" t="n"/>
      <c r="P71" s="110" t="n"/>
      <c r="Q71" s="110" t="n"/>
      <c r="R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O72" s="110" t="n"/>
      <c r="P72" s="110" t="n"/>
      <c r="Q72" s="110" t="n"/>
      <c r="R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0" t="n"/>
      <c r="Q73" s="110" t="n"/>
      <c r="R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O74" s="110" t="n"/>
      <c r="P74" s="110" t="n"/>
      <c r="Q74" s="110" t="n"/>
      <c r="R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O75" s="110" t="n"/>
      <c r="P75" s="110" t="n"/>
      <c r="Q75" s="110" t="n"/>
      <c r="R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O76" s="110" t="n"/>
      <c r="P76" s="110" t="n"/>
      <c r="Q76" s="110" t="n"/>
      <c r="R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O77" s="110" t="n"/>
      <c r="P77" s="110" t="n"/>
      <c r="Q77" s="110" t="n"/>
      <c r="R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O78" s="110" t="n"/>
      <c r="P78" s="110" t="n"/>
      <c r="Q78" s="110" t="n"/>
      <c r="R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</row>
  </sheetData>
  <mergeCells count="9">
    <mergeCell ref="A20:L20"/>
    <mergeCell ref="A39:L39"/>
    <mergeCell ref="A3:Q3"/>
    <mergeCell ref="A29:J29"/>
    <mergeCell ref="A15:Q15"/>
    <mergeCell ref="A11:G11"/>
    <mergeCell ref="A1:Q1"/>
    <mergeCell ref="A23:Q23"/>
    <mergeCell ref="A32:Q3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6A1B9A"/>
    <outlinePr summaryBelow="1" summaryRight="1"/>
    <pageSetUpPr/>
  </sheetPr>
  <dimension ref="A1:H200"/>
  <sheetViews>
    <sheetView workbookViewId="0">
      <selection activeCell="D6" sqref="D6:F6"/>
    </sheetView>
  </sheetViews>
  <sheetFormatPr baseColWidth="10" defaultRowHeight="15"/>
  <cols>
    <col width="45.7109375" customWidth="1" style="500" min="1" max="1"/>
    <col width="19" customWidth="1" style="500" min="2" max="2"/>
    <col width="34.28515625" customWidth="1" style="500" min="3" max="3"/>
    <col width="66.7109375" customWidth="1" style="500" min="4" max="6"/>
    <col width="32.42578125" customWidth="1" style="500" min="7" max="7"/>
  </cols>
  <sheetData>
    <row r="1" ht="18.75" customHeight="1" s="500">
      <c r="A1" s="583" t="inlineStr">
        <is>
          <t>⚡  PQ_DAX_MESURES – BIBLIOTHÈQUE COMPLÈTE DES MESURES DAX · Power Pivot · Consolidation IFRS 18</t>
        </is>
      </c>
      <c r="H1" s="115" t="n"/>
    </row>
    <row r="2">
      <c r="A2" s="584" t="inlineStr">
        <is>
          <t>Coller chaque mesure dans Power Pivot (Accueil → Mesures) ou dans le modèle de données. Préfixe : [M_] pour les mesures, [C_] pour les colonnes calculées.</t>
        </is>
      </c>
      <c r="H2" s="115" t="n"/>
    </row>
    <row r="3">
      <c r="A3" s="115" t="n"/>
      <c r="B3" s="115" t="n"/>
      <c r="C3" s="115" t="n"/>
      <c r="D3" s="115" t="n"/>
      <c r="E3" s="115" t="n"/>
      <c r="F3" s="115" t="n"/>
      <c r="G3" s="115" t="n"/>
      <c r="H3" s="115" t="n"/>
    </row>
    <row r="4" ht="360" customHeight="1" s="500">
      <c r="A4" s="585" t="inlineStr">
        <is>
          <t>// ══════════════════════════════════════════════════════════════════
// GROUPE A – MESURES DE BASE (CA / RÉSULTAT)
// ══════════════════════════════════════════════════════════════════</t>
        </is>
      </c>
      <c r="H4" s="115" t="n"/>
    </row>
    <row r="5">
      <c r="A5" s="116" t="inlineStr">
        <is>
          <t>Nom mesure</t>
        </is>
      </c>
      <c r="B5" s="116" t="inlineStr">
        <is>
          <t>Table</t>
        </is>
      </c>
      <c r="C5" s="116" t="inlineStr">
        <is>
          <t>Description</t>
        </is>
      </c>
      <c r="D5" s="116" t="inlineStr">
        <is>
          <t>Code DAX</t>
        </is>
      </c>
      <c r="E5" s="116" t="n"/>
      <c r="F5" s="116" t="n"/>
      <c r="G5" s="116" t="inlineStr">
        <is>
          <t>Norme / Référence</t>
        </is>
      </c>
      <c r="H5" s="115" t="n"/>
    </row>
    <row r="6" ht="336.75" customHeight="1" s="500">
      <c r="A6" s="117" t="inlineStr">
        <is>
          <t>[M_CA_Groupe]</t>
        </is>
      </c>
      <c r="B6" s="118" t="inlineStr">
        <is>
          <t>Balances_PQ</t>
        </is>
      </c>
      <c r="C6" s="119" t="inlineStr">
        <is>
          <t>Chiffre d'affaires consolidé (hors IC)</t>
        </is>
      </c>
      <c r="D6" s="576" t="inlineStr">
        <is>
          <t>[M_CA_Groupe] =
CALCULATE(
    SUMX(
        FILTER('Balances_PQ',
            'Balances_PQ'[PosteGroupeIFRS18] = "Chiffre d'affaires"
            &amp;&amp; 'Balances_PQ'[EstIC] = FALSE()
        ),
        'Balances_PQ'[MontantEUR]
    )
)</t>
        </is>
      </c>
      <c r="G6" s="120" t="inlineStr">
        <is>
          <t>IFRS 15 / IFRS 18 §55</t>
        </is>
      </c>
      <c r="H6" s="115" t="n"/>
    </row>
    <row r="7" ht="228.75" customHeight="1" s="500">
      <c r="A7" s="117" t="inlineStr">
        <is>
          <t>[M_EBIT]</t>
        </is>
      </c>
      <c r="B7" s="118" t="inlineStr">
        <is>
          <t>Balances_PQ</t>
        </is>
      </c>
      <c r="C7" s="119" t="inlineStr">
        <is>
          <t>Résultat Opérationnel – catégorie ① Exploitation uniquement</t>
        </is>
      </c>
      <c r="D7" s="576" t="inlineStr">
        <is>
          <t>[M_EBIT] =
CALCULATE(
    SUM('Balances_PQ'[MontantEUR]),
    'Balances_PQ'[CatIFRS18_Finale] = "① Exploitation",
    'Balances_PQ'[EstIC] = FALSE()
)</t>
        </is>
      </c>
      <c r="G7" s="120" t="inlineStr">
        <is>
          <t>IFRS 18 §55-67</t>
        </is>
      </c>
      <c r="H7" s="115" t="n"/>
    </row>
    <row r="8" ht="409.6" customHeight="1" s="500">
      <c r="A8" s="117" t="inlineStr">
        <is>
          <t>[M_EBITDA]</t>
        </is>
      </c>
      <c r="B8" s="118" t="inlineStr">
        <is>
          <t>Balances_PQ</t>
        </is>
      </c>
      <c r="C8" s="119" t="inlineStr">
        <is>
          <t>EBIT + amortissements &amp; provisions (add-back)</t>
        </is>
      </c>
      <c r="D8" s="576" t="inlineStr">
        <is>
          <t>[M_EBITDA] =
[M_EBIT]
+ CALCULATE(
    ABS(SUM('Balances_PQ'[MontantEUR])),
    'Balances_PQ'[PosteGroupeIFRS18] = "Amortissements &amp; dépréciations"
)
+ CALCULATE(
    ABS(SUM('Balances_PQ'[MontantEUR])),
    'Balances_PQ'[PosteGroupeIFRS18] = "Dotations aux provisions"
)</t>
        </is>
      </c>
      <c r="G8" s="120" t="inlineStr">
        <is>
          <t>MPM – IFRS 18 §112 (rapprochement obligatoire)</t>
        </is>
      </c>
      <c r="H8" s="115" t="n"/>
    </row>
    <row r="9" ht="240.75" customHeight="1" s="500">
      <c r="A9" s="117" t="inlineStr">
        <is>
          <t>[M_RésInvest]</t>
        </is>
      </c>
      <c r="B9" s="118" t="inlineStr">
        <is>
          <t>Balances_PQ</t>
        </is>
      </c>
      <c r="C9" s="119" t="inlineStr">
        <is>
          <t>Résultat de la catégorie ② Investissement (IFRS 18 §68)</t>
        </is>
      </c>
      <c r="D9" s="576" t="inlineStr">
        <is>
          <t>[M_RésInvest] =
CALCULATE(
    SUM('Balances_PQ'[MontantEUR]),
    'Balances_PQ'[CatIFRS18_Finale] = "② Investissement",
    'Balances_PQ'[EstIC] = FALSE()
)</t>
        </is>
      </c>
      <c r="G9" s="120" t="inlineStr">
        <is>
          <t>IFRS 18 §68-71</t>
        </is>
      </c>
      <c r="H9" s="115" t="n"/>
    </row>
    <row r="10" ht="192.75" customHeight="1" s="500">
      <c r="A10" s="117" t="inlineStr">
        <is>
          <t>[M_ProfitAvtFinImpôt]</t>
        </is>
      </c>
      <c r="B10" s="118" t="inlineStr">
        <is>
          <t>Balances_PQ</t>
        </is>
      </c>
      <c r="C10" s="119" t="inlineStr">
        <is>
          <t>🆕 IFRS 18 §65 – Sous-total imposé : Exploitation + Investissement</t>
        </is>
      </c>
      <c r="D10" s="576" t="inlineStr">
        <is>
          <t>[M_ProfitAvtFinImpôt] =
[M_EBIT] + [M_RésInvest]
// Ce sous-total est IMPOSÉ par IFRS 18
// Il remplace le « résultat courant » de IAS 1</t>
        </is>
      </c>
      <c r="G10" s="120" t="inlineStr">
        <is>
          <t>IFRS 18 §65 – NOUVEAU sous-total obligatoire</t>
        </is>
      </c>
      <c r="H10" s="115" t="n"/>
    </row>
    <row r="11" ht="192.75" customHeight="1" s="500">
      <c r="A11" s="117" t="inlineStr">
        <is>
          <t>[M_RésFin]</t>
        </is>
      </c>
      <c r="B11" s="118" t="inlineStr">
        <is>
          <t>Balances_PQ</t>
        </is>
      </c>
      <c r="C11" s="119" t="inlineStr">
        <is>
          <t>Résultat catégorie ③ Financement</t>
        </is>
      </c>
      <c r="D11" s="576" t="inlineStr">
        <is>
          <t>[M_RésFin] =
CALCULATE(
    SUM('Balances_PQ'[MontantEUR]),
    'Balances_PQ'[CatIFRS18_Finale] = "③ Financement"
)</t>
        </is>
      </c>
      <c r="G11" s="120" t="inlineStr">
        <is>
          <t>IFRS 18 §72-79</t>
        </is>
      </c>
      <c r="H11" s="115" t="n"/>
    </row>
    <row r="12" ht="180.75" customHeight="1" s="500">
      <c r="A12" s="117" t="inlineStr">
        <is>
          <t>[M_ChargeIS]</t>
        </is>
      </c>
      <c r="B12" s="118" t="inlineStr">
        <is>
          <t>Balances_PQ</t>
        </is>
      </c>
      <c r="C12" s="119" t="inlineStr">
        <is>
          <t>Charge d'impôt totale (courant + différé)</t>
        </is>
      </c>
      <c r="D12" s="576" t="inlineStr">
        <is>
          <t>[M_ChargeIS] =
CALCULATE(
    SUM('Balances_PQ'[MontantEUR]),
    'Balances_PQ'[CatIFRS18_Finale] = "④ Impôts"
)</t>
        </is>
      </c>
      <c r="G12" s="120" t="inlineStr">
        <is>
          <t>IAS 12 / IFRS 18 §80</t>
        </is>
      </c>
      <c r="H12" s="115" t="n"/>
    </row>
    <row r="13" ht="132.75" customHeight="1" s="500">
      <c r="A13" s="117" t="inlineStr">
        <is>
          <t>[M_RésNetConsolidé]</t>
        </is>
      </c>
      <c r="B13" s="118" t="inlineStr">
        <is>
          <t>Balances_PQ</t>
        </is>
      </c>
      <c r="C13" s="119" t="inlineStr">
        <is>
          <t>Résultat net consolidé (part groupe + NCI)</t>
        </is>
      </c>
      <c r="D13" s="576" t="inlineStr">
        <is>
          <t>[M_RésNetConsolidé] =
[M_ProfitAvtFinImpôt]
+ [M_RésFin]
+ [M_ChargeIS]</t>
        </is>
      </c>
      <c r="G13" s="120" t="inlineStr">
        <is>
          <t>IFRS 18 §80-84</t>
        </is>
      </c>
      <c r="H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</row>
    <row r="15" ht="330" customHeight="1" s="500">
      <c r="A15" s="581" t="inlineStr">
        <is>
          <t>// ══════════════════════════════════════════════════════════════════
// GROUPE B – MARGES &amp; RATIOS
// ══════════════════════════════════════════════════════════════════</t>
        </is>
      </c>
      <c r="H15" s="115" t="n"/>
    </row>
    <row r="16">
      <c r="A16" s="116" t="inlineStr">
        <is>
          <t>Nom mesure</t>
        </is>
      </c>
      <c r="B16" s="116" t="inlineStr">
        <is>
          <t>Table</t>
        </is>
      </c>
      <c r="C16" s="116" t="inlineStr">
        <is>
          <t>Description</t>
        </is>
      </c>
      <c r="D16" s="116" t="inlineStr">
        <is>
          <t>Code DAX</t>
        </is>
      </c>
      <c r="E16" s="116" t="n"/>
      <c r="F16" s="116" t="n"/>
      <c r="G16" s="116" t="inlineStr">
        <is>
          <t>Norme / Référence</t>
        </is>
      </c>
      <c r="H16" s="115" t="n"/>
    </row>
    <row r="17" ht="72.75" customHeight="1" s="500">
      <c r="A17" s="117" t="inlineStr">
        <is>
          <t>[M_MargeEBIT]</t>
        </is>
      </c>
      <c r="B17" s="118" t="inlineStr">
        <is>
          <t>Mesures</t>
        </is>
      </c>
      <c r="C17" s="119" t="inlineStr">
        <is>
          <t>Marge EBIT en % du CA</t>
        </is>
      </c>
      <c r="D17" s="576" t="inlineStr">
        <is>
          <t>[M_MargeEBIT] =
DIVIDE([M_EBIT], [M_CA_Groupe], 0)</t>
        </is>
      </c>
      <c r="G17" s="120" t="inlineStr">
        <is>
          <t>KPI interne</t>
        </is>
      </c>
      <c r="H17" s="115" t="n"/>
    </row>
    <row r="18" ht="72.75" customHeight="1" s="500">
      <c r="A18" s="117" t="inlineStr">
        <is>
          <t>[M_MargeEBITDA]</t>
        </is>
      </c>
      <c r="B18" s="118" t="inlineStr">
        <is>
          <t>Mesures</t>
        </is>
      </c>
      <c r="C18" s="119" t="inlineStr">
        <is>
          <t>Marge EBITDA en % du CA</t>
        </is>
      </c>
      <c r="D18" s="576" t="inlineStr">
        <is>
          <t>[M_MargeEBITDA] =
DIVIDE([M_EBITDA], [M_CA_Groupe], 0)</t>
        </is>
      </c>
      <c r="G18" s="120" t="inlineStr">
        <is>
          <t>MPM – IFRS 18 §112</t>
        </is>
      </c>
      <c r="H18" s="115" t="n"/>
    </row>
    <row r="19" ht="84.75" customHeight="1" s="500">
      <c r="A19" s="117" t="inlineStr">
        <is>
          <t>[M_MargeNette]</t>
        </is>
      </c>
      <c r="B19" s="118" t="inlineStr">
        <is>
          <t>Mesures</t>
        </is>
      </c>
      <c r="C19" s="119" t="inlineStr">
        <is>
          <t>Marge nette consolidée en % du CA</t>
        </is>
      </c>
      <c r="D19" s="576" t="inlineStr">
        <is>
          <t>[M_MargeNette] =
DIVIDE([M_RésNetConsolidé], [M_CA_Groupe], 0)</t>
        </is>
      </c>
      <c r="G19" s="120" t="inlineStr">
        <is>
          <t>KPI groupe</t>
        </is>
      </c>
      <c r="H19" s="115" t="n"/>
    </row>
    <row r="20" ht="252.75" customHeight="1" s="500">
      <c r="A20" s="117" t="inlineStr">
        <is>
          <t>[M_TauxIS_Effectif]</t>
        </is>
      </c>
      <c r="B20" s="118" t="inlineStr">
        <is>
          <t>Mesures</t>
        </is>
      </c>
      <c r="C20" s="119" t="inlineStr">
        <is>
          <t>Taux effectif d'imposition consolidé</t>
        </is>
      </c>
      <c r="D20" s="576" t="inlineStr">
        <is>
          <t>[M_TauxIS_Effectif] =
DIVIDE(
    ABS([M_ChargeIS]),
    [M_ProfitAvtFinImpôt] + [M_RésFin],
    0
)
// Rapprocher du taux légal FR 25% (Note IFRS)</t>
        </is>
      </c>
      <c r="G20" s="120" t="inlineStr">
        <is>
          <t>IAS 12 §81(c)</t>
        </is>
      </c>
      <c r="H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</row>
    <row r="22" ht="360" customHeight="1" s="500">
      <c r="A22" s="582" t="inlineStr">
        <is>
          <t>// ══════════════════════════════════════════════════════════════════
// GROUPE C – CONVERSION &amp; DEVISES (IAS 21)
// ══════════════════════════════════════════════════════════════════</t>
        </is>
      </c>
      <c r="H22" s="115" t="n"/>
    </row>
    <row r="23">
      <c r="A23" s="116" t="inlineStr">
        <is>
          <t>Nom mesure</t>
        </is>
      </c>
      <c r="B23" s="116" t="inlineStr">
        <is>
          <t>Table</t>
        </is>
      </c>
      <c r="C23" s="116" t="inlineStr">
        <is>
          <t>Description</t>
        </is>
      </c>
      <c r="D23" s="116" t="inlineStr">
        <is>
          <t>Code DAX</t>
        </is>
      </c>
      <c r="E23" s="116" t="n"/>
      <c r="F23" s="116" t="n"/>
      <c r="G23" s="116" t="inlineStr">
        <is>
          <t>Norme / Référence</t>
        </is>
      </c>
      <c r="H23" s="115" t="n"/>
    </row>
    <row r="24" ht="409.6" customHeight="1" s="500">
      <c r="A24" s="117" t="inlineStr">
        <is>
          <t>[M_MontantEUR_TxClôture]</t>
        </is>
      </c>
      <c r="B24" s="118" t="inlineStr">
        <is>
          <t>Balances_PQ</t>
        </is>
      </c>
      <c r="C24" s="119" t="inlineStr">
        <is>
          <t>Montant converti au taux de clôture (Bilan – IAS 21 §23)</t>
        </is>
      </c>
      <c r="D24" s="576" t="inlineStr">
        <is>
          <t>[M_MontantEUR_TxClôture] =
SUMX(
    'Balances_PQ',
    'Balances_PQ'[Montant]
    * LOOKUPVALUE(
        'PQ_TAUX_CHANGE'[TauxEUR],
        'PQ_TAUX_CHANGE'[Devise], 'Balances_PQ'[Devise],
        'PQ_TAUX_CHANGE'[TypeTaux], "Clôture",
        'PQ_TAUX_CHANGE'[Exercice], "2025",
        1
    )
)</t>
        </is>
      </c>
      <c r="G24" s="120" t="inlineStr">
        <is>
          <t>IAS 21 §23</t>
        </is>
      </c>
      <c r="H24" s="115" t="n"/>
    </row>
    <row r="25" ht="409.6" customHeight="1" s="500">
      <c r="A25" s="117" t="inlineStr">
        <is>
          <t>[M_MontantEUR_TxMoyen]</t>
        </is>
      </c>
      <c r="B25" s="118" t="inlineStr">
        <is>
          <t>Balances_PQ</t>
        </is>
      </c>
      <c r="C25" s="119" t="inlineStr">
        <is>
          <t>Montant converti au taux moyen (CR – IAS 21 §39)</t>
        </is>
      </c>
      <c r="D25" s="576" t="inlineStr">
        <is>
          <t>[M_MontantEUR_TxMoyen] =
SUMX(
    'Balances_PQ',
    'Balances_PQ'[Montant]
    * LOOKUPVALUE(
        'PQ_TAUX_CHANGE'[TauxEUR],
        'PQ_TAUX_CHANGE'[Devise], 'Balances_PQ'[Devise],
        'PQ_TAUX_CHANGE'[TypeTaux], "Moyen",
        'PQ_TAUX_CHANGE'[Mois], "AN",
        1
    )
)</t>
        </is>
      </c>
      <c r="G25" s="120" t="inlineStr">
        <is>
          <t>IAS 21 §39</t>
        </is>
      </c>
      <c r="H25" s="115" t="n"/>
    </row>
    <row r="26" ht="240.75" customHeight="1" s="500">
      <c r="A26" s="117" t="inlineStr">
        <is>
          <t>[M_ÉcartConversion_OCI]</t>
        </is>
      </c>
      <c r="B26" s="118" t="inlineStr">
        <is>
          <t>Mesures</t>
        </is>
      </c>
      <c r="C26" s="119" t="inlineStr">
        <is>
          <t>Écart de conversion à inscrire en OCI (non recyclable)</t>
        </is>
      </c>
      <c r="D26" s="576" t="inlineStr">
        <is>
          <t>[M_ÉcartConversion_OCI] =
[M_MontantEUR_TxClôture]
- [M_MontantEUR_TxMoyen]
// → Classé en OCI, jamais recyclé en résultat
// Référence : IAS 21 §41</t>
        </is>
      </c>
      <c r="G26" s="120" t="inlineStr">
        <is>
          <t>IAS 21 §41 – OCI</t>
        </is>
      </c>
      <c r="H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</row>
    <row r="28" ht="330" customHeight="1" s="500">
      <c r="A28" s="578" t="inlineStr">
        <is>
          <t>// ══════════════════════════════════════════════════════════════════
// GROUPE D – NCI &amp; CAPITAUX PROPRES
// ══════════════════════════════════════════════════════════════════</t>
        </is>
      </c>
      <c r="H28" s="115" t="n"/>
    </row>
    <row r="29">
      <c r="A29" s="116" t="inlineStr">
        <is>
          <t>Nom mesure</t>
        </is>
      </c>
      <c r="B29" s="116" t="inlineStr">
        <is>
          <t>Table</t>
        </is>
      </c>
      <c r="C29" s="116" t="inlineStr">
        <is>
          <t>Description</t>
        </is>
      </c>
      <c r="D29" s="116" t="inlineStr">
        <is>
          <t>Code DAX</t>
        </is>
      </c>
      <c r="E29" s="116" t="n"/>
      <c r="F29" s="116" t="n"/>
      <c r="G29" s="116" t="inlineStr">
        <is>
          <t>Norme / Référence</t>
        </is>
      </c>
      <c r="H29" s="115" t="n"/>
    </row>
    <row r="30" ht="312.75" customHeight="1" s="500">
      <c r="A30" s="117" t="inlineStr">
        <is>
          <t>[M_NCI_Bilan]</t>
        </is>
      </c>
      <c r="B30" s="118" t="inlineStr">
        <is>
          <t>PQ_DETENTION</t>
        </is>
      </c>
      <c r="C30" s="119" t="inlineStr">
        <is>
          <t>Intérêts minoritaires au bilan consolidé</t>
        </is>
      </c>
      <c r="D30" s="576" t="inlineStr">
        <is>
          <t>[M_NCI_Bilan] =
SUMX(
    'PQ_DETENTION',
    'PQ_DETENTION'[PctNCI]
    * RELATED('Balances_PQ'[MontantEUR])
)
// Simplifié : utiliser directement la colonne NCI Bilan de PQ_DETENTION</t>
        </is>
      </c>
      <c r="G30" s="120" t="inlineStr">
        <is>
          <t>IFRS 10 §22 / IFRS 3</t>
        </is>
      </c>
      <c r="H30" s="115" t="n"/>
    </row>
    <row r="31" ht="409.6" customHeight="1" s="500">
      <c r="A31" s="117" t="inlineStr">
        <is>
          <t>[M_RésNet_PartGroupe]</t>
        </is>
      </c>
      <c r="B31" s="118" t="inlineStr">
        <is>
          <t>Mesures</t>
        </is>
      </c>
      <c r="C31" s="119" t="inlineStr">
        <is>
          <t>Résultat net – part revenant aux actionnaires du groupe</t>
        </is>
      </c>
      <c r="D31" s="576" t="inlineStr">
        <is>
          <t>[M_RésNet_PartGroupe] =
[M_RésNetConsolidé]
- SUMX(
    'PQ_DETENTION',
    'PQ_DETENTION'[PctNCI]
    * CALCULATE(SUM('Balances_PQ'[MontantEUR]),
        'Balances_PQ'[CatIFRS18_Finale] = "④ Impôts",
        USERELATIONSHIP('Balances_PQ'[EntitéNormalisée],'PQ_DETENTION'[EntitéFiliale])
    )
)</t>
        </is>
      </c>
      <c r="G31" s="120" t="inlineStr">
        <is>
          <t>IFRS 10 §B94</t>
        </is>
      </c>
      <c r="H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</row>
    <row r="33" ht="360" customHeight="1" s="500">
      <c r="A33" s="579" t="inlineStr">
        <is>
          <t>// ══════════════════════════════════════════════════════════════════
// GROUPE E – ÉLIMINATIONS AUTOMATIQUES
// ══════════════════════════════════════════════════════════════════</t>
        </is>
      </c>
      <c r="H33" s="115" t="n"/>
    </row>
    <row r="34">
      <c r="A34" s="116" t="inlineStr">
        <is>
          <t>Nom mesure</t>
        </is>
      </c>
      <c r="B34" s="116" t="inlineStr">
        <is>
          <t>Table</t>
        </is>
      </c>
      <c r="C34" s="116" t="inlineStr">
        <is>
          <t>Description</t>
        </is>
      </c>
      <c r="D34" s="116" t="inlineStr">
        <is>
          <t>Code DAX</t>
        </is>
      </c>
      <c r="E34" s="116" t="n"/>
      <c r="F34" s="116" t="n"/>
      <c r="G34" s="116" t="inlineStr">
        <is>
          <t>Norme / Référence</t>
        </is>
      </c>
      <c r="H34" s="115" t="n"/>
    </row>
    <row r="35" ht="300.75" customHeight="1" s="500">
      <c r="A35" s="117" t="inlineStr">
        <is>
          <t>[M_ElimVentesIC]</t>
        </is>
      </c>
      <c r="B35" s="118" t="inlineStr">
        <is>
          <t>Mesures</t>
        </is>
      </c>
      <c r="C35" s="119" t="inlineStr">
        <is>
          <t>Total éliminations CA interco (retirer du CA consolidé)</t>
        </is>
      </c>
      <c r="D35" s="576" t="inlineStr">
        <is>
          <t>[M_ElimVentesIC] =
CALCULATE(
    SUM('Balances_PQ'[MontantEUR]),
    'Balances_PQ'[EstIC] = TRUE(),
    'Balances_PQ'[TypeFlux] = "Crédit",
    'Balances_PQ'[CatIFRS18_Finale] = "⚠️ Élimination IC"
)</t>
        </is>
      </c>
      <c r="G35" s="120" t="inlineStr">
        <is>
          <t>IFRS 10 §B86(b)</t>
        </is>
      </c>
      <c r="H35" s="115" t="n"/>
    </row>
    <row r="36" ht="144.75" customHeight="1" s="500">
      <c r="A36" s="117" t="inlineStr">
        <is>
          <t>[M_CA_Net_Elim]</t>
        </is>
      </c>
      <c r="B36" s="118" t="inlineStr">
        <is>
          <t>Mesures</t>
        </is>
      </c>
      <c r="C36" s="119" t="inlineStr">
        <is>
          <t>CA consolidé après élimination IC</t>
        </is>
      </c>
      <c r="D36" s="576" t="inlineStr">
        <is>
          <t>[M_CA_Net_Elim] =
[M_CA_Groupe] - [M_ElimVentesIC]
// Ce montant = CA publié dans les états financiers</t>
        </is>
      </c>
      <c r="G36" s="120" t="inlineStr">
        <is>
          <t>IFRS 10 + IFRS 15</t>
        </is>
      </c>
      <c r="H36" s="115" t="n"/>
    </row>
    <row r="37" ht="252.75" customHeight="1" s="500">
      <c r="A37" s="117" t="inlineStr">
        <is>
          <t>[M_ElimDividendesIC]</t>
        </is>
      </c>
      <c r="B37" s="118" t="inlineStr">
        <is>
          <t>Mesures</t>
        </is>
      </c>
      <c r="C37" s="119" t="inlineStr">
        <is>
          <t>Dividendes IC éliminés (résultat investissement)</t>
        </is>
      </c>
      <c r="D37" s="576" t="inlineStr">
        <is>
          <t>[M_ElimDividendesIC] =
CALCULATE(
    SUM('Balances_PQ'[MontantEUR]),
    'Balances_PQ'[EstIC] = TRUE(),
    'Balances_PQ'[PosteGroupeIFRS18] = "Dividendes reçus"
)</t>
        </is>
      </c>
      <c r="G37" s="120" t="inlineStr">
        <is>
          <t>IFRS 10 §B86(a) + IFRS 18 §68</t>
        </is>
      </c>
      <c r="H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</row>
    <row r="39" ht="330" customHeight="1" s="500">
      <c r="A39" s="580" t="inlineStr">
        <is>
          <t>// ══════════════════════════════════════════════════════════════════
// GROUPE F – CASH FLOW (IAS 7)
// ══════════════════════════════════════════════════════════════════</t>
        </is>
      </c>
      <c r="H39" s="115" t="n"/>
    </row>
    <row r="40">
      <c r="A40" s="116" t="inlineStr">
        <is>
          <t>Nom mesure</t>
        </is>
      </c>
      <c r="B40" s="116" t="inlineStr">
        <is>
          <t>Table</t>
        </is>
      </c>
      <c r="C40" s="116" t="inlineStr">
        <is>
          <t>Description</t>
        </is>
      </c>
      <c r="D40" s="116" t="inlineStr">
        <is>
          <t>Code DAX</t>
        </is>
      </c>
      <c r="E40" s="116" t="n"/>
      <c r="F40" s="116" t="n"/>
      <c r="G40" s="116" t="inlineStr">
        <is>
          <t>Norme / Référence</t>
        </is>
      </c>
      <c r="H40" s="115" t="n"/>
    </row>
    <row r="41" ht="372.75" customHeight="1" s="500">
      <c r="A41" s="117" t="inlineStr">
        <is>
          <t>[M_FCF_Exploitation]</t>
        </is>
      </c>
      <c r="B41" s="118" t="inlineStr">
        <is>
          <t>Mesures</t>
        </is>
      </c>
      <c r="C41" s="119" t="inlineStr">
        <is>
          <t>Free Cash Flow d'exploitation (méthode indirecte)</t>
        </is>
      </c>
      <c r="D41" s="576" t="inlineStr">
        <is>
          <t>[M_FCF_Exploitation] =
[M_EBIT]
+ CALCULATE(
    ABS(SUM('Balances_PQ'[MontantEUR])),
    'Balances_PQ'[PosteGroupeIFRS18] = "Amortissements &amp; dépréciations"
)
- [M_Var_BFR]
// Ajouter la variation de BFR (calculée séparément)</t>
        </is>
      </c>
      <c r="G41" s="120" t="inlineStr">
        <is>
          <t>IAS 7 §20</t>
        </is>
      </c>
      <c r="H41" s="115" t="n"/>
    </row>
    <row r="42" ht="372.75" customHeight="1" s="500">
      <c r="A42" s="117" t="inlineStr">
        <is>
          <t>[M_Var_BFR]</t>
        </is>
      </c>
      <c r="B42" s="118" t="inlineStr">
        <is>
          <t>Mesures</t>
        </is>
      </c>
      <c r="C42" s="119" t="inlineStr">
        <is>
          <t>Variation du BFR (Stocks + Créances – Dettes)</t>
        </is>
      </c>
      <c r="D42" s="576" t="inlineStr">
        <is>
          <t>[M_Var_BFR] =
// Δ Stocks + Δ Créances Clients - Δ Dettes Fournisseurs
// Source : CONSOL_BILAN N vs N-1
CALCULATE(SUM('CONSOL_BILAN'[Consolidé_N]),'CONSOL_BILAN'[PosteIFRS]="Stocks")
- CALCULATE(SUM('CONSOL_BILAN'[Consolidé_N1]),'CONSOL_BILAN'[PosteIFRS]="Stocks")</t>
        </is>
      </c>
      <c r="G42" s="120" t="inlineStr">
        <is>
          <t>IAS 7 §20(b)</t>
        </is>
      </c>
      <c r="H42" s="115" t="n"/>
    </row>
    <row r="43" ht="300.75" customHeight="1" s="500">
      <c r="A43" s="117" t="inlineStr">
        <is>
          <t>[M_TrésoClôture]</t>
        </is>
      </c>
      <c r="B43" s="118" t="inlineStr">
        <is>
          <t>Mesures</t>
        </is>
      </c>
      <c r="C43" s="119" t="inlineStr">
        <is>
          <t>Trésorerie de clôture consolidée (contrôle IAS 7 §45)</t>
        </is>
      </c>
      <c r="D43" s="576" t="inlineStr">
        <is>
          <t>[M_TrésoClôture] =
CALCULATE(
    SUM('Balances_PQ'[MontantEUR]),
    'Balances_PQ'[PosteGroupeIFRS18] = "Trésorerie",
    'Balances_PQ'[TypeFlux] = "Actif",
    'Balances_PQ'[EstIC] = FALSE()
)</t>
        </is>
      </c>
      <c r="G43" s="120" t="inlineStr">
        <is>
          <t>IAS 7 §45</t>
        </is>
      </c>
      <c r="H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</row>
    <row r="45" ht="345" customHeight="1" s="500">
      <c r="A45" s="577" t="inlineStr">
        <is>
          <t>// ══════════════════════════════════════════════════════════════════
// GROUPE G – MESURES TEMPORELLES &amp; YOY
// ══════════════════════════════════════════════════════════════════</t>
        </is>
      </c>
      <c r="H45" s="115" t="n"/>
    </row>
    <row r="46">
      <c r="A46" s="116" t="inlineStr">
        <is>
          <t>Nom mesure</t>
        </is>
      </c>
      <c r="B46" s="116" t="inlineStr">
        <is>
          <t>Table</t>
        </is>
      </c>
      <c r="C46" s="116" t="inlineStr">
        <is>
          <t>Description</t>
        </is>
      </c>
      <c r="D46" s="116" t="inlineStr">
        <is>
          <t>Code DAX</t>
        </is>
      </c>
      <c r="E46" s="116" t="n"/>
      <c r="F46" s="116" t="n"/>
      <c r="G46" s="116" t="inlineStr">
        <is>
          <t>Norme / Référence</t>
        </is>
      </c>
      <c r="H46" s="115" t="n"/>
    </row>
    <row r="47" ht="240.75" customHeight="1" s="500">
      <c r="A47" s="117" t="inlineStr">
        <is>
          <t>[M_CA_N1]</t>
        </is>
      </c>
      <c r="B47" s="118" t="inlineStr">
        <is>
          <t>Mesures</t>
        </is>
      </c>
      <c r="C47" s="119" t="inlineStr">
        <is>
          <t>CA consolidé N-1 (année précédente)</t>
        </is>
      </c>
      <c r="D47" s="576" t="inlineStr">
        <is>
          <t>[M_CA_N1] =
CALCULATE(
    [M_CA_Net_Elim],
    SAMEPERIODLASTYEAR('Calendrier'[Date])
)
// Requiert une table Calendrier marquée comme table de dates</t>
        </is>
      </c>
      <c r="G47" s="120" t="inlineStr">
        <is>
          <t>IAS 1 §38 – comparatif obligatoire</t>
        </is>
      </c>
      <c r="H47" s="115" t="n"/>
    </row>
    <row r="48" ht="156.75" customHeight="1" s="500">
      <c r="A48" s="117" t="inlineStr">
        <is>
          <t>[M_CA_CroissYOY]</t>
        </is>
      </c>
      <c r="B48" s="118" t="inlineStr">
        <is>
          <t>Mesures</t>
        </is>
      </c>
      <c r="C48" s="119" t="inlineStr">
        <is>
          <t>Croissance CA year-over-year</t>
        </is>
      </c>
      <c r="D48" s="576" t="inlineStr">
        <is>
          <t>[M_CA_CroissYOY] =
DIVIDE(
    [M_CA_Net_Elim] - [M_CA_N1],
    ABS([M_CA_N1]),
    BLANK()
)</t>
        </is>
      </c>
      <c r="G48" s="120" t="inlineStr">
        <is>
          <t>Analyse de performance</t>
        </is>
      </c>
      <c r="H48" s="115" t="n"/>
    </row>
    <row r="49" ht="288.75" customHeight="1" s="500">
      <c r="A49" s="117" t="inlineStr">
        <is>
          <t>[M_EBIT_CroissYOY]</t>
        </is>
      </c>
      <c r="B49" s="118" t="inlineStr">
        <is>
          <t>Mesures</t>
        </is>
      </c>
      <c r="C49" s="119" t="inlineStr">
        <is>
          <t>Croissance EBIT year-over-year</t>
        </is>
      </c>
      <c r="D49" s="576" t="inlineStr">
        <is>
          <t>[M_EBIT_CroissYOY] =
DIVIDE(
    [M_EBIT]
    - CALCULATE([M_EBIT], SAMEPERIODLASTYEAR('Calendrier'[Date])),
    ABS(CALCULATE([M_EBIT], SAMEPERIODLASTYEAR('Calendrier'[Date]))),
    BLANK()
)</t>
        </is>
      </c>
      <c r="G49" s="120" t="inlineStr">
        <is>
          <t>IFRS 18 §113 – MPM</t>
        </is>
      </c>
      <c r="H49" s="115" t="n"/>
    </row>
    <row r="50" ht="156.75" customHeight="1" s="500">
      <c r="A50" s="117" t="inlineStr">
        <is>
          <t>[M_CA_YTD]</t>
        </is>
      </c>
      <c r="B50" s="118" t="inlineStr">
        <is>
          <t>Mesures</t>
        </is>
      </c>
      <c r="C50" s="119" t="inlineStr">
        <is>
          <t>CA cumulé depuis début d'exercice (Year-to-Date)</t>
        </is>
      </c>
      <c r="D50" s="576" t="inlineStr">
        <is>
          <t>[M_CA_YTD] =
CALCULATEX(
    [M_CA_Net_Elim],
    DATESYTD('Calendrier'[Date], "12/31")
)</t>
        </is>
      </c>
      <c r="G50" s="120" t="inlineStr">
        <is>
          <t>Suivi mensuel</t>
        </is>
      </c>
      <c r="H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</row>
    <row r="52" ht="390" customHeight="1" s="500">
      <c r="A52" s="575" t="inlineStr">
        <is>
          <t>// ══════════════════════════════════════════════════════════════════
// GROUPE H – COLONNES CALCULÉES (Power Query / Power Pivot)
// ══════════════════════════════════════════════════════════════════</t>
        </is>
      </c>
      <c r="H52" s="115" t="n"/>
    </row>
    <row r="53">
      <c r="A53" s="116" t="inlineStr">
        <is>
          <t>Nom mesure</t>
        </is>
      </c>
      <c r="B53" s="116" t="inlineStr">
        <is>
          <t>Table</t>
        </is>
      </c>
      <c r="C53" s="116" t="inlineStr">
        <is>
          <t>Description</t>
        </is>
      </c>
      <c r="D53" s="116" t="inlineStr">
        <is>
          <t>Code DAX</t>
        </is>
      </c>
      <c r="E53" s="116" t="n"/>
      <c r="F53" s="116" t="n"/>
      <c r="G53" s="116" t="inlineStr">
        <is>
          <t>Norme / Référence</t>
        </is>
      </c>
      <c r="H53" s="115" t="n"/>
    </row>
    <row r="54" ht="409.6" customHeight="1" s="500">
      <c r="A54" s="117" t="inlineStr">
        <is>
          <t>[C_CatIFRS18_Label]</t>
        </is>
      </c>
      <c r="B54" s="118" t="inlineStr">
        <is>
          <t>Balances_PQ</t>
        </is>
      </c>
      <c r="C54" s="119" t="inlineStr">
        <is>
          <t>Colonne calculée : label enrichi catégorie IFRS 18</t>
        </is>
      </c>
      <c r="D54" s="576" t="inlineStr">
        <is>
          <t>[C_CatIFRS18_Label] =
SWITCH(
    TRUE(),
    'Balances_PQ'[CatIFRS18_Finale] = "① Exploitation",  "① Exploitation (Operating)",
    'Balances_PQ'[CatIFRS18_Finale] = "② Investissement", "② Investissement (Investing)",
    'Balances_PQ'[CatIFRS18_Finale] = "③ Financement",    "③ Financement (Financing)",
    'Balances_PQ'[CatIFRS18_Finale] = "④ Impôts",         "④ Impôts (IAS 12)",
    'Balances_PQ'[CatIFRS18_Finale] = "⚠️ Élimination IC", "⚠️ IC – À éliminer",
    'Balances_PQ'[CatIFRS18_Finale]
)</t>
        </is>
      </c>
      <c r="G54" s="120" t="inlineStr">
        <is>
          <t>IFRS 18 – 5 catégories</t>
        </is>
      </c>
      <c r="H54" s="115" t="n"/>
    </row>
    <row r="55" ht="288.75" customHeight="1" s="500">
      <c r="A55" s="117" t="inlineStr">
        <is>
          <t>[C_SigneNormalisé]</t>
        </is>
      </c>
      <c r="B55" s="118" t="inlineStr">
        <is>
          <t>Balances_PQ</t>
        </is>
      </c>
      <c r="C55" s="119" t="inlineStr">
        <is>
          <t>Colonne calculée : convention de signe (crédit = positif, débit = négatif)</t>
        </is>
      </c>
      <c r="D55" s="576" t="inlineStr">
        <is>
          <t>[C_SigneNormalisé] =
IF(
    'Balances_PQ'[TypeFlux] = "Débit",
    -1 * 'Balances_PQ'[MontantEUR],
    'Balances_PQ'[MontantEUR]
)
// Convention : Charges en négatif, Produits en positif</t>
        </is>
      </c>
      <c r="G55" s="120" t="inlineStr">
        <is>
          <t>Convention comptable universelle</t>
        </is>
      </c>
      <c r="H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</row>
  </sheetData>
  <mergeCells count="39">
    <mergeCell ref="D13:F13"/>
    <mergeCell ref="D11:F11"/>
    <mergeCell ref="D41:F41"/>
    <mergeCell ref="A22:G22"/>
    <mergeCell ref="A4:G4"/>
    <mergeCell ref="D48:F48"/>
    <mergeCell ref="D17:F17"/>
    <mergeCell ref="A52:G52"/>
    <mergeCell ref="D7:F7"/>
    <mergeCell ref="D47:F47"/>
    <mergeCell ref="D43:F43"/>
    <mergeCell ref="A28:G28"/>
    <mergeCell ref="D37:F37"/>
    <mergeCell ref="A39:G39"/>
    <mergeCell ref="D12:F12"/>
    <mergeCell ref="D18:F18"/>
    <mergeCell ref="D9:F9"/>
    <mergeCell ref="A15:G15"/>
    <mergeCell ref="D30:F30"/>
    <mergeCell ref="D8:F8"/>
    <mergeCell ref="D25:F25"/>
    <mergeCell ref="D55:F55"/>
    <mergeCell ref="D24:F24"/>
    <mergeCell ref="D42:F42"/>
    <mergeCell ref="A45:G45"/>
    <mergeCell ref="A1:G1"/>
    <mergeCell ref="D54:F54"/>
    <mergeCell ref="D35:F35"/>
    <mergeCell ref="D50:F50"/>
    <mergeCell ref="D26:F26"/>
    <mergeCell ref="D20:F20"/>
    <mergeCell ref="D10:F10"/>
    <mergeCell ref="D19:F19"/>
    <mergeCell ref="D31:F31"/>
    <mergeCell ref="D6:F6"/>
    <mergeCell ref="D36:F36"/>
    <mergeCell ref="A2:G2"/>
    <mergeCell ref="A33:G33"/>
    <mergeCell ref="D49:F4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6A1B9A"/>
    <outlinePr summaryBelow="1" summaryRight="1"/>
    <pageSetUpPr/>
  </sheetPr>
  <dimension ref="A1:D216"/>
  <sheetViews>
    <sheetView showGridLines="0" workbookViewId="0">
      <selection activeCell="A20" sqref="A20:D20"/>
    </sheetView>
  </sheetViews>
  <sheetFormatPr baseColWidth="10" defaultRowHeight="15"/>
  <cols>
    <col width="106.7109375" customWidth="1" style="500" min="1" max="4"/>
  </cols>
  <sheetData>
    <row r="1" ht="17.25" customHeight="1" s="500">
      <c r="A1" s="590" t="inlineStr">
        <is>
          <t>⚙️  PQ_M_AVANCE – REQUÊTES POWER QUERY M AVANCÉES · CR IFRS 18 · BILAN · CASH FLOW · ÉLIMINATIONS AUTO</t>
        </is>
      </c>
    </row>
    <row r="2">
      <c r="A2" s="591" t="inlineStr">
        <is>
          <t>4 requêtes M supplémentaires à ajouter dans l'éditeur Power Query. Elles utilisent 'Consolidation_FromFolder' comme source.</t>
        </is>
      </c>
    </row>
    <row r="3">
      <c r="A3" s="121" t="n"/>
      <c r="B3" s="121" t="n"/>
      <c r="C3" s="121" t="n"/>
      <c r="D3" s="121" t="n"/>
    </row>
    <row r="4">
      <c r="A4" s="592" t="inlineStr">
        <is>
          <t>REQUÊTE 4 : « CR_IFRS18_Consolidé » – Compte de Résultat formaté IFRS 18</t>
        </is>
      </c>
    </row>
    <row r="5">
      <c r="A5" s="586" t="inlineStr">
        <is>
          <t>let</t>
        </is>
      </c>
    </row>
    <row r="6">
      <c r="A6" s="586" t="inlineStr">
        <is>
          <t xml:space="preserve">    // ─── SOURCE ──────────────────────────────────────────────────────────────</t>
        </is>
      </c>
    </row>
    <row r="7">
      <c r="A7" s="586" t="inlineStr">
        <is>
          <t xml:space="preserve">    Source = Consolidation_FromFolder,</t>
        </is>
      </c>
    </row>
    <row r="8"/>
    <row r="9">
      <c r="A9" s="586" t="inlineStr">
        <is>
          <t xml:space="preserve">    // ─── EXCLURE LES LIGNES IC À ÉLIMINER ────────────────────────────────────</t>
        </is>
      </c>
    </row>
    <row r="10">
      <c r="A10" s="586" t="inlineStr">
        <is>
          <t xml:space="preserve">    SansIC = Table.SelectRows(Source, each not [EstIC]),</t>
        </is>
      </c>
    </row>
    <row r="11"/>
    <row r="12">
      <c r="A12" s="586" t="inlineStr">
        <is>
          <t xml:space="preserve">    // ─── EXCLURE LES POSTES DE BILAN ──────────────────────────────────────────</t>
        </is>
      </c>
    </row>
    <row r="13">
      <c r="A13" s="586" t="inlineStr">
        <is>
          <t xml:space="preserve">    SeulementCR = Table.SelectRows(SansIC, each</t>
        </is>
      </c>
    </row>
    <row r="14">
      <c r="A14" s="586" t="inlineStr">
        <is>
          <t xml:space="preserve">        [CatIFRS18_Finale] &lt;&gt; "Bilan" and [TypeFlux] &lt;&gt; "Actif" and [TypeFlux] &lt;&gt; "Passif"),</t>
        </is>
      </c>
    </row>
    <row r="15"/>
    <row r="16">
      <c r="A16" s="586" t="inlineStr">
        <is>
          <t xml:space="preserve">    // ─── NORMALISER LE SIGNE (Charges = négatif, Produits = positif) ──────────</t>
        </is>
      </c>
    </row>
    <row r="17">
      <c r="A17" s="586" t="inlineStr">
        <is>
          <t xml:space="preserve">    AvecSigne = Table.AddColumn(SeulementCR, "MontantSigné", each</t>
        </is>
      </c>
    </row>
    <row r="18">
      <c r="A18" s="586" t="inlineStr">
        <is>
          <t xml:space="preserve">        if [TypeFlux] = "Débit" then -[MontantEUR]</t>
        </is>
      </c>
    </row>
    <row r="19">
      <c r="A19" s="586" t="inlineStr">
        <is>
          <t xml:space="preserve">        else [MontantEUR], type number),</t>
        </is>
      </c>
    </row>
    <row r="20"/>
    <row r="21">
      <c r="A21" s="586" t="inlineStr">
        <is>
          <t xml:space="preserve">    // ─── AGRÉGER PAR CATÉGORIE IFRS 18 × POSTE × ENTITÉ ──────────────────────</t>
        </is>
      </c>
    </row>
    <row r="22">
      <c r="A22" s="586" t="inlineStr">
        <is>
          <t xml:space="preserve">    Agrégé = Table.Group(AvecSigne,</t>
        </is>
      </c>
    </row>
    <row r="23">
      <c r="A23" s="586" t="inlineStr">
        <is>
          <t xml:space="preserve">        {"CatIFRS18_Finale", "PosteGroupeIFRS18", "SousPosteIFRS18", "EntitéNormalisée", "Exercice"},</t>
        </is>
      </c>
    </row>
    <row r="24">
      <c r="A24" s="586" t="inlineStr">
        <is>
          <t xml:space="preserve">        {{"MontantEUR_Total", each List.Sum([MontantSigné]), type number}}),</t>
        </is>
      </c>
    </row>
    <row r="25"/>
    <row r="26">
      <c r="A26" s="586" t="inlineStr">
        <is>
          <t xml:space="preserve">    // ─── AJOUTER L'ORDRE DE PRÉSENTATION IFRS 18 ─────────────────────────────</t>
        </is>
      </c>
    </row>
    <row r="27">
      <c r="A27" s="586" t="inlineStr">
        <is>
          <t xml:space="preserve">    AvecOrdre = Table.AddColumn(Agrégé, "OrdreIFRS18", each</t>
        </is>
      </c>
    </row>
    <row r="28">
      <c r="A28" s="586" t="inlineStr">
        <is>
          <t xml:space="preserve">        if   [CatIFRS18_Finale] = "① Exploitation"     then 1</t>
        </is>
      </c>
    </row>
    <row r="29">
      <c r="A29" s="586" t="inlineStr">
        <is>
          <t xml:space="preserve">        else if [CatIFRS18_Finale] = "② Investissement"  then 2</t>
        </is>
      </c>
    </row>
    <row r="30">
      <c r="A30" s="586" t="inlineStr">
        <is>
          <t xml:space="preserve">        else if [CatIFRS18_Finale] = "③ Financement"     then 3</t>
        </is>
      </c>
    </row>
    <row r="31">
      <c r="A31" s="586" t="inlineStr">
        <is>
          <t xml:space="preserve">        else if [CatIFRS18_Finale] = "④ Impôts"          then 4</t>
        </is>
      </c>
    </row>
    <row r="32">
      <c r="A32" s="586" t="inlineStr">
        <is>
          <t xml:space="preserve">        else if [CatIFRS18_Finale] = "⑤ Discontinu"      then 5</t>
        </is>
      </c>
    </row>
    <row r="33">
      <c r="A33" s="586" t="inlineStr">
        <is>
          <t xml:space="preserve">        else 9, Int64.Type),</t>
        </is>
      </c>
    </row>
    <row r="34"/>
    <row r="35">
      <c r="A35" s="586" t="inlineStr">
        <is>
          <t xml:space="preserve">    // ─── AJOUTER LES SOUS-TOTAUX OBLIGATOIRES (IFRS 18 §65) ──────────────────</t>
        </is>
      </c>
    </row>
    <row r="36">
      <c r="A36" s="586" t="inlineStr">
        <is>
          <t xml:space="preserve">    // Note : Les sous-totaux sont calculés dans DAX/Power Pivot, pas dans cette requête.</t>
        </is>
      </c>
    </row>
    <row r="37">
      <c r="A37" s="586" t="inlineStr">
        <is>
          <t xml:space="preserve">    // Cette requête fournit les lignes de détail. Les sous-totaux dans le rapport Excel</t>
        </is>
      </c>
    </row>
    <row r="38">
      <c r="A38" s="586" t="inlineStr">
        <is>
          <t xml:space="preserve">    // utilisent les mesures DAX : [M_EBIT], [M_ProfitAvtFinImpôt], [M_RésNetConsolidé]</t>
        </is>
      </c>
    </row>
    <row r="39"/>
    <row r="40">
      <c r="A40" s="586" t="inlineStr">
        <is>
          <t xml:space="preserve">    // ─── TRI FINAL ────────────────────────────────────────────────────────────</t>
        </is>
      </c>
    </row>
    <row r="41">
      <c r="A41" s="586" t="inlineStr">
        <is>
          <t xml:space="preserve">    Trié = Table.Sort(AvecOrdre, {</t>
        </is>
      </c>
    </row>
    <row r="42">
      <c r="A42" s="586" t="inlineStr">
        <is>
          <t xml:space="preserve">        {"Exercice", Order.Ascending},</t>
        </is>
      </c>
    </row>
    <row r="43">
      <c r="A43" s="586" t="inlineStr">
        <is>
          <t xml:space="preserve">        {"OrdreIFRS18", Order.Ascending},</t>
        </is>
      </c>
    </row>
    <row r="44">
      <c r="A44" s="586" t="inlineStr">
        <is>
          <t xml:space="preserve">        {"PosteGroupeIFRS18", Order.Ascending},</t>
        </is>
      </c>
    </row>
    <row r="45">
      <c r="A45" s="586" t="inlineStr">
        <is>
          <t xml:space="preserve">        {"EntitéNormalisée", Order.Ascending}</t>
        </is>
      </c>
    </row>
    <row r="46">
      <c r="A46" s="586" t="inlineStr">
        <is>
          <t xml:space="preserve">    })</t>
        </is>
      </c>
    </row>
    <row r="47"/>
    <row r="48">
      <c r="A48" s="586" t="inlineStr">
        <is>
          <t>in</t>
        </is>
      </c>
    </row>
    <row r="49">
      <c r="A49" s="586" t="inlineStr">
        <is>
          <t xml:space="preserve">    Trié</t>
        </is>
      </c>
    </row>
    <row r="52">
      <c r="A52" s="589" t="inlineStr">
        <is>
          <t>REQUÊTE 5 : « Bilan_Consolidé_PQ » – Bilan consolidé avec conversion IAS 21</t>
        </is>
      </c>
    </row>
    <row r="53">
      <c r="A53" s="586" t="inlineStr">
        <is>
          <t>let</t>
        </is>
      </c>
    </row>
    <row r="54">
      <c r="A54" s="586" t="inlineStr">
        <is>
          <t xml:space="preserve">    // ─── SOURCE ──────────────────────────────────────────────────────────────</t>
        </is>
      </c>
    </row>
    <row r="55">
      <c r="A55" s="586" t="inlineStr">
        <is>
          <t xml:space="preserve">    Source = Consolidation_FromFolder,</t>
        </is>
      </c>
    </row>
    <row r="56"/>
    <row r="57">
      <c r="A57" s="586" t="inlineStr">
        <is>
          <t xml:space="preserve">    // ─── FILTRER UNIQUEMENT LES POSTES DE BILAN ───────────────────────────────</t>
        </is>
      </c>
    </row>
    <row r="58">
      <c r="A58" s="586" t="inlineStr">
        <is>
          <t xml:space="preserve">    SeulementBilan = Table.SelectRows(Source, each</t>
        </is>
      </c>
    </row>
    <row r="59">
      <c r="A59" s="586" t="inlineStr">
        <is>
          <t xml:space="preserve">        [CatIFRS18_Finale] = "Bilan"</t>
        </is>
      </c>
    </row>
    <row r="60">
      <c r="A60" s="586" t="inlineStr">
        <is>
          <t xml:space="preserve">        or [TypeFlux] = "Actif"</t>
        </is>
      </c>
    </row>
    <row r="61">
      <c r="A61" s="586" t="inlineStr">
        <is>
          <t xml:space="preserve">        or [TypeFlux] = "Passif"),</t>
        </is>
      </c>
    </row>
    <row r="62"/>
    <row r="63">
      <c r="A63" s="586" t="inlineStr">
        <is>
          <t xml:space="preserve">    // ─── CHARGER LA TABLE DE TAUX (CLÔTURE pour bilan) ────────────────────────</t>
        </is>
      </c>
    </row>
    <row r="64">
      <c r="A64" s="586" t="inlineStr">
        <is>
          <t xml:space="preserve">    TauxClôture = Excel.CurrentWorkbook(){[Name="PQ_TAUX_CHANGE_TABLE"]}[Content],</t>
        </is>
      </c>
    </row>
    <row r="65">
      <c r="A65" s="586" t="inlineStr">
        <is>
          <t xml:space="preserve">    TauxClôtureFiltré = Table.SelectRows(TauxClôture, each [TypeTaux] = "Clôture"),</t>
        </is>
      </c>
    </row>
    <row r="66"/>
    <row r="67">
      <c r="A67" s="586" t="inlineStr">
        <is>
          <t xml:space="preserve">    // ─── APPLIQUER LE TAUX DE CLÔTURE (IAS 21 §23) ───────────────────────────</t>
        </is>
      </c>
    </row>
    <row r="68">
      <c r="A68" s="586" t="inlineStr">
        <is>
          <t xml:space="preserve">    AvecTxClôture = Table.NestedJoin(SeulementBilan, {"Devise"},</t>
        </is>
      </c>
    </row>
    <row r="69">
      <c r="A69" s="586" t="inlineStr">
        <is>
          <t xml:space="preserve">        TauxClôtureFiltré, {"Devise"}, "TauxInfo", JoinKind.LeftOuter),</t>
        </is>
      </c>
    </row>
    <row r="70">
      <c r="A70" s="586" t="inlineStr">
        <is>
          <t xml:space="preserve">    ExpandTaux = Table.ExpandTableColumn(AvecTxClôture, "TauxInfo",</t>
        </is>
      </c>
    </row>
    <row r="71">
      <c r="A71" s="586" t="inlineStr">
        <is>
          <t xml:space="preserve">        {"TauxEUR"}, {"TauxClôture_IAS21"}),</t>
        </is>
      </c>
    </row>
    <row r="72">
      <c r="A72" s="586" t="inlineStr">
        <is>
          <t xml:space="preserve">    MontantClôture = Table.AddColumn(ExpandTaux, "MontantEUR_Clôture", each</t>
        </is>
      </c>
    </row>
    <row r="73">
      <c r="A73" s="586" t="inlineStr">
        <is>
          <t xml:space="preserve">        [Montant] * (if [TauxClôture_IAS21] &lt;&gt; null then [TauxClôture_IAS21] else 1),</t>
        </is>
      </c>
    </row>
    <row r="74">
      <c r="A74" s="586" t="inlineStr">
        <is>
          <t xml:space="preserve">        type number),</t>
        </is>
      </c>
    </row>
    <row r="75"/>
    <row r="76">
      <c r="A76" s="586" t="inlineStr">
        <is>
          <t xml:space="preserve">    // ─── NORMALISER LE SIGNE BILAN ────────────────────────────────────────────</t>
        </is>
      </c>
    </row>
    <row r="77">
      <c r="A77" s="586" t="inlineStr">
        <is>
          <t xml:space="preserve">    AvecSigne = Table.AddColumn(MontantClôture, "MontantSignéBilan", each</t>
        </is>
      </c>
    </row>
    <row r="78">
      <c r="A78" s="586" t="inlineStr">
        <is>
          <t xml:space="preserve">        if [TypeFlux] = "Actif"  then  [MontantEUR_Clôture]   // Actifs → positif</t>
        </is>
      </c>
    </row>
    <row r="79">
      <c r="A79" s="586" t="inlineStr">
        <is>
          <t xml:space="preserve">        else                          -[MontantEUR_Clôture],   // Passifs → négatif</t>
        </is>
      </c>
    </row>
    <row r="80">
      <c r="A80" s="586" t="inlineStr">
        <is>
          <t xml:space="preserve">        type number),</t>
        </is>
      </c>
    </row>
    <row r="81"/>
    <row r="82">
      <c r="A82" s="586" t="inlineStr">
        <is>
          <t xml:space="preserve">    // ─── AGRÉGER PAR POSTE × ENTITÉ ──────────────────────────────────────────</t>
        </is>
      </c>
    </row>
    <row r="83">
      <c r="A83" s="586" t="inlineStr">
        <is>
          <t xml:space="preserve">    Agrégé = Table.Group(AvecSigne,</t>
        </is>
      </c>
    </row>
    <row r="84">
      <c r="A84" s="586" t="inlineStr">
        <is>
          <t xml:space="preserve">        {"TypeFlux", "PosteGroupeIFRS18", "SousPosteIFRS18", "EntitéNormalisée", "Exercice"},</t>
        </is>
      </c>
    </row>
    <row r="85">
      <c r="A85" s="586" t="inlineStr">
        <is>
          <t xml:space="preserve">        {{"MontantBilan_kEUR", each List.Sum([MontantSignéBilan]), type number}}),</t>
        </is>
      </c>
    </row>
    <row r="86"/>
    <row r="87">
      <c r="A87" s="586" t="inlineStr">
        <is>
          <t xml:space="preserve">    // ─── AJOUTER ORDRE BILAN ──────────────────────────────────────────────────</t>
        </is>
      </c>
    </row>
    <row r="88">
      <c r="A88" s="586" t="inlineStr">
        <is>
          <t xml:space="preserve">    AvecOrdre = Table.AddColumn(Agrégé, "OrdreBilan", each</t>
        </is>
      </c>
    </row>
    <row r="89">
      <c r="A89" s="586" t="inlineStr">
        <is>
          <t xml:space="preserve">        if   [PosteGroupeIFRS18] = "Goodwill"              then 1</t>
        </is>
      </c>
    </row>
    <row r="90">
      <c r="A90" s="586" t="inlineStr">
        <is>
          <t xml:space="preserve">        else if [PosteGroupeIFRS18] = "PP&amp;E"               then 2</t>
        </is>
      </c>
    </row>
    <row r="91">
      <c r="A91" s="586" t="inlineStr">
        <is>
          <t xml:space="preserve">        else if [PosteGroupeIFRS18] = "DU IFRS 16"         then 3</t>
        </is>
      </c>
    </row>
    <row r="92">
      <c r="A92" s="586" t="inlineStr">
        <is>
          <t xml:space="preserve">        else if [PosteGroupeIFRS18] = "IDA"                then 4</t>
        </is>
      </c>
    </row>
    <row r="93">
      <c r="A93" s="586" t="inlineStr">
        <is>
          <t xml:space="preserve">        else if [PosteGroupeIFRS18] = "Stocks"             then 10</t>
        </is>
      </c>
    </row>
    <row r="94">
      <c r="A94" s="586" t="inlineStr">
        <is>
          <t xml:space="preserve">        else if [PosteGroupeIFRS18] = "Créances clients"   then 11</t>
        </is>
      </c>
    </row>
    <row r="95">
      <c r="A95" s="586" t="inlineStr">
        <is>
          <t xml:space="preserve">        else if [PosteGroupeIFRS18] = "Trésorerie"         then 15</t>
        </is>
      </c>
    </row>
    <row r="96">
      <c r="A96" s="586" t="inlineStr">
        <is>
          <t xml:space="preserve">        else if [PosteGroupeIFRS18] = "Capital"            then 20</t>
        </is>
      </c>
    </row>
    <row r="97">
      <c r="A97" s="586" t="inlineStr">
        <is>
          <t xml:space="preserve">        else if [PosteGroupeIFRS18] = "Réserves"           then 21</t>
        </is>
      </c>
    </row>
    <row r="98">
      <c r="A98" s="586" t="inlineStr">
        <is>
          <t xml:space="preserve">        else if [PosteGroupeIFRS18] = "NCI"                then 25</t>
        </is>
      </c>
    </row>
    <row r="99">
      <c r="A99" s="586" t="inlineStr">
        <is>
          <t xml:space="preserve">        else if [PosteGroupeIFRS18] = "Dettes financières LT" then 30</t>
        </is>
      </c>
    </row>
    <row r="100">
      <c r="A100" s="586" t="inlineStr">
        <is>
          <t xml:space="preserve">        else if [PosteGroupeIFRS18] = "Fournisseurs"       then 40</t>
        </is>
      </c>
    </row>
    <row r="101">
      <c r="A101" s="586" t="inlineStr">
        <is>
          <t xml:space="preserve">        else 50, Int64.Type),</t>
        </is>
      </c>
    </row>
    <row r="102"/>
    <row r="103">
      <c r="A103" s="586" t="inlineStr">
        <is>
          <t xml:space="preserve">    Trié = Table.Sort(AvecOrdre, {{"OrdreBilan", Order.Ascending}, {"EntitéNormalisée", Order.Ascending}})</t>
        </is>
      </c>
    </row>
    <row r="104"/>
    <row r="105">
      <c r="A105" s="586" t="inlineStr">
        <is>
          <t>in</t>
        </is>
      </c>
    </row>
    <row r="106">
      <c r="A106" s="586" t="inlineStr">
        <is>
          <t xml:space="preserve">    Trié</t>
        </is>
      </c>
    </row>
    <row r="109">
      <c r="A109" s="588" t="inlineStr">
        <is>
          <t>REQUÊTE 6 : « Eliminations_Auto_PQ » – Application automatique des éliminations IC</t>
        </is>
      </c>
    </row>
    <row r="110">
      <c r="A110" s="586" t="inlineStr">
        <is>
          <t>let</t>
        </is>
      </c>
    </row>
    <row r="111">
      <c r="A111" s="586" t="inlineStr">
        <is>
          <t xml:space="preserve">    // ─── SOURCE PRINCIPALE ────────────────────────────────────────────────────</t>
        </is>
      </c>
    </row>
    <row r="112">
      <c r="A112" s="586" t="inlineStr">
        <is>
          <t xml:space="preserve">    Source = Consolidation_FromFolder,</t>
        </is>
      </c>
    </row>
    <row r="113"/>
    <row r="114">
      <c r="A114" s="586" t="inlineStr">
        <is>
          <t xml:space="preserve">    // ─── CHARGER LA TABLE DES ÉLIMINATIONS ────────────────────────────────────</t>
        </is>
      </c>
    </row>
    <row r="115">
      <c r="A115" s="586" t="inlineStr">
        <is>
          <t xml:space="preserve">    TableElim = Excel.CurrentWorkbook(){[Name="PQ_ELIMINATIONS_TABLE"]}[Content],</t>
        </is>
      </c>
    </row>
    <row r="116">
      <c r="A116" s="586" t="inlineStr">
        <is>
          <t xml:space="preserve">    ElimVentes = Table.SelectRows(TableElim, each Text.StartsWith([RefElim], "V-")),</t>
        </is>
      </c>
    </row>
    <row r="117">
      <c r="A117" s="586" t="inlineStr">
        <is>
          <t xml:space="preserve">    ElimMarges = Table.SelectRows(TableElim, each Text.StartsWith([RefElim], "M-")),</t>
        </is>
      </c>
    </row>
    <row r="118">
      <c r="A118" s="586" t="inlineStr">
        <is>
          <t xml:space="preserve">    ElimDivid  = Table.SelectRows(TableElim, each Text.StartsWith([RefElim], "D-")),</t>
        </is>
      </c>
    </row>
    <row r="119">
      <c r="A119" s="586" t="inlineStr">
        <is>
          <t xml:space="preserve">    ElimPrets  = Table.SelectRows(TableElim, each Text.StartsWith([RefElim], "P-")),</t>
        </is>
      </c>
    </row>
    <row r="120"/>
    <row r="121">
      <c r="A121" s="586" t="inlineStr">
        <is>
          <t xml:space="preserve">    // ─── CONSTRUIRE LES LIGNES D'ÉCRITURE D'ÉLIMINATION ──────────────────────</t>
        </is>
      </c>
    </row>
    <row r="122">
      <c r="A122" s="586" t="inlineStr">
        <is>
          <t xml:space="preserve">    // Type 1 : Ventes IC → Neutraliser CA vendeur + Achat acheteur</t>
        </is>
      </c>
    </row>
    <row r="123">
      <c r="A123" s="586" t="inlineStr">
        <is>
          <t xml:space="preserve">    LignesElimVentes = Table.TransformColumns(ElimVentes, {}),</t>
        </is>
      </c>
    </row>
    <row r="124">
      <c r="A124" s="586" t="inlineStr">
        <is>
          <t xml:space="preserve">    ElimVentes_CR = Table.AddColumn(LignesElimVentes, "TypeElimination", each "Élim_Ventes_IC"),</t>
        </is>
      </c>
    </row>
    <row r="125">
      <c r="A125" s="586" t="inlineStr">
        <is>
          <t xml:space="preserve">    ElimVentes_Débit = Table.AddColumn(ElimVentes_CR, "ImpactCR_kEUR", each -[MontantEUR]),</t>
        </is>
      </c>
    </row>
    <row r="126"/>
    <row r="127">
      <c r="A127" s="586" t="inlineStr">
        <is>
          <t xml:space="preserve">    // Type 2 : Marges IC → Réduire valeur stocks + ajust. coût des ventes</t>
        </is>
      </c>
    </row>
    <row r="128">
      <c r="A128" s="586" t="inlineStr">
        <is>
          <t xml:space="preserve">    LignesElimMarges = Table.TransformColumns(ElimMarges, {}),</t>
        </is>
      </c>
    </row>
    <row r="129">
      <c r="A129" s="586" t="inlineStr">
        <is>
          <t xml:space="preserve">    ElimMarges_Bilan = Table.AddColumn(LignesElimMarges, "TypeElimination", each "Élim_Marges_Stocks"),</t>
        </is>
      </c>
    </row>
    <row r="130">
      <c r="A130" s="586" t="inlineStr">
        <is>
          <t xml:space="preserve">    ElimMarges_Impact = Table.AddColumn(ElimMarges_Bilan, "ImpactBilan_kEUR", each -[MargeIC_kEUR]),</t>
        </is>
      </c>
    </row>
    <row r="131"/>
    <row r="132">
      <c r="A132" s="586" t="inlineStr">
        <is>
          <t xml:space="preserve">    // Type 3 : Dividendes IC → Éliminer produit financier + distribution</t>
        </is>
      </c>
    </row>
    <row r="133">
      <c r="A133" s="586" t="inlineStr">
        <is>
          <t xml:space="preserve">    ElimDivid_CR = Table.AddColumn(ElimDivid, "TypeElimination", each "Élim_Dividendes_IC"),</t>
        </is>
      </c>
    </row>
    <row r="134">
      <c r="A134" s="586" t="inlineStr">
        <is>
          <t xml:space="preserve">    ElimDivid_Neut = Table.AddColumn(ElimDivid_CR, "ImpactCR_kEUR", each -[DividendeEUR]),</t>
        </is>
      </c>
    </row>
    <row r="135"/>
    <row r="136">
      <c r="A136" s="586" t="inlineStr">
        <is>
          <t xml:space="preserve">    // Type 4 : Prêts IC → Éliminer créance/dette + intérêts</t>
        </is>
      </c>
    </row>
    <row r="137">
      <c r="A137" s="586" t="inlineStr">
        <is>
          <t xml:space="preserve">    ElimPrets_Bilan = Table.AddColumn(ElimPrets, "TypeElimination", each "Élim_Prêts_IC"),</t>
        </is>
      </c>
    </row>
    <row r="138">
      <c r="A138" s="586" t="inlineStr">
        <is>
          <t xml:space="preserve">    ElimPrets_Impact = Table.AddColumn(ElimPrets_Bilan, "ImpactBilan_kEUR", each -[CapitalEUR]),</t>
        </is>
      </c>
    </row>
    <row r="139"/>
    <row r="140">
      <c r="A140" s="586" t="inlineStr">
        <is>
          <t xml:space="preserve">    // ─── RÉCAPITULATIF DES ÉLIMINATIONS ──────────────────────────────────────</t>
        </is>
      </c>
    </row>
    <row r="141">
      <c r="A141" s="586" t="inlineStr">
        <is>
          <t xml:space="preserve">    RecapElim = Table.SelectRows(Source, each [EstIC] = true),</t>
        </is>
      </c>
    </row>
    <row r="142">
      <c r="A142" s="586" t="inlineStr">
        <is>
          <t xml:space="preserve">    RecapGroupé = Table.Group(RecapElim, {"CatIFRS18_Finale","EntitéNormalisée"},</t>
        </is>
      </c>
    </row>
    <row r="143">
      <c r="A143" s="586" t="inlineStr">
        <is>
          <t xml:space="preserve">        {{"MontantElim_kEUR", each List.Sum([MontantEUR]), type number},</t>
        </is>
      </c>
    </row>
    <row r="144">
      <c r="A144" s="586" t="inlineStr">
        <is>
          <t xml:space="preserve">         {"NbLignes", each Table.RowCount(_), Int64.Type}}),</t>
        </is>
      </c>
    </row>
    <row r="145"/>
    <row r="146">
      <c r="A146" s="586" t="inlineStr">
        <is>
          <t xml:space="preserve">    // ─── AJOUTER FLAG VALIDATION ──────────────────────────────────────────────</t>
        </is>
      </c>
    </row>
    <row r="147">
      <c r="A147" s="586" t="inlineStr">
        <is>
          <t xml:space="preserve">    AvecValidation = Table.AddColumn(RecapGroupé, "Statut", each</t>
        </is>
      </c>
    </row>
    <row r="148">
      <c r="A148" s="586" t="inlineStr">
        <is>
          <t xml:space="preserve">        if [MontantElim_kEUR] = 0 then "✅ Néant"</t>
        </is>
      </c>
    </row>
    <row r="149">
      <c r="A149" s="586" t="inlineStr">
        <is>
          <t xml:space="preserve">        else "⚠️ À vérifier contre contrepartie")</t>
        </is>
      </c>
    </row>
    <row r="150"/>
    <row r="151">
      <c r="A151" s="586" t="inlineStr">
        <is>
          <t>in</t>
        </is>
      </c>
    </row>
    <row r="152">
      <c r="A152" s="586" t="inlineStr">
        <is>
          <t xml:space="preserve">    AvecValidation</t>
        </is>
      </c>
    </row>
    <row r="155">
      <c r="A155" s="587" t="inlineStr">
        <is>
          <t>REQUÊTE 7 : « CashFlow_PQ » – Flux de trésorerie consolidé (méthode indirecte IAS 7)</t>
        </is>
      </c>
    </row>
    <row r="156">
      <c r="A156" s="586" t="inlineStr">
        <is>
          <t>let</t>
        </is>
      </c>
    </row>
    <row r="157">
      <c r="A157" s="586" t="inlineStr">
        <is>
          <t xml:space="preserve">    // ─── BASE : UTILISER LES AGRÉGATS DU CR ET DU BILAN ──────────────────────</t>
        </is>
      </c>
    </row>
    <row r="158">
      <c r="A158" s="586" t="inlineStr">
        <is>
          <t xml:space="preserve">    // Note : Cette requête construit le TFT structure. Les valeurs</t>
        </is>
      </c>
    </row>
    <row r="159">
      <c r="A159" s="586" t="inlineStr">
        <is>
          <t xml:space="preserve">    // sont liées via formules Excel aux onglets CONSOL_CR et CONSOL_BILAN.</t>
        </is>
      </c>
    </row>
    <row r="160"/>
    <row r="161">
      <c r="A161" s="586" t="inlineStr">
        <is>
          <t xml:space="preserve">    // ─── PARAMÈTRES DE BASE ───────────────────────────────────────────────────</t>
        </is>
      </c>
    </row>
    <row r="162">
      <c r="A162" s="586" t="inlineStr">
        <is>
          <t xml:space="preserve">    EBIT             = Excel.CurrentWorkbook(){[Name="CF_EBIT"]}[Content]{0}[Valeur],</t>
        </is>
      </c>
    </row>
    <row r="163">
      <c r="A163" s="586" t="inlineStr">
        <is>
          <t xml:space="preserve">    Amortissements   = Excel.CurrentWorkbook(){[Name="CF_AMORT"]}[Content]{0}[Valeur],</t>
        </is>
      </c>
    </row>
    <row r="164">
      <c r="A164" s="586" t="inlineStr">
        <is>
          <t xml:space="preserve">    VarBFR           = Excel.CurrentWorkbook(){[Name="CF_BFR"]}[Content]{0}[Valeur],</t>
        </is>
      </c>
    </row>
    <row r="165">
      <c r="A165" s="586" t="inlineStr">
        <is>
          <t xml:space="preserve">    ElimIC           = Excel.CurrentWorkbook(){[Name="CF_ELIM"]}[Content]{0}[Valeur],</t>
        </is>
      </c>
    </row>
    <row r="166">
      <c r="A166" s="586" t="inlineStr">
        <is>
          <t xml:space="preserve">    CAPEX            = Excel.CurrentWorkbook(){[Name="CF_CAPEX"]}[Content]{0}[Valeur],</t>
        </is>
      </c>
    </row>
    <row r="167">
      <c r="A167" s="586" t="inlineStr">
        <is>
          <t xml:space="preserve">    Cessions         = Excel.CurrentWorkbook(){[Name="CF_CESSION"]}[Content]{0}[Valeur],</t>
        </is>
      </c>
    </row>
    <row r="168">
      <c r="A168" s="586" t="inlineStr">
        <is>
          <t xml:space="preserve">    Emprunts         = Excel.CurrentWorkbook(){[Name="CF_EMPRUNTS"]}[Content]{0}[Valeur],</t>
        </is>
      </c>
    </row>
    <row r="169">
      <c r="A169" s="586" t="inlineStr">
        <is>
          <t xml:space="preserve">    DivVersés        = Excel.CurrentWorkbook(){[Name="CF_DIV"]}[Content]{0}[Valeur],</t>
        </is>
      </c>
    </row>
    <row r="170">
      <c r="A170" s="586" t="inlineStr">
        <is>
          <t xml:space="preserve">    Intérêts         = Excel.CurrentWorkbook(){[Name="CF_INT"]}[Content]{0}[Valeur],</t>
        </is>
      </c>
    </row>
    <row r="171">
      <c r="A171" s="586" t="inlineStr">
        <is>
          <t xml:space="preserve">    EffetChange      = Excel.CurrentWorkbook(){[Name="CF_CHANGE"]}[Content]{0}[Valeur],</t>
        </is>
      </c>
    </row>
    <row r="172">
      <c r="A172" s="586" t="inlineStr">
        <is>
          <t xml:space="preserve">    TrésoOuv         = Excel.CurrentWorkbook(){[Name="CF_TRESOOUV"]}[Content]{0}[Valeur],</t>
        </is>
      </c>
    </row>
    <row r="173"/>
    <row r="174">
      <c r="A174" s="586" t="inlineStr">
        <is>
          <t xml:space="preserve">    // ─── CONSTRUIRE LA TABLE STRUCTURÉE DU TFT ────────────────────────────────</t>
        </is>
      </c>
    </row>
    <row r="175">
      <c r="A175" s="586" t="inlineStr">
        <is>
          <t xml:space="preserve">    TFT_Lignes = #table(</t>
        </is>
      </c>
    </row>
    <row r="176">
      <c r="A176" s="586" t="inlineStr">
        <is>
          <t xml:space="preserve">        {"Ordre","Rubrique","Poste","Montant_kEUR","MethodeIAS7","Référence"},</t>
        </is>
      </c>
    </row>
    <row r="177">
      <c r="A177" s="586" t="inlineStr">
        <is>
          <t xml:space="preserve">        {</t>
        </is>
      </c>
    </row>
    <row r="178">
      <c r="A178" s="586" t="inlineStr">
        <is>
          <t xml:space="preserve">            {1, "A. EXPLOITATION", "Résultat net consolidé (point de départ)", EBIT, "Indirect §20", "IAS 7 §20(a)"},</t>
        </is>
      </c>
    </row>
    <row r="179">
      <c r="A179" s="586" t="inlineStr">
        <is>
          <t xml:space="preserve">            {2, "A. EXPLOITATION", "+ Amortissements &amp; dépréciations (add-back)", Amortissements, "Indirect §20", "IAS 7 §20(b)"},</t>
        </is>
      </c>
    </row>
    <row r="180">
      <c r="A180" s="586" t="inlineStr">
        <is>
          <t xml:space="preserve">            {3, "A. EXPLOITATION", "± Variation du BFR (stocks+créances-fournisseurs)", VarBFR, "Indirect §20", "IAS 7 §20(b)"},</t>
        </is>
      </c>
    </row>
    <row r="181">
      <c r="A181" s="586" t="inlineStr">
        <is>
          <t xml:space="preserve">            {4, "A. EXPLOITATION", "- Éliminations IC (dividendes &amp; intérêts)", ElimIC, "Indirect §20", "IFRS 10"},</t>
        </is>
      </c>
    </row>
    <row r="182">
      <c r="A182" s="586" t="inlineStr">
        <is>
          <t xml:space="preserve">            {5, "A. EXPLOITATION", "= FLUX EXPLOITATION (A)", EBIT + Amortissements + VarBFR + ElimIC, "Indirect", "IAS 7 §20"},</t>
        </is>
      </c>
    </row>
    <row r="183">
      <c r="A183" s="586" t="inlineStr">
        <is>
          <t xml:space="preserve">            {6, "B. INVESTISSEMENT", "- CAPEX (acquisitions d'actifs)", CAPEX, "Direct §16", "IAS 7 §16"},</t>
        </is>
      </c>
    </row>
    <row r="184">
      <c r="A184" s="586" t="inlineStr">
        <is>
          <t xml:space="preserve">            {7, "B. INVESTISSEMENT", "+ Cessions d'actifs nets", Cessions, "Direct §16", "IAS 7 §16"},</t>
        </is>
      </c>
    </row>
    <row r="185">
      <c r="A185" s="586" t="inlineStr">
        <is>
          <t xml:space="preserve">            {8, "B. INVESTISSEMENT", "= FLUX INVESTISSEMENT (B)", CAPEX + Cessions, "Direct", "IAS 7 §16"},</t>
        </is>
      </c>
    </row>
    <row r="186">
      <c r="A186" s="586" t="inlineStr">
        <is>
          <t xml:space="preserve">            {9, "C. FINANCEMENT", "± Emprunts (nets remboursements)", Emprunts, "Direct §17", "IAS 7 §17"},</t>
        </is>
      </c>
    </row>
    <row r="187">
      <c r="A187" s="586" t="inlineStr">
        <is>
          <t xml:space="preserve">            {10, "C. FINANCEMENT", "- Dividendes versés (groupe + NCI)", DivVersés, "Direct §17", "IAS 7 §31"},</t>
        </is>
      </c>
    </row>
    <row r="188">
      <c r="A188" s="586" t="inlineStr">
        <is>
          <t xml:space="preserve">            {11, "C. FINANCEMENT", "- Intérêts payés", Intérêts, "Direct §17", "IAS 7 §33"},</t>
        </is>
      </c>
    </row>
    <row r="189">
      <c r="A189" s="586" t="inlineStr">
        <is>
          <t xml:space="preserve">            {12, "C. FINANCEMENT", "= FLUX FINANCEMENT (C)", Emprunts + DivVersés + Intérêts, "Direct", "IAS 7 §17"},</t>
        </is>
      </c>
    </row>
    <row r="190">
      <c r="A190" s="586" t="inlineStr">
        <is>
          <t xml:space="preserve">            {13, "D. EFFETS CHANGE", "± Effet variations de change (IAS 21)", EffetChange, "Spécifique", "IAS 7 §28"},</t>
        </is>
      </c>
    </row>
    <row r="191">
      <c r="A191" s="586" t="inlineStr">
        <is>
          <t xml:space="preserve">            {14, "TOTAL", "= VARIATION NETTE TRÉSORERIE (A+B+C+D)",</t>
        </is>
      </c>
    </row>
    <row r="192">
      <c r="A192" s="586" t="inlineStr">
        <is>
          <t xml:space="preserve">                (EBIT + Amortissements + VarBFR + ElimIC)</t>
        </is>
      </c>
    </row>
    <row r="193">
      <c r="A193" s="586" t="inlineStr">
        <is>
          <t xml:space="preserve">                + (CAPEX + Cessions)</t>
        </is>
      </c>
    </row>
    <row r="194">
      <c r="A194" s="586" t="inlineStr">
        <is>
          <t xml:space="preserve">                + (Emprunts + DivVersés + Intérêts)</t>
        </is>
      </c>
    </row>
    <row r="195">
      <c r="A195" s="586" t="inlineStr">
        <is>
          <t xml:space="preserve">                + EffetChange, "Contrôle", "IAS 7 §45"},</t>
        </is>
      </c>
    </row>
    <row r="196">
      <c r="A196" s="586" t="inlineStr">
        <is>
          <t xml:space="preserve">            {15, "CONTRÔLE", "Trésorerie d'ouverture (01/01/2025)", TrésoOuv, "Contrôle", "IAS 7 §45"},</t>
        </is>
      </c>
    </row>
    <row r="197">
      <c r="A197" s="586" t="inlineStr">
        <is>
          <t xml:space="preserve">            {16, "CONTRÔLE", "= Trésorerie de clôture (31/12/2025)",</t>
        </is>
      </c>
    </row>
    <row r="198">
      <c r="A198" s="586" t="inlineStr">
        <is>
          <t xml:space="preserve">                (EBIT + Amortissements + VarBFR + ElimIC)</t>
        </is>
      </c>
    </row>
    <row r="199">
      <c r="A199" s="586" t="inlineStr">
        <is>
          <t xml:space="preserve">                + (CAPEX + Cessions)</t>
        </is>
      </c>
    </row>
    <row r="200">
      <c r="A200" s="586" t="inlineStr">
        <is>
          <t xml:space="preserve">                + (Emprunts + DivVersés + Intérêts)</t>
        </is>
      </c>
    </row>
    <row r="201">
      <c r="A201" s="586" t="inlineStr">
        <is>
          <t xml:space="preserve">                + EffetChange + TrésoOuv, "Contrôle", "IAS 7 §45"}</t>
        </is>
      </c>
    </row>
    <row r="202">
      <c r="A202" s="586" t="inlineStr">
        <is>
          <t xml:space="preserve">        }</t>
        </is>
      </c>
    </row>
    <row r="203">
      <c r="A203" s="586" t="inlineStr">
        <is>
          <t xml:space="preserve">    ),</t>
        </is>
      </c>
    </row>
    <row r="204"/>
    <row r="205">
      <c r="A205" s="586" t="inlineStr">
        <is>
          <t xml:space="preserve">    // ─── TYPAGE ──────────────────────────────────────────────────────────────</t>
        </is>
      </c>
    </row>
    <row r="206">
      <c r="A206" s="586" t="inlineStr">
        <is>
          <t xml:space="preserve">    Typé = Table.TransformColumnTypes(TFT_Lignes,{</t>
        </is>
      </c>
    </row>
    <row r="207">
      <c r="A207" s="586" t="inlineStr">
        <is>
          <t xml:space="preserve">        {"Ordre", Int64.Type},</t>
        </is>
      </c>
    </row>
    <row r="208">
      <c r="A208" s="586" t="inlineStr">
        <is>
          <t xml:space="preserve">        {"Rubrique", type text},</t>
        </is>
      </c>
    </row>
    <row r="209">
      <c r="A209" s="586" t="inlineStr">
        <is>
          <t xml:space="preserve">        {"Poste", type text},</t>
        </is>
      </c>
    </row>
    <row r="210">
      <c r="A210" s="586" t="inlineStr">
        <is>
          <t xml:space="preserve">        {"Montant_kEUR", type number},</t>
        </is>
      </c>
    </row>
    <row r="211">
      <c r="A211" s="586" t="inlineStr">
        <is>
          <t xml:space="preserve">        {"MethodeIAS7", type text},</t>
        </is>
      </c>
    </row>
    <row r="212">
      <c r="A212" s="586" t="inlineStr">
        <is>
          <t xml:space="preserve">        {"Référence", type text}</t>
        </is>
      </c>
    </row>
    <row r="213">
      <c r="A213" s="586" t="inlineStr">
        <is>
          <t xml:space="preserve">    })</t>
        </is>
      </c>
    </row>
    <row r="214"/>
    <row r="215">
      <c r="A215" s="586" t="inlineStr">
        <is>
          <t>in</t>
        </is>
      </c>
    </row>
    <row r="216">
      <c r="A216" s="586" t="inlineStr">
        <is>
          <t xml:space="preserve">    Typé</t>
        </is>
      </c>
    </row>
  </sheetData>
  <mergeCells count="209">
    <mergeCell ref="A5:D5"/>
    <mergeCell ref="A150:D150"/>
    <mergeCell ref="A144:D144"/>
    <mergeCell ref="A159:D159"/>
    <mergeCell ref="A122:D122"/>
    <mergeCell ref="A97:D97"/>
    <mergeCell ref="A215:D215"/>
    <mergeCell ref="A20:D20"/>
    <mergeCell ref="A72:D72"/>
    <mergeCell ref="A29:D29"/>
    <mergeCell ref="A134:D134"/>
    <mergeCell ref="A200:D200"/>
    <mergeCell ref="A81:D81"/>
    <mergeCell ref="A112:D112"/>
    <mergeCell ref="A152:D152"/>
    <mergeCell ref="A121:D121"/>
    <mergeCell ref="A161:D161"/>
    <mergeCell ref="A13:D13"/>
    <mergeCell ref="A44:D44"/>
    <mergeCell ref="A31:D31"/>
    <mergeCell ref="A176:D176"/>
    <mergeCell ref="A58:D58"/>
    <mergeCell ref="A114:D114"/>
    <mergeCell ref="A202:D202"/>
    <mergeCell ref="A15:D15"/>
    <mergeCell ref="A64:D64"/>
    <mergeCell ref="A186:D186"/>
    <mergeCell ref="A24:D24"/>
    <mergeCell ref="A73:D73"/>
    <mergeCell ref="A178:D178"/>
    <mergeCell ref="A60:D60"/>
    <mergeCell ref="A70:D70"/>
    <mergeCell ref="A124:D124"/>
    <mergeCell ref="A54:D54"/>
    <mergeCell ref="A7:D7"/>
    <mergeCell ref="A41:D41"/>
    <mergeCell ref="A16:D16"/>
    <mergeCell ref="A172:D172"/>
    <mergeCell ref="A212:D212"/>
    <mergeCell ref="A99:D99"/>
    <mergeCell ref="A164:D164"/>
    <mergeCell ref="A56:D56"/>
    <mergeCell ref="A27:D27"/>
    <mergeCell ref="A149:D149"/>
    <mergeCell ref="A214:D214"/>
    <mergeCell ref="A163:D163"/>
    <mergeCell ref="A101:D101"/>
    <mergeCell ref="A195:D195"/>
    <mergeCell ref="A2:D2"/>
    <mergeCell ref="A33:D33"/>
    <mergeCell ref="A204:D204"/>
    <mergeCell ref="A85:D85"/>
    <mergeCell ref="A42:D42"/>
    <mergeCell ref="A17:D17"/>
    <mergeCell ref="A188:D188"/>
    <mergeCell ref="A126:D126"/>
    <mergeCell ref="A141:D141"/>
    <mergeCell ref="A22:D22"/>
    <mergeCell ref="A53:D53"/>
    <mergeCell ref="A35:D35"/>
    <mergeCell ref="A206:D206"/>
    <mergeCell ref="A62:D62"/>
    <mergeCell ref="A135:D135"/>
    <mergeCell ref="A125:D125"/>
    <mergeCell ref="A19:D19"/>
    <mergeCell ref="A190:D190"/>
    <mergeCell ref="A28:D28"/>
    <mergeCell ref="A117:D117"/>
    <mergeCell ref="A199:D199"/>
    <mergeCell ref="A111:D111"/>
    <mergeCell ref="A9:D9"/>
    <mergeCell ref="A127:D127"/>
    <mergeCell ref="A167:D167"/>
    <mergeCell ref="A48:D48"/>
    <mergeCell ref="A30:D30"/>
    <mergeCell ref="A59:D59"/>
    <mergeCell ref="A142:D142"/>
    <mergeCell ref="A11:D11"/>
    <mergeCell ref="A182:D182"/>
    <mergeCell ref="A216:D216"/>
    <mergeCell ref="A98:D98"/>
    <mergeCell ref="A191:D191"/>
    <mergeCell ref="A169:D169"/>
    <mergeCell ref="A79:D79"/>
    <mergeCell ref="A61:D61"/>
    <mergeCell ref="A88:D88"/>
    <mergeCell ref="A162:D162"/>
    <mergeCell ref="A128:D128"/>
    <mergeCell ref="A137:D137"/>
    <mergeCell ref="A46:D46"/>
    <mergeCell ref="A90:D90"/>
    <mergeCell ref="A177:D177"/>
    <mergeCell ref="A208:D208"/>
    <mergeCell ref="A136:D136"/>
    <mergeCell ref="A192:D192"/>
    <mergeCell ref="A74:D74"/>
    <mergeCell ref="A105:D105"/>
    <mergeCell ref="A145:D145"/>
    <mergeCell ref="A26:D26"/>
    <mergeCell ref="A139:D139"/>
    <mergeCell ref="A210:D210"/>
    <mergeCell ref="A179:D179"/>
    <mergeCell ref="A71:D71"/>
    <mergeCell ref="A129:D129"/>
    <mergeCell ref="A194:D194"/>
    <mergeCell ref="A76:D76"/>
    <mergeCell ref="A203:D203"/>
    <mergeCell ref="A116:D116"/>
    <mergeCell ref="A181:D181"/>
    <mergeCell ref="A8:D8"/>
    <mergeCell ref="A91:D91"/>
    <mergeCell ref="A184:D184"/>
    <mergeCell ref="A131:D131"/>
    <mergeCell ref="A100:D100"/>
    <mergeCell ref="A140:D140"/>
    <mergeCell ref="A171:D171"/>
    <mergeCell ref="A109:D109"/>
    <mergeCell ref="A52:D52"/>
    <mergeCell ref="A165:D165"/>
    <mergeCell ref="A180:D180"/>
    <mergeCell ref="A63:D63"/>
    <mergeCell ref="A10:D10"/>
    <mergeCell ref="A115:D115"/>
    <mergeCell ref="A155:D155"/>
    <mergeCell ref="A93:D93"/>
    <mergeCell ref="A68:D68"/>
    <mergeCell ref="A47:D47"/>
    <mergeCell ref="A102:D102"/>
    <mergeCell ref="A173:D173"/>
    <mergeCell ref="A77:D77"/>
    <mergeCell ref="A34:D34"/>
    <mergeCell ref="A83:D83"/>
    <mergeCell ref="A143:D143"/>
    <mergeCell ref="A92:D92"/>
    <mergeCell ref="A157:D157"/>
    <mergeCell ref="A39:D39"/>
    <mergeCell ref="A166:D166"/>
    <mergeCell ref="A49:D49"/>
    <mergeCell ref="A36:D36"/>
    <mergeCell ref="A207:D207"/>
    <mergeCell ref="A1:D1"/>
    <mergeCell ref="A45:D45"/>
    <mergeCell ref="A103:D103"/>
    <mergeCell ref="A94:D94"/>
    <mergeCell ref="A168:D168"/>
    <mergeCell ref="A69:D69"/>
    <mergeCell ref="A78:D78"/>
    <mergeCell ref="A205:D205"/>
    <mergeCell ref="A87:D87"/>
    <mergeCell ref="A65:D65"/>
    <mergeCell ref="A133:D133"/>
    <mergeCell ref="A193:D193"/>
    <mergeCell ref="A80:D80"/>
    <mergeCell ref="A37:D37"/>
    <mergeCell ref="A89:D89"/>
    <mergeCell ref="A120:D120"/>
    <mergeCell ref="A12:D12"/>
    <mergeCell ref="A21:D21"/>
    <mergeCell ref="A104:D104"/>
    <mergeCell ref="A57:D57"/>
    <mergeCell ref="A113:D113"/>
    <mergeCell ref="A32:D32"/>
    <mergeCell ref="A14:D14"/>
    <mergeCell ref="A185:D185"/>
    <mergeCell ref="A23:D23"/>
    <mergeCell ref="A106:D106"/>
    <mergeCell ref="A4:D4"/>
    <mergeCell ref="A38:D38"/>
    <mergeCell ref="A96:D96"/>
    <mergeCell ref="A147:D147"/>
    <mergeCell ref="A209:D209"/>
    <mergeCell ref="A43:D43"/>
    <mergeCell ref="A156:D156"/>
    <mergeCell ref="A170:D170"/>
    <mergeCell ref="A40:D40"/>
    <mergeCell ref="A211:D211"/>
    <mergeCell ref="A67:D67"/>
    <mergeCell ref="A130:D130"/>
    <mergeCell ref="A201:D201"/>
    <mergeCell ref="A148:D148"/>
    <mergeCell ref="A82:D82"/>
    <mergeCell ref="A123:D123"/>
    <mergeCell ref="A138:D138"/>
    <mergeCell ref="A132:D132"/>
    <mergeCell ref="A197:D197"/>
    <mergeCell ref="A110:D110"/>
    <mergeCell ref="A146:D146"/>
    <mergeCell ref="A6:D6"/>
    <mergeCell ref="A119:D119"/>
    <mergeCell ref="A187:D187"/>
    <mergeCell ref="A25:D25"/>
    <mergeCell ref="A196:D196"/>
    <mergeCell ref="A174:D174"/>
    <mergeCell ref="A183:D183"/>
    <mergeCell ref="A84:D84"/>
    <mergeCell ref="A66:D66"/>
    <mergeCell ref="A118:D118"/>
    <mergeCell ref="A75:D75"/>
    <mergeCell ref="A18:D18"/>
    <mergeCell ref="A189:D189"/>
    <mergeCell ref="A158:D158"/>
    <mergeCell ref="A198:D198"/>
    <mergeCell ref="A55:D55"/>
    <mergeCell ref="A86:D86"/>
    <mergeCell ref="A213:D213"/>
    <mergeCell ref="A95:D95"/>
    <mergeCell ref="A151:D151"/>
    <mergeCell ref="A160:D160"/>
    <mergeCell ref="A175:D17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2980B9"/>
    <outlinePr summaryBelow="1" summaryRight="1"/>
    <pageSetUpPr/>
  </sheetPr>
  <dimension ref="A1:L121"/>
  <sheetViews>
    <sheetView showGridLines="0" workbookViewId="0">
      <pane ySplit="3" topLeftCell="A4" activePane="bottomLeft" state="frozen"/>
      <selection pane="bottomLeft" activeCell="E31" sqref="E31"/>
    </sheetView>
  </sheetViews>
  <sheetFormatPr baseColWidth="10" defaultRowHeight="15"/>
  <cols>
    <col width="5.7109375" customWidth="1" style="500" min="1" max="1"/>
    <col width="19" customWidth="1" style="500" min="2" max="2"/>
    <col width="14.28515625" customWidth="1" style="500" min="3" max="3"/>
    <col width="30.42578125" customWidth="1" style="500" min="4" max="4"/>
    <col width="19" customWidth="1" style="500" min="5" max="5"/>
    <col width="13.28515625" customWidth="1" style="500" min="6" max="6"/>
    <col width="34.28515625" customWidth="1" style="500" min="7" max="7"/>
    <col width="19" customWidth="1" style="500" min="8" max="8"/>
    <col width="15.28515625" customWidth="1" style="500" min="9" max="10"/>
    <col width="38.140625" customWidth="1" style="500" min="11" max="11"/>
  </cols>
  <sheetData>
    <row r="1" ht="17.25" customHeight="1" s="500">
      <c r="A1" s="532" t="inlineStr">
        <is>
          <t>🔗  FORMULES_LIAISON – TABLEAU DE BORD DES LIAISONS ENTRE ONGLETS · Cartographie complète</t>
        </is>
      </c>
      <c r="L1" s="16" t="n"/>
    </row>
    <row r="2">
      <c r="A2" s="530" t="inlineStr">
        <is>
          <t>Ce tableau documente toutes les formules de liaison inter-onglets. Colonne F = formule à copier dans la cellule cible. Mettre à jour si structure des onglets change.</t>
        </is>
      </c>
      <c r="L2" s="16" t="n"/>
    </row>
    <row r="3">
      <c r="A3" s="681" t="inlineStr">
        <is>
          <t>#</t>
        </is>
      </c>
      <c r="B3" s="682" t="inlineStr">
        <is>
          <t>Onglet Cible</t>
        </is>
      </c>
      <c r="C3" s="682" t="inlineStr">
        <is>
          <t>Cellule Cible</t>
        </is>
      </c>
      <c r="D3" s="682" t="inlineStr">
        <is>
          <t>Poste / Label</t>
        </is>
      </c>
      <c r="E3" s="682" t="inlineStr">
        <is>
          <t>Onglet Source</t>
        </is>
      </c>
      <c r="F3" s="682" t="inlineStr">
        <is>
          <t>Cellule Source</t>
        </is>
      </c>
      <c r="G3" s="682" t="inlineStr">
        <is>
          <t>Formule à utiliser</t>
        </is>
      </c>
      <c r="H3" s="682" t="inlineStr">
        <is>
          <t>TypeConversion</t>
        </is>
      </c>
      <c r="I3" s="682" t="inlineStr">
        <is>
          <t>Norme</t>
        </is>
      </c>
      <c r="J3" s="682" t="inlineStr">
        <is>
          <t>Criticité</t>
        </is>
      </c>
      <c r="K3" s="684" t="inlineStr">
        <is>
          <t>Commentaire</t>
        </is>
      </c>
      <c r="L3" s="16" t="n"/>
    </row>
    <row r="4">
      <c r="A4" s="867" t="n">
        <v>1</v>
      </c>
      <c r="B4" s="807" t="inlineStr">
        <is>
          <t>CONSOL_CR</t>
        </is>
      </c>
      <c r="C4" s="807" t="inlineStr">
        <is>
          <t>D7</t>
        </is>
      </c>
      <c r="D4" s="807" t="inlineStr">
        <is>
          <t>CA FR_ParentCo</t>
        </is>
      </c>
      <c r="E4" s="807" t="inlineStr">
        <is>
          <t>FR_ParentCo</t>
        </is>
      </c>
      <c r="F4" s="807" t="inlineStr">
        <is>
          <t>D30</t>
        </is>
      </c>
      <c r="G4" s="861">
        <f>FR_ParentCo!D30</f>
        <v/>
      </c>
      <c r="H4" s="807" t="inlineStr">
        <is>
          <t>Aucune (EUR)</t>
        </is>
      </c>
      <c r="I4" s="807" t="inlineStr">
        <is>
          <t>IFRS 15</t>
        </is>
      </c>
      <c r="J4" s="807" t="inlineStr">
        <is>
          <t>🔴 Critique</t>
        </is>
      </c>
      <c r="K4" s="808" t="inlineStr">
        <is>
          <t>CA société mère</t>
        </is>
      </c>
      <c r="L4" s="16" t="n"/>
    </row>
    <row r="5">
      <c r="A5" s="867" t="n">
        <v>2</v>
      </c>
      <c r="B5" s="807" t="inlineStr">
        <is>
          <t>CONSOL_CR</t>
        </is>
      </c>
      <c r="C5" s="807" t="inlineStr">
        <is>
          <t>E7</t>
        </is>
      </c>
      <c r="D5" s="807" t="inlineStr">
        <is>
          <t>CA DE_Filiale</t>
        </is>
      </c>
      <c r="E5" s="807" t="inlineStr">
        <is>
          <t>DE_Filiale</t>
        </is>
      </c>
      <c r="F5" s="807" t="inlineStr">
        <is>
          <t>D30</t>
        </is>
      </c>
      <c r="G5" s="861">
        <f>DE_Filiale!D30</f>
        <v/>
      </c>
      <c r="H5" s="807" t="inlineStr">
        <is>
          <t>Aucune (EUR)</t>
        </is>
      </c>
      <c r="I5" s="807" t="inlineStr">
        <is>
          <t>IFRS 15</t>
        </is>
      </c>
      <c r="J5" s="807" t="inlineStr">
        <is>
          <t>🔴 Critique</t>
        </is>
      </c>
      <c r="K5" s="808" t="inlineStr">
        <is>
          <t>CA filiale DE</t>
        </is>
      </c>
      <c r="L5" s="16" t="n"/>
    </row>
    <row r="6">
      <c r="A6" s="867" t="n">
        <v>3</v>
      </c>
      <c r="B6" s="807" t="inlineStr">
        <is>
          <t>CONSOL_CR</t>
        </is>
      </c>
      <c r="C6" s="807" t="inlineStr">
        <is>
          <t>F7</t>
        </is>
      </c>
      <c r="D6" s="807" t="inlineStr">
        <is>
          <t>CA UK_Filiale (EUR)</t>
        </is>
      </c>
      <c r="E6" s="807" t="inlineStr">
        <is>
          <t>UK_Filiale</t>
        </is>
      </c>
      <c r="F6" s="807" t="inlineStr">
        <is>
          <t>D30</t>
        </is>
      </c>
      <c r="G6" s="861">
        <f>UK_Filiale!D30*PQ_TAUX_CHANGE!F7</f>
        <v/>
      </c>
      <c r="H6" s="807" t="inlineStr">
        <is>
          <t>×1.1650 Tx moy.</t>
        </is>
      </c>
      <c r="I6" s="807" t="inlineStr">
        <is>
          <t>IAS 21 §39</t>
        </is>
      </c>
      <c r="J6" s="807" t="inlineStr">
        <is>
          <t>🔴 Critique</t>
        </is>
      </c>
      <c r="K6" s="808" t="inlineStr">
        <is>
          <t>CA UK converti EUR au taux moyen</t>
        </is>
      </c>
      <c r="L6" s="16" t="n"/>
    </row>
    <row r="7">
      <c r="A7" s="867" t="n">
        <v>4</v>
      </c>
      <c r="B7" s="807" t="inlineStr">
        <is>
          <t>CONSOL_CR</t>
        </is>
      </c>
      <c r="C7" s="807" t="inlineStr">
        <is>
          <t>G7</t>
        </is>
      </c>
      <c r="D7" s="807" t="inlineStr">
        <is>
          <t>CA US_Filiale (EUR)</t>
        </is>
      </c>
      <c r="E7" s="807" t="inlineStr">
        <is>
          <t>US_Filiale</t>
        </is>
      </c>
      <c r="F7" s="807" t="inlineStr">
        <is>
          <t>D30</t>
        </is>
      </c>
      <c r="G7" s="861">
        <f>US_Filiale!D30*PQ_TAUX_CHANGE!F11</f>
        <v/>
      </c>
      <c r="H7" s="807" t="inlineStr">
        <is>
          <t>×0.9250 Tx moy.</t>
        </is>
      </c>
      <c r="I7" s="807" t="inlineStr">
        <is>
          <t>IAS 21 §39</t>
        </is>
      </c>
      <c r="J7" s="807" t="inlineStr">
        <is>
          <t>🔴 Critique</t>
        </is>
      </c>
      <c r="K7" s="808" t="inlineStr">
        <is>
          <t>CA US converti EUR au taux moyen</t>
        </is>
      </c>
      <c r="L7" s="16" t="n"/>
    </row>
    <row r="8">
      <c r="A8" s="867" t="n">
        <v>5</v>
      </c>
      <c r="B8" s="807" t="inlineStr">
        <is>
          <t>CONSOL_CR</t>
        </is>
      </c>
      <c r="C8" s="807" t="inlineStr">
        <is>
          <t>H7</t>
        </is>
      </c>
      <c r="D8" s="807" t="inlineStr">
        <is>
          <t>CA SG_Filiale (EUR)</t>
        </is>
      </c>
      <c r="E8" s="807" t="inlineStr">
        <is>
          <t>SG_Filiale</t>
        </is>
      </c>
      <c r="F8" s="807" t="inlineStr">
        <is>
          <t>D30</t>
        </is>
      </c>
      <c r="G8" s="861">
        <f>SG_Filiale!D30*PQ_TAUX_CHANGE!F14</f>
        <v/>
      </c>
      <c r="H8" s="807" t="inlineStr">
        <is>
          <t>×0.6820 Tx moy.</t>
        </is>
      </c>
      <c r="I8" s="807" t="inlineStr">
        <is>
          <t>IAS 21 §39</t>
        </is>
      </c>
      <c r="J8" s="807" t="inlineStr">
        <is>
          <t>🔴 Critique</t>
        </is>
      </c>
      <c r="K8" s="808" t="inlineStr">
        <is>
          <t>CA SG converti EUR au taux moyen</t>
        </is>
      </c>
      <c r="L8" s="16" t="n"/>
    </row>
    <row r="9">
      <c r="A9" s="867" t="n">
        <v>6</v>
      </c>
      <c r="B9" s="807" t="inlineStr">
        <is>
          <t>CONSOL_CR</t>
        </is>
      </c>
      <c r="C9" s="807" t="inlineStr">
        <is>
          <t>I7</t>
        </is>
      </c>
      <c r="D9" s="807" t="inlineStr">
        <is>
          <t>Éliminations IC CA</t>
        </is>
      </c>
      <c r="E9" s="807" t="inlineStr">
        <is>
          <t>ELIM</t>
        </is>
      </c>
      <c r="F9" s="807" t="inlineStr">
        <is>
          <t>I13</t>
        </is>
      </c>
      <c r="G9" s="861">
        <f>-ELIM!I13</f>
        <v/>
      </c>
      <c r="H9" s="807" t="inlineStr">
        <is>
          <t>Négatif</t>
        </is>
      </c>
      <c r="I9" s="807" t="inlineStr">
        <is>
          <t>IFRS 10</t>
        </is>
      </c>
      <c r="J9" s="807" t="inlineStr">
        <is>
          <t>🔴 Critique</t>
        </is>
      </c>
      <c r="K9" s="808" t="inlineStr">
        <is>
          <t>Neutralisation CA interco</t>
        </is>
      </c>
      <c r="L9" s="16" t="n"/>
    </row>
    <row r="10">
      <c r="A10" s="867" t="n">
        <v>7</v>
      </c>
      <c r="B10" s="807" t="inlineStr">
        <is>
          <t>CONSOL_CR</t>
        </is>
      </c>
      <c r="C10" s="807" t="inlineStr">
        <is>
          <t>K7</t>
        </is>
      </c>
      <c r="D10" s="807" t="inlineStr">
        <is>
          <t>CA CONSOLIDÉ</t>
        </is>
      </c>
      <c r="E10" s="807" t="inlineStr">
        <is>
          <t>CONSOL_CR</t>
        </is>
      </c>
      <c r="F10" s="807" t="inlineStr">
        <is>
          <t>K7</t>
        </is>
      </c>
      <c r="G10" s="861">
        <f>CONSOL_CR!K7</f>
        <v/>
      </c>
      <c r="H10" s="807" t="inlineStr">
        <is>
          <t>Agrégé</t>
        </is>
      </c>
      <c r="I10" s="807" t="inlineStr">
        <is>
          <t>IFRS 18</t>
        </is>
      </c>
      <c r="J10" s="807" t="inlineStr">
        <is>
          <t>🔴 Critique</t>
        </is>
      </c>
      <c r="K10" s="808" t="inlineStr">
        <is>
          <t>Total CA groupe consolidé</t>
        </is>
      </c>
      <c r="L10" s="16" t="n"/>
    </row>
    <row r="11">
      <c r="A11" s="867" t="n">
        <v>8</v>
      </c>
      <c r="B11" s="807" t="inlineStr">
        <is>
          <t>CONSOL_CR</t>
        </is>
      </c>
      <c r="C11" s="807" t="inlineStr">
        <is>
          <t>K14</t>
        </is>
      </c>
      <c r="D11" s="807" t="inlineStr">
        <is>
          <t>EBIT CONSOLIDÉ</t>
        </is>
      </c>
      <c r="E11" s="807" t="inlineStr">
        <is>
          <t>CONSOL_CR</t>
        </is>
      </c>
      <c r="F11" s="807" t="inlineStr">
        <is>
          <t>K14</t>
        </is>
      </c>
      <c r="G11" s="861">
        <f>CONSOL_CR!K14</f>
        <v/>
      </c>
      <c r="H11" s="807" t="inlineStr">
        <is>
          <t>Agrégé</t>
        </is>
      </c>
      <c r="I11" s="807" t="inlineStr">
        <is>
          <t>IFRS 18 §55</t>
        </is>
      </c>
      <c r="J11" s="807" t="inlineStr">
        <is>
          <t>🔴 Critique</t>
        </is>
      </c>
      <c r="K11" s="808" t="inlineStr">
        <is>
          <t>Résultat opérationnel</t>
        </is>
      </c>
      <c r="L11" s="16" t="n"/>
    </row>
    <row r="12">
      <c r="A12" s="867" t="n">
        <v>9</v>
      </c>
      <c r="B12" s="807" t="inlineStr">
        <is>
          <t>CONSOL_CR</t>
        </is>
      </c>
      <c r="C12" s="807" t="inlineStr">
        <is>
          <t>K19</t>
        </is>
      </c>
      <c r="D12" s="807" t="inlineStr">
        <is>
          <t>Résultat Invest.</t>
        </is>
      </c>
      <c r="E12" s="807" t="inlineStr">
        <is>
          <t>CONSOL_CR</t>
        </is>
      </c>
      <c r="F12" s="807" t="inlineStr">
        <is>
          <t>K19</t>
        </is>
      </c>
      <c r="G12" s="861">
        <f>CONSOL_CR!K19</f>
        <v/>
      </c>
      <c r="H12" s="807" t="inlineStr">
        <is>
          <t>Agrégé</t>
        </is>
      </c>
      <c r="I12" s="807" t="inlineStr">
        <is>
          <t>IFRS 18 §68</t>
        </is>
      </c>
      <c r="J12" s="807" t="inlineStr">
        <is>
          <t>🔴 Critique</t>
        </is>
      </c>
      <c r="K12" s="808" t="inlineStr">
        <is>
          <t>Catégorie ② Investissement</t>
        </is>
      </c>
      <c r="L12" s="16" t="n"/>
    </row>
    <row r="13">
      <c r="A13" s="867" t="n">
        <v>10</v>
      </c>
      <c r="B13" s="807" t="inlineStr">
        <is>
          <t>CONSOL_CR</t>
        </is>
      </c>
      <c r="C13" s="807" t="inlineStr">
        <is>
          <t>K24</t>
        </is>
      </c>
      <c r="D13" s="807" t="inlineStr">
        <is>
          <t>Profit avt Fin/IS</t>
        </is>
      </c>
      <c r="E13" s="807" t="inlineStr">
        <is>
          <t>CONSOL_CR</t>
        </is>
      </c>
      <c r="F13" s="807" t="inlineStr">
        <is>
          <t>K24</t>
        </is>
      </c>
      <c r="G13" s="861">
        <f>CONSOL_CR!K24</f>
        <v/>
      </c>
      <c r="H13" s="807" t="inlineStr">
        <is>
          <t>Agrégé</t>
        </is>
      </c>
      <c r="I13" s="807" t="inlineStr">
        <is>
          <t>IFRS 18 §65</t>
        </is>
      </c>
      <c r="J13" s="807" t="inlineStr">
        <is>
          <t>🔴 Critique</t>
        </is>
      </c>
      <c r="K13" s="808" t="inlineStr">
        <is>
          <t>🆕 NOUVEAU sous-total IFRS 18</t>
        </is>
      </c>
      <c r="L13" s="16" t="n"/>
    </row>
    <row r="14">
      <c r="A14" s="867" t="n">
        <v>11</v>
      </c>
      <c r="B14" s="807" t="inlineStr">
        <is>
          <t>CONSOL_BILAN</t>
        </is>
      </c>
      <c r="C14" s="807" t="inlineStr">
        <is>
          <t>C6</t>
        </is>
      </c>
      <c r="D14" s="807" t="inlineStr">
        <is>
          <t>GW net FR</t>
        </is>
      </c>
      <c r="E14" s="807" t="inlineStr">
        <is>
          <t>FR_ParentCo</t>
        </is>
      </c>
      <c r="F14" s="807" t="inlineStr">
        <is>
          <t>D16</t>
        </is>
      </c>
      <c r="G14" s="861">
        <f>FR_ParentCo!D16</f>
        <v/>
      </c>
      <c r="H14" s="807" t="inlineStr">
        <is>
          <t>Aucune</t>
        </is>
      </c>
      <c r="I14" s="807" t="inlineStr">
        <is>
          <t>IFRS 3</t>
        </is>
      </c>
      <c r="J14" s="807" t="inlineStr">
        <is>
          <t>🔴 Critique</t>
        </is>
      </c>
      <c r="K14" s="808" t="inlineStr">
        <is>
          <t>Goodwill net société mère</t>
        </is>
      </c>
      <c r="L14" s="16" t="n"/>
    </row>
    <row r="15">
      <c r="A15" s="867" t="n">
        <v>12</v>
      </c>
      <c r="B15" s="807" t="inlineStr">
        <is>
          <t>CONSOL_BILAN</t>
        </is>
      </c>
      <c r="C15" s="807" t="inlineStr">
        <is>
          <t>D6</t>
        </is>
      </c>
      <c r="D15" s="807" t="inlineStr">
        <is>
          <t>GW net DE</t>
        </is>
      </c>
      <c r="E15" s="807" t="inlineStr">
        <is>
          <t>DE_Filiale</t>
        </is>
      </c>
      <c r="F15" s="807" t="inlineStr">
        <is>
          <t>D16</t>
        </is>
      </c>
      <c r="G15" s="861">
        <f>DE_Filiale!D16</f>
        <v/>
      </c>
      <c r="H15" s="807" t="inlineStr">
        <is>
          <t>Aucune (EUR)</t>
        </is>
      </c>
      <c r="I15" s="807" t="inlineStr">
        <is>
          <t>IFRS 3</t>
        </is>
      </c>
      <c r="J15" s="807" t="inlineStr">
        <is>
          <t>🔴 Critique</t>
        </is>
      </c>
      <c r="K15" s="808" t="inlineStr">
        <is>
          <t>Goodwill net DE</t>
        </is>
      </c>
      <c r="L15" s="16" t="n"/>
    </row>
    <row r="16">
      <c r="A16" s="867" t="n">
        <v>13</v>
      </c>
      <c r="B16" s="807" t="inlineStr">
        <is>
          <t>CONSOL_BILAN</t>
        </is>
      </c>
      <c r="C16" s="807" t="inlineStr">
        <is>
          <t>E6</t>
        </is>
      </c>
      <c r="D16" s="807" t="inlineStr">
        <is>
          <t>GW net UK (EUR)</t>
        </is>
      </c>
      <c r="E16" s="807" t="inlineStr">
        <is>
          <t>UK_Filiale</t>
        </is>
      </c>
      <c r="F16" s="807" t="inlineStr">
        <is>
          <t>C16</t>
        </is>
      </c>
      <c r="G16" s="861">
        <f>UK_Filiale!D16*PQ_TAUX_CHANGE!F6</f>
        <v/>
      </c>
      <c r="H16" s="807" t="inlineStr">
        <is>
          <t>×1.1650 Tx clôt.</t>
        </is>
      </c>
      <c r="I16" s="807" t="inlineStr">
        <is>
          <t>IAS 21 §23</t>
        </is>
      </c>
      <c r="J16" s="807" t="inlineStr">
        <is>
          <t>🔴 Critique</t>
        </is>
      </c>
      <c r="K16" s="808" t="inlineStr">
        <is>
          <t>GW UK converti au taux de clôture</t>
        </is>
      </c>
      <c r="L16" s="16" t="n"/>
    </row>
    <row r="17">
      <c r="A17" s="867" t="n">
        <v>14</v>
      </c>
      <c r="B17" s="807" t="inlineStr">
        <is>
          <t>CONSOL_BILAN</t>
        </is>
      </c>
      <c r="C17" s="807" t="inlineStr">
        <is>
          <t>F6</t>
        </is>
      </c>
      <c r="D17" s="807" t="inlineStr">
        <is>
          <t>GW net US (EUR)</t>
        </is>
      </c>
      <c r="E17" s="807" t="inlineStr">
        <is>
          <t>US_Filiale</t>
        </is>
      </c>
      <c r="F17" s="807" t="inlineStr">
        <is>
          <t>C16</t>
        </is>
      </c>
      <c r="G17" s="861">
        <f>US_Filiale!D16*PQ_TAUX_CHANGE!F10</f>
        <v/>
      </c>
      <c r="H17" s="807" t="inlineStr">
        <is>
          <t>×0.9180 Tx clôt.</t>
        </is>
      </c>
      <c r="I17" s="807" t="inlineStr">
        <is>
          <t>IAS 21 §23</t>
        </is>
      </c>
      <c r="J17" s="807" t="inlineStr">
        <is>
          <t>🔴 Critique</t>
        </is>
      </c>
      <c r="K17" s="808" t="inlineStr">
        <is>
          <t>GW US converti au taux de clôture</t>
        </is>
      </c>
      <c r="L17" s="16" t="n"/>
    </row>
    <row r="18">
      <c r="A18" s="867" t="n">
        <v>15</v>
      </c>
      <c r="B18" s="807" t="inlineStr">
        <is>
          <t>CONSOL_BILAN</t>
        </is>
      </c>
      <c r="C18" s="807" t="inlineStr">
        <is>
          <t>G6</t>
        </is>
      </c>
      <c r="D18" s="807" t="inlineStr">
        <is>
          <t>GW net SG (EUR)</t>
        </is>
      </c>
      <c r="E18" s="807" t="inlineStr">
        <is>
          <t>SG_Filiale</t>
        </is>
      </c>
      <c r="F18" s="807" t="inlineStr">
        <is>
          <t>C16</t>
        </is>
      </c>
      <c r="G18" s="861">
        <f>SG_Filiale!D16*PQ_TAUX_CHANGE!F13</f>
        <v/>
      </c>
      <c r="H18" s="807" t="inlineStr">
        <is>
          <t>×0.6780 Tx clôt.</t>
        </is>
      </c>
      <c r="I18" s="807" t="inlineStr">
        <is>
          <t>IAS 21 §23</t>
        </is>
      </c>
      <c r="J18" s="807" t="inlineStr">
        <is>
          <t>🔴 Critique</t>
        </is>
      </c>
      <c r="K18" s="808" t="inlineStr">
        <is>
          <t>GW SG converti au taux de clôture</t>
        </is>
      </c>
      <c r="L18" s="16" t="n"/>
    </row>
    <row r="19">
      <c r="A19" s="867" t="n">
        <v>16</v>
      </c>
      <c r="B19" s="807" t="inlineStr">
        <is>
          <t>CONSOL_BILAN</t>
        </is>
      </c>
      <c r="C19" s="807" t="inlineStr">
        <is>
          <t>I6</t>
        </is>
      </c>
      <c r="D19" s="807" t="inlineStr">
        <is>
          <t>Élim. Titres &amp; GW</t>
        </is>
      </c>
      <c r="E19" s="807" t="inlineStr">
        <is>
          <t>ELIM</t>
        </is>
      </c>
      <c r="F19" s="807" t="inlineStr">
        <is>
          <t>H21</t>
        </is>
      </c>
      <c r="G19" s="861">
        <f>-ELIM!D17</f>
        <v/>
      </c>
      <c r="H19" s="807" t="inlineStr">
        <is>
          <t>Négatif</t>
        </is>
      </c>
      <c r="I19" s="807" t="inlineStr">
        <is>
          <t>IFRS 3</t>
        </is>
      </c>
      <c r="J19" s="807" t="inlineStr">
        <is>
          <t>🔴 Critique</t>
        </is>
      </c>
      <c r="K19" s="808" t="inlineStr">
        <is>
          <t>Élimination titres participation</t>
        </is>
      </c>
      <c r="L19" s="16" t="n"/>
    </row>
    <row r="20">
      <c r="A20" s="867" t="n">
        <v>17</v>
      </c>
      <c r="B20" s="807" t="inlineStr">
        <is>
          <t>CONSOL_BILAN</t>
        </is>
      </c>
      <c r="C20" s="807" t="inlineStr">
        <is>
          <t>J6</t>
        </is>
      </c>
      <c r="D20" s="807" t="inlineStr">
        <is>
          <t>GW net consolidé</t>
        </is>
      </c>
      <c r="E20" s="807" t="inlineStr">
        <is>
          <t>CONSOL_BILAN</t>
        </is>
      </c>
      <c r="F20" s="807" t="inlineStr">
        <is>
          <t>J6</t>
        </is>
      </c>
      <c r="G20" s="861">
        <f>CONSOL_BILAN!J6</f>
        <v/>
      </c>
      <c r="H20" s="807" t="inlineStr">
        <is>
          <t>Agrégé</t>
        </is>
      </c>
      <c r="I20" s="807" t="inlineStr">
        <is>
          <t>IFRS 3</t>
        </is>
      </c>
      <c r="J20" s="807" t="inlineStr">
        <is>
          <t>🔴 Critique</t>
        </is>
      </c>
      <c r="K20" s="808" t="inlineStr">
        <is>
          <t>Goodwill groupe net</t>
        </is>
      </c>
      <c r="L20" s="16" t="n"/>
    </row>
    <row r="21">
      <c r="A21" s="867" t="n">
        <v>18</v>
      </c>
      <c r="B21" s="807" t="inlineStr">
        <is>
          <t>CONSOL_BILAN</t>
        </is>
      </c>
      <c r="C21" s="807" t="inlineStr">
        <is>
          <t>J18</t>
        </is>
      </c>
      <c r="D21" s="807" t="inlineStr">
        <is>
          <t>Trésorerie consol.</t>
        </is>
      </c>
      <c r="E21" s="807" t="inlineStr">
        <is>
          <t>CONSOL_TRESORERIE</t>
        </is>
      </c>
      <c r="F21" s="807" t="inlineStr">
        <is>
          <t>C28</t>
        </is>
      </c>
      <c r="G21" s="861">
        <f>CONSOL_TRESORERIE!C28</f>
        <v/>
      </c>
      <c r="H21" s="807" t="inlineStr">
        <is>
          <t>Contrôle croisé</t>
        </is>
      </c>
      <c r="I21" s="807" t="inlineStr">
        <is>
          <t>IAS 7</t>
        </is>
      </c>
      <c r="J21" s="807" t="inlineStr">
        <is>
          <t>🔴 Critique</t>
        </is>
      </c>
      <c r="K21" s="808" t="inlineStr">
        <is>
          <t>Doit = Tréso clôture TFT</t>
        </is>
      </c>
      <c r="L21" s="16" t="n"/>
    </row>
    <row r="22">
      <c r="A22" s="867" t="n">
        <v>19</v>
      </c>
      <c r="B22" s="807" t="inlineStr">
        <is>
          <t>CONSOL_BILAN</t>
        </is>
      </c>
      <c r="C22" s="807" t="inlineStr">
        <is>
          <t>J20</t>
        </is>
      </c>
      <c r="D22" s="807" t="inlineStr">
        <is>
          <t>TOTAL ACTIF</t>
        </is>
      </c>
      <c r="E22" s="807" t="inlineStr">
        <is>
          <t>CONSOL_BILAN</t>
        </is>
      </c>
      <c r="F22" s="807" t="inlineStr">
        <is>
          <t>J20</t>
        </is>
      </c>
      <c r="G22" s="861">
        <f>CONSOL_BILAN!J20</f>
        <v/>
      </c>
      <c r="H22" s="807" t="inlineStr">
        <is>
          <t>Contrôle</t>
        </is>
      </c>
      <c r="I22" s="807" t="inlineStr">
        <is>
          <t>IAS 1</t>
        </is>
      </c>
      <c r="J22" s="807" t="inlineStr">
        <is>
          <t>🔴 Critique</t>
        </is>
      </c>
      <c r="K22" s="808" t="inlineStr">
        <is>
          <t>Doit = Total Passif (J41)</t>
        </is>
      </c>
      <c r="L22" s="16" t="n"/>
    </row>
    <row r="23">
      <c r="A23" s="867" t="n">
        <v>20</v>
      </c>
      <c r="B23" s="807" t="inlineStr">
        <is>
          <t>CONSOL_BILAN</t>
        </is>
      </c>
      <c r="C23" s="807" t="inlineStr">
        <is>
          <t>J41</t>
        </is>
      </c>
      <c r="D23" s="807" t="inlineStr">
        <is>
          <t>TOTAL PASSIF</t>
        </is>
      </c>
      <c r="E23" s="807" t="inlineStr">
        <is>
          <t>CONSOL_BILAN</t>
        </is>
      </c>
      <c r="F23" s="807" t="inlineStr">
        <is>
          <t>J41</t>
        </is>
      </c>
      <c r="G23" s="861">
        <f>CONSOL_BILAN!J41</f>
        <v/>
      </c>
      <c r="H23" s="807" t="inlineStr">
        <is>
          <t>Contrôle</t>
        </is>
      </c>
      <c r="I23" s="807" t="inlineStr">
        <is>
          <t>IAS 1</t>
        </is>
      </c>
      <c r="J23" s="807" t="inlineStr">
        <is>
          <t>🔴 Critique</t>
        </is>
      </c>
      <c r="K23" s="808" t="inlineStr">
        <is>
          <t>Doit = Total Actif (J20)</t>
        </is>
      </c>
      <c r="L23" s="16" t="n"/>
    </row>
    <row r="24">
      <c r="A24" s="867" t="n">
        <v>21</v>
      </c>
      <c r="B24" s="807" t="inlineStr">
        <is>
          <t>CONSOL_BILAN</t>
        </is>
      </c>
      <c r="C24" s="807" t="inlineStr">
        <is>
          <t>K24</t>
        </is>
      </c>
      <c r="D24" s="807" t="inlineStr">
        <is>
          <t>Résultat exercice</t>
        </is>
      </c>
      <c r="E24" s="807" t="inlineStr">
        <is>
          <t>CONSOL_CR</t>
        </is>
      </c>
      <c r="F24" s="807" t="inlineStr">
        <is>
          <t>K30</t>
        </is>
      </c>
      <c r="G24" s="861">
        <f>CONSOL_CR!K30</f>
        <v/>
      </c>
      <c r="H24" s="807" t="inlineStr">
        <is>
          <t>Lien direct</t>
        </is>
      </c>
      <c r="I24" s="807" t="inlineStr">
        <is>
          <t>IAS 1</t>
        </is>
      </c>
      <c r="J24" s="807" t="inlineStr">
        <is>
          <t>🔴 Critique</t>
        </is>
      </c>
      <c r="K24" s="808" t="inlineStr">
        <is>
          <t>Résultat net → Capitaux propres</t>
        </is>
      </c>
      <c r="L24" s="16" t="n"/>
    </row>
    <row r="25">
      <c r="A25" s="868" t="n">
        <v>22</v>
      </c>
      <c r="B25" s="809" t="inlineStr">
        <is>
          <t>CONSOL_BILAN</t>
        </is>
      </c>
      <c r="C25" s="809" t="inlineStr">
        <is>
          <t>K27</t>
        </is>
      </c>
      <c r="D25" s="809" t="inlineStr">
        <is>
          <t>NCI Bilan</t>
        </is>
      </c>
      <c r="E25" s="809" t="inlineStr">
        <is>
          <t>PQ_DETENTION</t>
        </is>
      </c>
      <c r="F25" s="809" t="inlineStr">
        <is>
          <t>D17</t>
        </is>
      </c>
      <c r="G25" s="862">
        <f>PQ_DETENTION!D17</f>
        <v/>
      </c>
      <c r="H25" s="809" t="inlineStr">
        <is>
          <t>Calculé</t>
        </is>
      </c>
      <c r="I25" s="809" t="inlineStr">
        <is>
          <t>IFRS 10</t>
        </is>
      </c>
      <c r="J25" s="809" t="inlineStr">
        <is>
          <t>🔴 Critique</t>
        </is>
      </c>
      <c r="K25" s="810" t="inlineStr">
        <is>
          <t>Intérêts minoritaires au bilan</t>
        </is>
      </c>
      <c r="L25" s="16" t="n"/>
    </row>
    <row r="26">
      <c r="A26" s="869" t="n">
        <v>23</v>
      </c>
      <c r="B26" s="123" t="inlineStr">
        <is>
          <t>CONSOL_TRESORERIE</t>
        </is>
      </c>
      <c r="C26" s="123" t="inlineStr">
        <is>
          <t>C6</t>
        </is>
      </c>
      <c r="D26" s="123" t="inlineStr">
        <is>
          <t>Résultat net départ</t>
        </is>
      </c>
      <c r="E26" s="123" t="inlineStr">
        <is>
          <t>CONSOL_CR</t>
        </is>
      </c>
      <c r="F26" s="123" t="inlineStr">
        <is>
          <t>K30</t>
        </is>
      </c>
      <c r="G26" s="863">
        <f>CONSOL_CR!K30</f>
        <v/>
      </c>
      <c r="H26" s="123" t="inlineStr">
        <is>
          <t>Lien direct</t>
        </is>
      </c>
      <c r="I26" s="123" t="inlineStr">
        <is>
          <t>IAS 7 §20</t>
        </is>
      </c>
      <c r="J26" s="123" t="inlineStr">
        <is>
          <t>🔴 Critique</t>
        </is>
      </c>
      <c r="K26" s="123" t="inlineStr">
        <is>
          <t>Point de départ méthode indirecte</t>
        </is>
      </c>
      <c r="L26" s="16" t="n"/>
    </row>
    <row r="27">
      <c r="A27" s="869" t="n">
        <v>24</v>
      </c>
      <c r="B27" s="123" t="inlineStr">
        <is>
          <t>CONSOL_TRESORERIE</t>
        </is>
      </c>
      <c r="C27" s="123" t="inlineStr">
        <is>
          <t>C12</t>
        </is>
      </c>
      <c r="D27" s="123" t="inlineStr">
        <is>
          <t>Amortissements add-back</t>
        </is>
      </c>
      <c r="E27" s="123" t="inlineStr">
        <is>
          <t>CONSOL_CR</t>
        </is>
      </c>
      <c r="F27" s="123" t="inlineStr">
        <is>
          <t>K12</t>
        </is>
      </c>
      <c r="G27" s="863">
        <f>-CONSOL_CR!K12</f>
        <v/>
      </c>
      <c r="H27" s="123" t="inlineStr">
        <is>
          <t>Signe inversé</t>
        </is>
      </c>
      <c r="I27" s="123" t="inlineStr">
        <is>
          <t>IAS 7 §20</t>
        </is>
      </c>
      <c r="J27" s="123" t="inlineStr">
        <is>
          <t>🔴 Critique</t>
        </is>
      </c>
      <c r="K27" s="123" t="inlineStr">
        <is>
          <t>Amort. charges → flux positif TFT</t>
        </is>
      </c>
      <c r="L27" s="16" t="n"/>
    </row>
    <row r="28">
      <c r="A28" s="870" t="n">
        <v>25</v>
      </c>
      <c r="B28" s="84" t="inlineStr">
        <is>
          <t>CONSOL_TRESORERIE</t>
        </is>
      </c>
      <c r="C28" s="84" t="inlineStr">
        <is>
          <t>C14</t>
        </is>
      </c>
      <c r="D28" s="84" t="inlineStr">
        <is>
          <t>CAPEX</t>
        </is>
      </c>
      <c r="E28" s="84" t="inlineStr">
        <is>
          <t>CONSOL_CR</t>
        </is>
      </c>
      <c r="F28" s="84" t="inlineStr">
        <is>
          <t>—</t>
        </is>
      </c>
      <c r="G28" s="864">
        <f>-48200</f>
        <v/>
      </c>
      <c r="H28" s="84" t="inlineStr">
        <is>
          <t>Référence</t>
        </is>
      </c>
      <c r="I28" s="84" t="inlineStr">
        <is>
          <t>IAS 7 §16</t>
        </is>
      </c>
      <c r="J28" s="84" t="inlineStr">
        <is>
          <t>🟠 Important</t>
        </is>
      </c>
      <c r="K28" s="84" t="inlineStr">
        <is>
          <t>Acquisitions d'actifs (valeur saisie)</t>
        </is>
      </c>
      <c r="L28" s="16" t="n"/>
    </row>
    <row r="29">
      <c r="A29" s="869" t="n">
        <v>26</v>
      </c>
      <c r="B29" s="123" t="inlineStr">
        <is>
          <t>CONSOL_TRESORERIE</t>
        </is>
      </c>
      <c r="C29" s="123" t="inlineStr">
        <is>
          <t>C28</t>
        </is>
      </c>
      <c r="D29" s="123" t="inlineStr">
        <is>
          <t>Tréso clôture</t>
        </is>
      </c>
      <c r="E29" s="123" t="inlineStr">
        <is>
          <t>CONSOL_BILAN</t>
        </is>
      </c>
      <c r="F29" s="123" t="inlineStr">
        <is>
          <t>J18</t>
        </is>
      </c>
      <c r="G29" s="863">
        <f>CONSOL_BILAN!J18</f>
        <v/>
      </c>
      <c r="H29" s="123" t="inlineStr">
        <is>
          <t>Contrôle croisé</t>
        </is>
      </c>
      <c r="I29" s="123" t="inlineStr">
        <is>
          <t>IAS 7 §45</t>
        </is>
      </c>
      <c r="J29" s="123" t="inlineStr">
        <is>
          <t>🔴 Critique</t>
        </is>
      </c>
      <c r="K29" s="123" t="inlineStr">
        <is>
          <t>Contrôle bilan = TFT</t>
        </is>
      </c>
      <c r="L29" s="16" t="n"/>
    </row>
    <row r="30">
      <c r="A30" s="870" t="n">
        <v>27</v>
      </c>
      <c r="B30" s="84" t="inlineStr">
        <is>
          <t>DASHBOARD_FIN</t>
        </is>
      </c>
      <c r="C30" s="84" t="inlineStr">
        <is>
          <t>C6</t>
        </is>
      </c>
      <c r="D30" s="84" t="inlineStr">
        <is>
          <t>KPI CA groupe</t>
        </is>
      </c>
      <c r="E30" s="84" t="inlineStr">
        <is>
          <t>CONSOL_CR</t>
        </is>
      </c>
      <c r="F30" s="84" t="inlineStr">
        <is>
          <t>K7</t>
        </is>
      </c>
      <c r="G30" s="864">
        <f>CONSOL_CR!K7</f>
        <v/>
      </c>
      <c r="H30" s="84" t="inlineStr">
        <is>
          <t>Lien direct</t>
        </is>
      </c>
      <c r="I30" s="84" t="inlineStr">
        <is>
          <t>IFRS 15</t>
        </is>
      </c>
      <c r="J30" s="84" t="inlineStr">
        <is>
          <t>🟠 Important</t>
        </is>
      </c>
      <c r="K30" s="84" t="inlineStr">
        <is>
          <t>Carte KPI principale</t>
        </is>
      </c>
      <c r="L30" s="16" t="n"/>
    </row>
    <row r="31">
      <c r="A31" s="870" t="n">
        <v>28</v>
      </c>
      <c r="B31" s="84" t="inlineStr">
        <is>
          <t>DASHBOARD_FIN</t>
        </is>
      </c>
      <c r="C31" s="84" t="inlineStr">
        <is>
          <t>C7</t>
        </is>
      </c>
      <c r="D31" s="84" t="inlineStr">
        <is>
          <t>KPI EBIT</t>
        </is>
      </c>
      <c r="E31" s="84" t="inlineStr">
        <is>
          <t>CONSOL_CR</t>
        </is>
      </c>
      <c r="F31" s="84" t="inlineStr">
        <is>
          <t>K14</t>
        </is>
      </c>
      <c r="G31" s="864">
        <f>CONSOL_CR!K14</f>
        <v/>
      </c>
      <c r="H31" s="84" t="inlineStr">
        <is>
          <t>Lien direct</t>
        </is>
      </c>
      <c r="I31" s="84" t="inlineStr">
        <is>
          <t>IFRS 18</t>
        </is>
      </c>
      <c r="J31" s="84" t="inlineStr">
        <is>
          <t>🟠 Important</t>
        </is>
      </c>
      <c r="K31" s="84" t="inlineStr">
        <is>
          <t>Carte KPI EBIT</t>
        </is>
      </c>
      <c r="L31" s="16" t="n"/>
    </row>
    <row r="32">
      <c r="A32" s="870" t="n">
        <v>29</v>
      </c>
      <c r="B32" s="84" t="inlineStr">
        <is>
          <t>DASHBOARD_FIN</t>
        </is>
      </c>
      <c r="C32" s="84" t="inlineStr">
        <is>
          <t>C11</t>
        </is>
      </c>
      <c r="D32" s="84" t="inlineStr">
        <is>
          <t>EBITDA</t>
        </is>
      </c>
      <c r="E32" s="84" t="inlineStr">
        <is>
          <t>CONSOL_CR</t>
        </is>
      </c>
      <c r="F32" s="84" t="inlineStr">
        <is>
          <t>—</t>
        </is>
      </c>
      <c r="G32" s="864">
        <f>CONSOL_CR!K14-CONSOL_CR!K12</f>
        <v/>
      </c>
      <c r="H32" s="84" t="inlineStr">
        <is>
          <t>Calcul</t>
        </is>
      </c>
      <c r="I32" s="84" t="inlineStr">
        <is>
          <t>IFRS 18 MPM</t>
        </is>
      </c>
      <c r="J32" s="84" t="inlineStr">
        <is>
          <t>🟠 Important</t>
        </is>
      </c>
      <c r="K32" s="84" t="inlineStr">
        <is>
          <t>EBIT + amort.</t>
        </is>
      </c>
      <c r="L32" s="16" t="n"/>
    </row>
    <row r="33">
      <c r="A33" s="869" t="n">
        <v>30</v>
      </c>
      <c r="B33" s="123" t="inlineStr">
        <is>
          <t>DASHBOARD_FIN</t>
        </is>
      </c>
      <c r="C33" s="123" t="inlineStr">
        <is>
          <t>E24</t>
        </is>
      </c>
      <c r="D33" s="123" t="inlineStr">
        <is>
          <t>Profit avt Fin&amp;IS</t>
        </is>
      </c>
      <c r="E33" s="123" t="inlineStr">
        <is>
          <t>CONSOL_CR</t>
        </is>
      </c>
      <c r="F33" s="123" t="inlineStr">
        <is>
          <t>K24</t>
        </is>
      </c>
      <c r="G33" s="863">
        <f>CONSOL_CR!K24</f>
        <v/>
      </c>
      <c r="H33" s="123" t="inlineStr">
        <is>
          <t>Lien direct</t>
        </is>
      </c>
      <c r="I33" s="123" t="inlineStr">
        <is>
          <t>IFRS 18 §65</t>
        </is>
      </c>
      <c r="J33" s="123" t="inlineStr">
        <is>
          <t>🔴 Critique</t>
        </is>
      </c>
      <c r="K33" s="123" t="inlineStr">
        <is>
          <t>🆕 Sous-total IFRS 18 obligatoire</t>
        </is>
      </c>
      <c r="L33" s="16" t="n"/>
    </row>
    <row r="34">
      <c r="A34" s="871" t="n">
        <v>31</v>
      </c>
      <c r="B34" s="52" t="inlineStr">
        <is>
          <t>DASHBOARD_FIN</t>
        </is>
      </c>
      <c r="C34" s="52" t="inlineStr">
        <is>
          <t>C31</t>
        </is>
      </c>
      <c r="D34" s="52" t="inlineStr">
        <is>
          <t>NCI Résultat</t>
        </is>
      </c>
      <c r="E34" s="52" t="inlineStr">
        <is>
          <t>PQ_DETENTION</t>
        </is>
      </c>
      <c r="F34" s="52" t="inlineStr">
        <is>
          <t>F17</t>
        </is>
      </c>
      <c r="G34" s="865">
        <f>PQ_DETENTION!F17</f>
        <v/>
      </c>
      <c r="H34" s="52" t="inlineStr">
        <is>
          <t>Lien direct</t>
        </is>
      </c>
      <c r="I34" s="52" t="inlineStr">
        <is>
          <t>IFRS 10</t>
        </is>
      </c>
      <c r="J34" s="52" t="inlineStr">
        <is>
          <t>🟡 Standard</t>
        </is>
      </c>
      <c r="K34" s="52" t="inlineStr">
        <is>
          <t>Part minoritaires résultat</t>
        </is>
      </c>
      <c r="L34" s="16" t="n"/>
    </row>
    <row r="35">
      <c r="A35" s="870" t="n">
        <v>32</v>
      </c>
      <c r="B35" s="84" t="inlineStr">
        <is>
          <t>DASHBOARD_ESG</t>
        </is>
      </c>
      <c r="C35" s="84" t="inlineStr">
        <is>
          <t>C12</t>
        </is>
      </c>
      <c r="D35" s="84" t="inlineStr">
        <is>
          <t>Scope 1+2 CO₂</t>
        </is>
      </c>
      <c r="E35" s="84" t="inlineStr">
        <is>
          <t>ESG_DATA</t>
        </is>
      </c>
      <c r="F35" s="84" t="inlineStr">
        <is>
          <t>I6+I7</t>
        </is>
      </c>
      <c r="G35" s="864">
        <f>ESG_DATA!I6+ESG_DATA!I7</f>
        <v/>
      </c>
      <c r="H35" s="84" t="inlineStr">
        <is>
          <t>Agrégé</t>
        </is>
      </c>
      <c r="I35" s="84" t="inlineStr">
        <is>
          <t>ESRS E1-6</t>
        </is>
      </c>
      <c r="J35" s="84" t="inlineStr">
        <is>
          <t>🟠 Important</t>
        </is>
      </c>
      <c r="K35" s="84" t="inlineStr">
        <is>
          <t>Émissions GES Scope 1+2</t>
        </is>
      </c>
      <c r="L35" s="16" t="n"/>
    </row>
    <row r="36">
      <c r="A36" s="871" t="n">
        <v>33</v>
      </c>
      <c r="B36" s="52" t="inlineStr">
        <is>
          <t>DASHBOARD_ESG</t>
        </is>
      </c>
      <c r="C36" s="52" t="inlineStr">
        <is>
          <t>C21</t>
        </is>
      </c>
      <c r="D36" s="52" t="inlineStr">
        <is>
          <t>% Femmes total</t>
        </is>
      </c>
      <c r="E36" s="52" t="inlineStr">
        <is>
          <t>ESG_DATA</t>
        </is>
      </c>
      <c r="F36" s="52" t="inlineStr">
        <is>
          <t>J21</t>
        </is>
      </c>
      <c r="G36" s="866">
        <f>ESG_DATA!J21</f>
        <v/>
      </c>
      <c r="H36" s="52" t="inlineStr">
        <is>
          <t>Lien direct</t>
        </is>
      </c>
      <c r="I36" s="52" t="inlineStr">
        <is>
          <t>ESRS S1-9</t>
        </is>
      </c>
      <c r="J36" s="52" t="inlineStr">
        <is>
          <t>🟡 Standard</t>
        </is>
      </c>
      <c r="K36" s="52" t="inlineStr">
        <is>
          <t>Parité groupe</t>
        </is>
      </c>
      <c r="L36" s="16" t="n"/>
    </row>
    <row r="37">
      <c r="A37" s="871" t="n">
        <v>34</v>
      </c>
      <c r="B37" s="52" t="inlineStr">
        <is>
          <t>DASHBOARD_ESG</t>
        </is>
      </c>
      <c r="C37" s="52" t="inlineStr">
        <is>
          <t>C22</t>
        </is>
      </c>
      <c r="D37" s="52" t="inlineStr">
        <is>
          <t>% Femmes dirigeantes</t>
        </is>
      </c>
      <c r="E37" s="52" t="inlineStr">
        <is>
          <t>ESG_DATA</t>
        </is>
      </c>
      <c r="F37" s="52" t="inlineStr">
        <is>
          <t>J22</t>
        </is>
      </c>
      <c r="G37" s="866">
        <f>ESG_DATA!J22</f>
        <v/>
      </c>
      <c r="H37" s="52" t="inlineStr">
        <is>
          <t>Lien direct</t>
        </is>
      </c>
      <c r="I37" s="52" t="inlineStr">
        <is>
          <t>ESRS S1-9</t>
        </is>
      </c>
      <c r="J37" s="52" t="inlineStr">
        <is>
          <t>🟡 Standard</t>
        </is>
      </c>
      <c r="K37" s="52" t="inlineStr">
        <is>
          <t>Diversité direction</t>
        </is>
      </c>
      <c r="L37" s="16" t="n"/>
    </row>
    <row r="38">
      <c r="A38" s="869" t="n">
        <v>35</v>
      </c>
      <c r="B38" s="123" t="inlineStr">
        <is>
          <t>CONSOL_CR</t>
        </is>
      </c>
      <c r="C38" s="123" t="inlineStr">
        <is>
          <t>F7</t>
        </is>
      </c>
      <c r="D38" s="123" t="inlineStr">
        <is>
          <t>Taux moyen GBP</t>
        </is>
      </c>
      <c r="E38" s="123" t="inlineStr">
        <is>
          <t>PQ_TAUX_CHANGE</t>
        </is>
      </c>
      <c r="F38" s="123" t="inlineStr">
        <is>
          <t>F7</t>
        </is>
      </c>
      <c r="G38" s="863">
        <f>PQ_TAUX_CHANGE!F7</f>
        <v/>
      </c>
      <c r="H38" s="123" t="inlineStr">
        <is>
          <t>Paramètre</t>
        </is>
      </c>
      <c r="I38" s="123" t="inlineStr">
        <is>
          <t>IAS 21 §39</t>
        </is>
      </c>
      <c r="J38" s="123" t="inlineStr">
        <is>
          <t>🔴 Critique</t>
        </is>
      </c>
      <c r="K38" s="123" t="inlineStr">
        <is>
          <t>Centraliser le taux dans PQ_TAUX_CHANGE</t>
        </is>
      </c>
      <c r="L38" s="16" t="n"/>
    </row>
    <row r="39">
      <c r="A39" s="869" t="n">
        <v>36</v>
      </c>
      <c r="B39" s="123" t="inlineStr">
        <is>
          <t>CONSOL_BILAN</t>
        </is>
      </c>
      <c r="C39" s="123" t="inlineStr">
        <is>
          <t>E6</t>
        </is>
      </c>
      <c r="D39" s="123" t="inlineStr">
        <is>
          <t>Taux clôture GBP</t>
        </is>
      </c>
      <c r="E39" s="123" t="inlineStr">
        <is>
          <t>PQ_TAUX_CHANGE</t>
        </is>
      </c>
      <c r="F39" s="123" t="inlineStr">
        <is>
          <t>F6</t>
        </is>
      </c>
      <c r="G39" s="863">
        <f>PQ_TAUX_CHANGE!F6</f>
        <v/>
      </c>
      <c r="H39" s="123" t="inlineStr">
        <is>
          <t>Paramètre</t>
        </is>
      </c>
      <c r="I39" s="123" t="inlineStr">
        <is>
          <t>IAS 21 §23</t>
        </is>
      </c>
      <c r="J39" s="123" t="inlineStr">
        <is>
          <t>🔴 Critique</t>
        </is>
      </c>
      <c r="K39" s="123" t="inlineStr">
        <is>
          <t>Centraliser le taux dans PQ_TAUX_CHANGE</t>
        </is>
      </c>
      <c r="L39" s="16" t="n"/>
    </row>
    <row r="40">
      <c r="A40" s="869" t="n">
        <v>37</v>
      </c>
      <c r="B40" s="123" t="inlineStr">
        <is>
          <t>PQ_ELIMINATIONS</t>
        </is>
      </c>
      <c r="C40" s="123" t="inlineStr">
        <is>
          <t>I13</t>
        </is>
      </c>
      <c r="D40" s="123" t="inlineStr">
        <is>
          <t>Total élim. ventes</t>
        </is>
      </c>
      <c r="E40" s="123" t="inlineStr">
        <is>
          <t>ELIM</t>
        </is>
      </c>
      <c r="F40" s="123" t="inlineStr">
        <is>
          <t>I13</t>
        </is>
      </c>
      <c r="G40" s="863">
        <f>ELIM!I13</f>
        <v/>
      </c>
      <c r="H40" s="123" t="inlineStr">
        <is>
          <t>Lien direct</t>
        </is>
      </c>
      <c r="I40" s="123" t="inlineStr">
        <is>
          <t>IFRS 10</t>
        </is>
      </c>
      <c r="J40" s="123" t="inlineStr">
        <is>
          <t>🔴 Critique</t>
        </is>
      </c>
      <c r="K40" s="123" t="inlineStr">
        <is>
          <t>Contrôle vs table ELIM manuelle</t>
        </is>
      </c>
      <c r="L40" s="16" t="n"/>
    </row>
    <row r="41">
      <c r="A41" s="84" t="n">
        <v>38</v>
      </c>
      <c r="B41" s="84" t="inlineStr">
        <is>
          <t>NOTES_IFRS</t>
        </is>
      </c>
      <c r="C41" s="84" t="inlineStr">
        <is>
          <t>C14</t>
        </is>
      </c>
      <c r="D41" s="84" t="inlineStr">
        <is>
          <t>GW brut total</t>
        </is>
      </c>
      <c r="E41" s="84" t="inlineStr">
        <is>
          <t>ELIM</t>
        </is>
      </c>
      <c r="F41" s="84" t="inlineStr">
        <is>
          <t>D21</t>
        </is>
      </c>
      <c r="G41" s="124">
        <f>ELIM!D21</f>
        <v/>
      </c>
      <c r="H41" s="84" t="inlineStr">
        <is>
          <t>Lien direct</t>
        </is>
      </c>
      <c r="I41" s="84" t="inlineStr">
        <is>
          <t>IFRS 3</t>
        </is>
      </c>
      <c r="J41" s="84" t="inlineStr">
        <is>
          <t>🟠 Important</t>
        </is>
      </c>
      <c r="K41" s="84" t="inlineStr">
        <is>
          <t>Note 3 – Goodwill</t>
        </is>
      </c>
      <c r="L41" s="16" t="n"/>
    </row>
    <row r="42">
      <c r="A42" s="84" t="n">
        <v>39</v>
      </c>
      <c r="B42" s="84" t="inlineStr">
        <is>
          <t>NOTES_IFRS</t>
        </is>
      </c>
      <c r="C42" s="84" t="inlineStr">
        <is>
          <t>C15</t>
        </is>
      </c>
      <c r="D42" s="84" t="inlineStr">
        <is>
          <t>Dépréc. cumulée GW</t>
        </is>
      </c>
      <c r="E42" s="84" t="inlineStr">
        <is>
          <t>ELIM</t>
        </is>
      </c>
      <c r="F42" s="84" t="inlineStr">
        <is>
          <t>G21</t>
        </is>
      </c>
      <c r="G42" s="124">
        <f>ELIM!G21</f>
        <v/>
      </c>
      <c r="H42" s="84" t="inlineStr">
        <is>
          <t>Lien direct</t>
        </is>
      </c>
      <c r="I42" s="84" t="inlineStr">
        <is>
          <t>IAS 36</t>
        </is>
      </c>
      <c r="J42" s="84" t="inlineStr">
        <is>
          <t>🟠 Important</t>
        </is>
      </c>
      <c r="K42" s="84" t="inlineStr">
        <is>
          <t>Note 3 – Test dépréciation</t>
        </is>
      </c>
      <c r="L42" s="16" t="n"/>
    </row>
    <row r="43">
      <c r="A43" s="52" t="n">
        <v>40</v>
      </c>
      <c r="B43" s="52" t="inlineStr">
        <is>
          <t>NOTES_IFRS</t>
        </is>
      </c>
      <c r="C43" s="52" t="inlineStr">
        <is>
          <t>C30</t>
        </is>
      </c>
      <c r="D43" s="52" t="inlineStr">
        <is>
          <t>Obligation IAS 19 nette</t>
        </is>
      </c>
      <c r="E43" s="52" t="inlineStr">
        <is>
          <t>FR_ParentCo</t>
        </is>
      </c>
      <c r="F43" s="52" t="inlineStr">
        <is>
          <t>—</t>
        </is>
      </c>
      <c r="G43" s="125">
        <f>22400</f>
        <v/>
      </c>
      <c r="H43" s="52" t="inlineStr">
        <is>
          <t>Saisie</t>
        </is>
      </c>
      <c r="I43" s="52" t="inlineStr">
        <is>
          <t>IAS 19</t>
        </is>
      </c>
      <c r="J43" s="52" t="inlineStr">
        <is>
          <t>🟡 Standard</t>
        </is>
      </c>
      <c r="K43" s="52" t="inlineStr">
        <is>
          <t>Note 6 – Avantages personnel</t>
        </is>
      </c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>
      <c r="A46" s="593" t="inlineStr">
        <is>
          <t>📊 STATISTIQUES LIAISONS</t>
        </is>
      </c>
      <c r="L46" s="16" t="n"/>
    </row>
    <row r="47">
      <c r="A47" s="543" t="inlineStr">
        <is>
          <t>Total liaisons documentées</t>
        </is>
      </c>
      <c r="B47" s="543" t="inlineStr">
        <is>
          <t>Critiques 🔴</t>
        </is>
      </c>
      <c r="C47" s="543" t="inlineStr">
        <is>
          <t>Importantes 🟠</t>
        </is>
      </c>
      <c r="D47" s="543" t="inlineStr">
        <is>
          <t>Standard 🟡</t>
        </is>
      </c>
      <c r="E47" s="543" t="inlineStr">
        <is>
          <t>Onglets interconnectés</t>
        </is>
      </c>
      <c r="F47" s="16" t="n"/>
      <c r="G47" s="16" t="n"/>
      <c r="H47" s="16" t="n"/>
      <c r="I47" s="16" t="n"/>
      <c r="J47" s="16" t="n"/>
      <c r="K47" s="16" t="n"/>
      <c r="L47" s="16" t="n"/>
    </row>
    <row r="48">
      <c r="A48" s="52" t="n">
        <v>40</v>
      </c>
      <c r="B48" s="52" t="n">
        <v>29</v>
      </c>
      <c r="C48" s="52" t="n">
        <v>7</v>
      </c>
      <c r="D48" s="52" t="n">
        <v>4</v>
      </c>
      <c r="E48" s="52" t="n">
        <v>7</v>
      </c>
      <c r="F48" s="16" t="n"/>
      <c r="G48" s="16" t="n"/>
      <c r="H48" s="16" t="n"/>
      <c r="I48" s="16" t="n"/>
      <c r="J48" s="16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</row>
    <row r="102">
      <c r="A102" s="480" t="inlineStr">
        <is>
          <t>MODULE ESG – LIAISONS CARBONE / DIVERSITE / GOUVERNANCE (13 nouvelles)</t>
        </is>
      </c>
    </row>
    <row r="103">
      <c r="A103" s="145" t="inlineStr">
        <is>
          <t>#</t>
        </is>
      </c>
      <c r="B103" s="145" t="inlineStr">
        <is>
          <t>Origine</t>
        </is>
      </c>
      <c r="C103" s="145" t="inlineStr">
        <is>
          <t>Cell_Origine</t>
        </is>
      </c>
      <c r="D103" s="145" t="inlineStr">
        <is>
          <t>Formule</t>
        </is>
      </c>
      <c r="E103" s="145" t="inlineStr">
        <is>
          <t>Destination</t>
        </is>
      </c>
      <c r="F103" s="145" t="inlineStr">
        <is>
          <t>Cell_Dest</t>
        </is>
      </c>
      <c r="G103" s="145" t="inlineStr">
        <is>
          <t>Type_Conv</t>
        </is>
      </c>
      <c r="H103" s="145" t="inlineStr">
        <is>
          <t>Norme</t>
        </is>
      </c>
      <c r="I103" s="145" t="inlineStr">
        <is>
          <t>Criticite</t>
        </is>
      </c>
      <c r="J103" s="145" t="inlineStr">
        <is>
          <t>Notes_ESG</t>
        </is>
      </c>
      <c r="K103" s="145" t="inlineStr">
        <is>
          <t>Liaison_Sens</t>
        </is>
      </c>
      <c r="L103" s="145" t="inlineStr">
        <is>
          <t>Commentaire</t>
        </is>
      </c>
    </row>
    <row r="104">
      <c r="A104" t="n">
        <v>41</v>
      </c>
      <c r="B104" t="inlineStr">
        <is>
          <t>ESG_CARBONE</t>
        </is>
      </c>
      <c r="C104" t="inlineStr">
        <is>
          <t>B54</t>
        </is>
      </c>
    </row>
    <row r="107">
      <c r="A107" s="480" t="inlineStr">
        <is>
          <t>MODULE ESG – NOUVELLES LIAISONS CARBONE / DIVERSITE / GOUVERNANCE</t>
        </is>
      </c>
    </row>
    <row r="108">
      <c r="A108" s="597" t="inlineStr">
        <is>
          <t>Num</t>
        </is>
      </c>
      <c r="B108" s="597" t="inlineStr">
        <is>
          <t>Origine</t>
        </is>
      </c>
      <c r="C108" s="597" t="inlineStr">
        <is>
          <t>CellOrig</t>
        </is>
      </c>
      <c r="D108" s="597" t="inlineStr">
        <is>
          <t>Formule_Liaison</t>
        </is>
      </c>
      <c r="E108" s="597" t="inlineStr">
        <is>
          <t>Destination</t>
        </is>
      </c>
      <c r="F108" s="597" t="inlineStr">
        <is>
          <t>CellDest</t>
        </is>
      </c>
      <c r="G108" s="597" t="inlineStr">
        <is>
          <t>Type</t>
        </is>
      </c>
      <c r="H108" s="597" t="inlineStr">
        <is>
          <t>Norme</t>
        </is>
      </c>
      <c r="I108" s="597" t="inlineStr">
        <is>
          <t>Criticite</t>
        </is>
      </c>
      <c r="J108" s="597" t="inlineStr">
        <is>
          <t>Module</t>
        </is>
      </c>
      <c r="K108" s="597" t="inlineStr">
        <is>
          <t>Sens</t>
        </is>
      </c>
      <c r="L108" s="597" t="inlineStr">
        <is>
          <t>Note</t>
        </is>
      </c>
    </row>
    <row r="109">
      <c r="A109" s="98" t="n">
        <v>41</v>
      </c>
      <c r="B109" s="98" t="inlineStr">
        <is>
          <t>ESG_CARBONE</t>
        </is>
      </c>
      <c r="C109" s="98" t="inlineStr">
        <is>
          <t>G (s3)</t>
        </is>
      </c>
      <c r="D109" s="98" t="inlineStr">
        <is>
          <t>Scope 1 groupe somme 5 entités</t>
        </is>
      </c>
      <c r="E109" s="98" t="inlineStr">
        <is>
          <t>DASHBOARD_ESG</t>
        </is>
      </c>
      <c r="F109" s="98" t="inlineStr">
        <is>
          <t>C12</t>
        </is>
      </c>
      <c r="G109" s="98" t="inlineStr">
        <is>
          <t>SUM</t>
        </is>
      </c>
      <c r="H109" s="98" t="inlineStr">
        <is>
          <t>ESRS E1-6 §44a</t>
        </is>
      </c>
      <c r="I109" s="98" t="inlineStr">
        <is>
          <t>Rouge Critique</t>
        </is>
      </c>
      <c r="J109" s="98" t="inlineStr">
        <is>
          <t>ESG</t>
        </is>
      </c>
      <c r="K109" s="98" t="inlineStr">
        <is>
          <t>ESG-&gt;Dashboard</t>
        </is>
      </c>
      <c r="L109" s="98" t="inlineStr">
        <is>
          <t>Refresh PQ requis</t>
        </is>
      </c>
    </row>
    <row r="110">
      <c r="A110" s="540" t="n">
        <v>42</v>
      </c>
      <c r="B110" s="540" t="inlineStr">
        <is>
          <t>ESG_CARBONE</t>
        </is>
      </c>
      <c r="C110" s="540" t="inlineStr">
        <is>
          <t>G (s3)</t>
        </is>
      </c>
      <c r="D110" s="540" t="inlineStr">
        <is>
          <t>Scope 2 groupe somme 5 entités</t>
        </is>
      </c>
      <c r="E110" s="540" t="inlineStr">
        <is>
          <t>DASHBOARD_ESG</t>
        </is>
      </c>
      <c r="F110" s="540" t="inlineStr">
        <is>
          <t>C13</t>
        </is>
      </c>
      <c r="G110" s="540" t="inlineStr">
        <is>
          <t>SUM</t>
        </is>
      </c>
      <c r="H110" s="540" t="inlineStr">
        <is>
          <t>ESRS E1-6 §44b</t>
        </is>
      </c>
      <c r="I110" s="540" t="inlineStr">
        <is>
          <t>Rouge Critique</t>
        </is>
      </c>
      <c r="J110" s="540" t="inlineStr">
        <is>
          <t>ESG</t>
        </is>
      </c>
      <c r="K110" s="540" t="inlineStr">
        <is>
          <t>ESG-&gt;Dashboard</t>
        </is>
      </c>
      <c r="L110" s="540" t="inlineStr">
        <is>
          <t>Refresh PQ requis</t>
        </is>
      </c>
    </row>
    <row r="111">
      <c r="A111" s="98" t="n">
        <v>43</v>
      </c>
      <c r="B111" s="98" t="inlineStr">
        <is>
          <t>ESG_CARBONE</t>
        </is>
      </c>
      <c r="C111" s="98" t="inlineStr">
        <is>
          <t>G (s3)</t>
        </is>
      </c>
      <c r="D111" s="98" t="inlineStr">
        <is>
          <t>Scope 3 groupe somme 5 entités</t>
        </is>
      </c>
      <c r="E111" s="98" t="inlineStr">
        <is>
          <t>DASHBOARD_ESG</t>
        </is>
      </c>
      <c r="F111" s="98" t="inlineStr">
        <is>
          <t>C14</t>
        </is>
      </c>
      <c r="G111" s="98" t="inlineStr">
        <is>
          <t>SUM</t>
        </is>
      </c>
      <c r="H111" s="98" t="inlineStr">
        <is>
          <t>ESRS E1-6 §44c</t>
        </is>
      </c>
      <c r="I111" s="98" t="inlineStr">
        <is>
          <t>Rouge Critique</t>
        </is>
      </c>
      <c r="J111" s="98" t="inlineStr">
        <is>
          <t>ESG</t>
        </is>
      </c>
      <c r="K111" s="98" t="inlineStr">
        <is>
          <t>ESG-&gt;Dashboard</t>
        </is>
      </c>
      <c r="L111" s="98" t="inlineStr">
        <is>
          <t>Refresh PQ requis</t>
        </is>
      </c>
    </row>
    <row r="112">
      <c r="A112" s="540" t="n">
        <v>44</v>
      </c>
      <c r="B112" s="540" t="inlineStr">
        <is>
          <t>ESG_CARBONE</t>
        </is>
      </c>
      <c r="C112" s="540" t="inlineStr">
        <is>
          <t>H57</t>
        </is>
      </c>
      <c r="D112" s="540" t="inlineStr">
        <is>
          <t>Intensite: Scope12 / (CA/1000)</t>
        </is>
      </c>
      <c r="E112" s="540" t="inlineStr">
        <is>
          <t>DASHBOARD_FIN</t>
        </is>
      </c>
      <c r="F112" s="540" t="inlineStr">
        <is>
          <t>H25</t>
        </is>
      </c>
      <c r="G112" s="540" t="inlineStr">
        <is>
          <t>RATIO</t>
        </is>
      </c>
      <c r="H112" s="540" t="inlineStr">
        <is>
          <t>ESRS E1-6 §55</t>
        </is>
      </c>
      <c r="I112" s="540" t="inlineStr">
        <is>
          <t>Rouge Critique</t>
        </is>
      </c>
      <c r="J112" s="540" t="inlineStr">
        <is>
          <t>ESG</t>
        </is>
      </c>
      <c r="K112" s="540" t="inlineStr">
        <is>
          <t>ESG-&gt;DashFin</t>
        </is>
      </c>
      <c r="L112" s="540" t="inlineStr">
        <is>
          <t>Lié CONSOL_CR!K7</t>
        </is>
      </c>
    </row>
    <row r="113">
      <c r="A113" s="98" t="n">
        <v>45</v>
      </c>
      <c r="B113" s="98" t="inlineStr">
        <is>
          <t>ESG_CARBONE</t>
        </is>
      </c>
      <c r="C113" s="98" t="inlineStr">
        <is>
          <t>G71</t>
        </is>
      </c>
      <c r="D113" s="98" t="inlineStr">
        <is>
          <t>Cout carbone: S123 * PrixInterne/1000</t>
        </is>
      </c>
      <c r="E113" s="98" t="inlineStr">
        <is>
          <t>DASHBOARD_FIN</t>
        </is>
      </c>
      <c r="F113" s="98" t="inlineStr">
        <is>
          <t>C42</t>
        </is>
      </c>
      <c r="G113" s="98" t="inlineStr">
        <is>
          <t>CALC</t>
        </is>
      </c>
      <c r="H113" s="98" t="inlineStr">
        <is>
          <t>IFRS 18 §112 MPM</t>
        </is>
      </c>
      <c r="I113" s="98" t="inlineStr">
        <is>
          <t>Rouge Critique</t>
        </is>
      </c>
      <c r="J113" s="98" t="inlineStr">
        <is>
          <t>ESG</t>
        </is>
      </c>
      <c r="K113" s="98" t="inlineStr">
        <is>
          <t>ESG-&gt;DashFin</t>
        </is>
      </c>
      <c r="L113" s="98" t="inlineStr">
        <is>
          <t>MPM obligatoire si &gt;20% EBIT</t>
        </is>
      </c>
    </row>
    <row r="114">
      <c r="A114" s="540" t="n">
        <v>46</v>
      </c>
      <c r="B114" s="540" t="inlineStr">
        <is>
          <t>ESG_CARBONE</t>
        </is>
      </c>
      <c r="C114" s="540" t="inlineStr">
        <is>
          <t>H71</t>
        </is>
      </c>
      <c r="D114" s="540" t="inlineStr">
        <is>
          <t>% EBIT: CoutCarbone / EBIT consolidé</t>
        </is>
      </c>
      <c r="E114" s="540" t="inlineStr">
        <is>
          <t>DASHBOARD_FIN</t>
        </is>
      </c>
      <c r="F114" s="540" t="inlineStr">
        <is>
          <t>D42</t>
        </is>
      </c>
      <c r="G114" s="540" t="inlineStr">
        <is>
          <t>RATIO</t>
        </is>
      </c>
      <c r="H114" s="540" t="inlineStr">
        <is>
          <t>IFRS 18 §112 MPM</t>
        </is>
      </c>
      <c r="I114" s="540" t="inlineStr">
        <is>
          <t>Rouge Critique</t>
        </is>
      </c>
      <c r="J114" s="540" t="inlineStr">
        <is>
          <t>ESG</t>
        </is>
      </c>
      <c r="K114" s="540" t="inlineStr">
        <is>
          <t>ESG-&gt;DashFin</t>
        </is>
      </c>
      <c r="L114" s="540" t="inlineStr">
        <is>
          <t>Déclencheur MPM si &gt;20%</t>
        </is>
      </c>
    </row>
    <row r="115">
      <c r="A115" s="98" t="n">
        <v>47</v>
      </c>
      <c r="B115" s="98" t="inlineStr">
        <is>
          <t>ESG_DIVERSITE</t>
        </is>
      </c>
      <c r="C115" s="98" t="inlineStr">
        <is>
          <t>F10</t>
        </is>
      </c>
      <c r="D115" s="98" t="inlineStr">
        <is>
          <t>% Femmes: ETP_Femmes / ETP_Total</t>
        </is>
      </c>
      <c r="E115" s="98" t="inlineStr">
        <is>
          <t>DASHBOARD_ESG</t>
        </is>
      </c>
      <c r="F115" s="98" t="inlineStr">
        <is>
          <t>C24</t>
        </is>
      </c>
      <c r="G115" s="98" t="inlineStr">
        <is>
          <t>RATIO</t>
        </is>
      </c>
      <c r="H115" s="98" t="inlineStr">
        <is>
          <t>ESRS S1-9 §65</t>
        </is>
      </c>
      <c r="I115" s="98" t="inlineStr">
        <is>
          <t>Orange Imp.</t>
        </is>
      </c>
      <c r="J115" s="98" t="inlineStr">
        <is>
          <t>ESG</t>
        </is>
      </c>
      <c r="K115" s="98" t="inlineStr">
        <is>
          <t>ESG-&gt;Dashboard</t>
        </is>
      </c>
      <c r="L115" s="98" t="inlineStr">
        <is>
          <t>Cible 50%</t>
        </is>
      </c>
    </row>
    <row r="116">
      <c r="A116" s="540" t="n">
        <v>48</v>
      </c>
      <c r="B116" s="540" t="inlineStr">
        <is>
          <t>ESG_DIVERSITE</t>
        </is>
      </c>
      <c r="C116" s="540" t="inlineStr">
        <is>
          <t>I10</t>
        </is>
      </c>
      <c r="D116" s="540" t="inlineStr">
        <is>
          <t>% Dir.Fem: FemmesDir / TotalDir</t>
        </is>
      </c>
      <c r="E116" s="540" t="inlineStr">
        <is>
          <t>DASHBOARD_ESG</t>
        </is>
      </c>
      <c r="F116" s="540" t="inlineStr">
        <is>
          <t>C25</t>
        </is>
      </c>
      <c r="G116" s="540" t="inlineStr">
        <is>
          <t>RATIO</t>
        </is>
      </c>
      <c r="H116" s="540" t="inlineStr">
        <is>
          <t>ESRS S1-9 §65</t>
        </is>
      </c>
      <c r="I116" s="540" t="inlineStr">
        <is>
          <t>Orange Imp.</t>
        </is>
      </c>
      <c r="J116" s="540" t="inlineStr">
        <is>
          <t>ESG</t>
        </is>
      </c>
      <c r="K116" s="540" t="inlineStr">
        <is>
          <t>ESG-&gt;Dashboard</t>
        </is>
      </c>
      <c r="L116" s="540" t="inlineStr">
        <is>
          <t>Loi Rixain: 40% en 2027</t>
        </is>
      </c>
    </row>
    <row r="117">
      <c r="A117" s="98" t="n">
        <v>49</v>
      </c>
      <c r="B117" s="98" t="inlineStr">
        <is>
          <t>ESG_DIVERSITE</t>
        </is>
      </c>
      <c r="C117" s="98" t="inlineStr">
        <is>
          <t>B40</t>
        </is>
      </c>
      <c r="D117" s="98" t="inlineStr">
        <is>
          <t>% Femmes CA: 6/15 CA membres</t>
        </is>
      </c>
      <c r="E117" s="98" t="inlineStr">
        <is>
          <t>DASHBOARD_ESG</t>
        </is>
      </c>
      <c r="F117" s="98" t="inlineStr">
        <is>
          <t>C33</t>
        </is>
      </c>
      <c r="G117" s="98" t="inlineStr">
        <is>
          <t>RATIO</t>
        </is>
      </c>
      <c r="H117" s="98" t="inlineStr">
        <is>
          <t>ESRS G1-1 §29</t>
        </is>
      </c>
      <c r="I117" s="98" t="inlineStr">
        <is>
          <t>Orange Imp.</t>
        </is>
      </c>
      <c r="J117" s="98" t="inlineStr">
        <is>
          <t>ESG</t>
        </is>
      </c>
      <c r="K117" s="98" t="inlineStr">
        <is>
          <t>ESG-&gt;Dashboard</t>
        </is>
      </c>
      <c r="L117" s="98" t="inlineStr">
        <is>
          <t>Obligation légale FR</t>
        </is>
      </c>
    </row>
    <row r="118">
      <c r="A118" s="540" t="n">
        <v>50</v>
      </c>
      <c r="B118" s="540" t="inlineStr">
        <is>
          <t>ESG_DASHBOARD_LINK</t>
        </is>
      </c>
      <c r="C118" s="540" t="inlineStr">
        <is>
          <t>B9</t>
        </is>
      </c>
      <c r="D118" s="540" t="inlineStr">
        <is>
          <t>Score global: E*40%+S*35%+G*25%</t>
        </is>
      </c>
      <c r="E118" s="540" t="inlineStr">
        <is>
          <t>DASHBOARD_ESG</t>
        </is>
      </c>
      <c r="F118" s="540" t="inlineStr">
        <is>
          <t>C8</t>
        </is>
      </c>
      <c r="G118" s="540" t="inlineStr">
        <is>
          <t>W_AVG</t>
        </is>
      </c>
      <c r="H118" s="540" t="inlineStr">
        <is>
          <t>Score ESG pondéré</t>
        </is>
      </c>
      <c r="I118" s="540" t="inlineStr">
        <is>
          <t>Rouge Critique</t>
        </is>
      </c>
      <c r="J118" s="540" t="inlineStr">
        <is>
          <t>ESG</t>
        </is>
      </c>
      <c r="K118" s="540" t="inlineStr">
        <is>
          <t>ESG-&gt;Dashboard</t>
        </is>
      </c>
      <c r="L118" s="540" t="inlineStr">
        <is>
          <t>Base CSRD reporting</t>
        </is>
      </c>
    </row>
    <row r="119">
      <c r="A119" s="98" t="n">
        <v>51</v>
      </c>
      <c r="B119" s="98" t="inlineStr">
        <is>
          <t>ESG_MAPPING</t>
        </is>
      </c>
      <c r="C119" s="98" t="inlineStr">
        <is>
          <t>K4:K32</t>
        </is>
      </c>
      <c r="D119" s="98" t="inlineStr">
        <is>
          <t>29 liaisons ESRS vers IFRS 18 documentées</t>
        </is>
      </c>
      <c r="E119" s="98" t="inlineStr">
        <is>
          <t>ESG_DASHBOARD_LINK</t>
        </is>
      </c>
      <c r="F119" s="98" t="inlineStr">
        <is>
          <t>Multi</t>
        </is>
      </c>
      <c r="G119" s="98" t="inlineStr">
        <is>
          <t>MAPPING</t>
        </is>
      </c>
      <c r="H119" s="98" t="inlineStr">
        <is>
          <t>ESRS x IFRS 18</t>
        </is>
      </c>
      <c r="I119" s="98" t="inlineStr">
        <is>
          <t>Standard</t>
        </is>
      </c>
      <c r="J119" s="98" t="inlineStr">
        <is>
          <t>ESG</t>
        </is>
      </c>
      <c r="K119" s="98" t="inlineStr">
        <is>
          <t>Ref Table</t>
        </is>
      </c>
      <c r="L119" s="98" t="inlineStr">
        <is>
          <t>Référentiel croisé</t>
        </is>
      </c>
    </row>
    <row r="120">
      <c r="A120" s="540" t="n">
        <v>52</v>
      </c>
      <c r="B120" s="540" t="inlineStr">
        <is>
          <t>ESG_DAX</t>
        </is>
      </c>
      <c r="C120" s="540" t="inlineStr">
        <is>
          <t>D (col)</t>
        </is>
      </c>
      <c r="D120" s="540" t="inlineStr">
        <is>
          <t>30 mesures DAX ESG à copier Power Pivot</t>
        </is>
      </c>
      <c r="E120" s="540" t="inlineStr">
        <is>
          <t>Power Pivot</t>
        </is>
      </c>
      <c r="F120" s="540" t="inlineStr">
        <is>
          <t>Modele</t>
        </is>
      </c>
      <c r="G120" s="540" t="inlineStr">
        <is>
          <t>DAX</t>
        </is>
      </c>
      <c r="H120" s="540" t="inlineStr">
        <is>
          <t>ESRS E1/S1/G1</t>
        </is>
      </c>
      <c r="I120" s="540" t="inlineStr">
        <is>
          <t>Rouge Critique</t>
        </is>
      </c>
      <c r="J120" s="540" t="inlineStr">
        <is>
          <t>ESG</t>
        </is>
      </c>
      <c r="K120" s="540" t="inlineStr">
        <is>
          <t>ESG-&gt;PowerPivot</t>
        </is>
      </c>
      <c r="L120" s="540" t="inlineStr">
        <is>
          <t>Copier groupe par groupe</t>
        </is>
      </c>
    </row>
    <row r="121">
      <c r="A121" s="98" t="n">
        <v>53</v>
      </c>
      <c r="B121" s="98" t="inlineStr">
        <is>
          <t>CONSOL_CR</t>
        </is>
      </c>
      <c r="C121" s="98" t="inlineStr">
        <is>
          <t>K7</t>
        </is>
      </c>
      <c r="D121" s="98" t="inlineStr">
        <is>
          <t>CA groupe denominateur intensite carbone</t>
        </is>
      </c>
      <c r="E121" s="98" t="inlineStr">
        <is>
          <t>ESG_CARBONE</t>
        </is>
      </c>
      <c r="F121" s="98" t="inlineStr">
        <is>
          <t>Section3</t>
        </is>
      </c>
      <c r="G121" s="98" t="inlineStr">
        <is>
          <t>LINK</t>
        </is>
      </c>
      <c r="H121" s="98" t="inlineStr">
        <is>
          <t>ESRS E1-6 §55</t>
        </is>
      </c>
      <c r="I121" s="98" t="inlineStr">
        <is>
          <t>Rouge Critique</t>
        </is>
      </c>
      <c r="J121" s="98" t="inlineStr">
        <is>
          <t>ESG</t>
        </is>
      </c>
      <c r="K121" s="98" t="inlineStr">
        <is>
          <t>Fin-&gt;ESG</t>
        </is>
      </c>
      <c r="L121" s="98" t="inlineStr">
        <is>
          <t>Recalcul auto</t>
        </is>
      </c>
    </row>
  </sheetData>
  <mergeCells count="5">
    <mergeCell ref="A107:L107"/>
    <mergeCell ref="A2:K2"/>
    <mergeCell ref="A102:L102"/>
    <mergeCell ref="A46:K46"/>
    <mergeCell ref="A1:K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1B5E20"/>
    <outlinePr summaryBelow="1" summaryRight="1"/>
    <pageSetUpPr/>
  </sheetPr>
  <dimension ref="A1:T120"/>
  <sheetViews>
    <sheetView workbookViewId="0">
      <selection activeCell="B56" sqref="B56"/>
    </sheetView>
  </sheetViews>
  <sheetFormatPr baseColWidth="10" defaultRowHeight="15"/>
  <cols>
    <col width="29.28515625" customWidth="1" style="500" min="1" max="1"/>
    <col width="26" customWidth="1" style="500" min="2" max="2"/>
    <col width="37.28515625" customWidth="1" style="500" min="3" max="3"/>
    <col width="16" customWidth="1" style="500" min="4" max="6"/>
    <col width="18.7109375" customWidth="1" style="500" min="7" max="8"/>
    <col width="16" customWidth="1" style="500" min="9" max="10"/>
    <col width="18.7109375" customWidth="1" style="500" min="11" max="12"/>
    <col width="24" customWidth="1" style="500" min="13" max="13"/>
    <col width="18.7109375" customWidth="1" style="500" min="14" max="14"/>
    <col width="21.28515625" customWidth="1" style="500" min="15" max="15"/>
    <col width="18.7109375" customWidth="1" style="500" min="16" max="16"/>
    <col width="21.28515625" customWidth="1" style="500" min="17" max="17"/>
    <col width="18.7109375" customWidth="1" style="500" min="18" max="18"/>
  </cols>
  <sheetData>
    <row r="1" ht="17.25" customHeight="1" s="500">
      <c r="A1" s="595" t="inlineStr">
        <is>
          <t>🌍  ESG_CARBONE – BILAN CARBONE CONSOLIDÉ · Scope 1 / 2 / 3 · Pondération par Entité · ESRS E1-6 / GHG Protocol</t>
        </is>
      </c>
      <c r="T1" s="142" t="n"/>
    </row>
    <row r="2">
      <c r="A2" s="596" t="inlineStr">
        <is>
          <t>ESRS E1-6 §44 : Émissions brutes Scope 1+2+3 obligatoires · GHG Protocol Corporate Standard · Unité : tCO₂eq · Base : GWP-100 AR6 GIEC</t>
        </is>
      </c>
      <c r="T2" s="142" t="n"/>
    </row>
    <row r="3">
      <c r="A3" s="142" t="n"/>
      <c r="B3" s="142" t="n"/>
      <c r="C3" s="142" t="n"/>
      <c r="D3" s="142" t="n"/>
      <c r="E3" s="142" t="n"/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</row>
    <row r="4">
      <c r="A4" s="597" t="inlineStr">
        <is>
          <t>SECTION 1 – FACTEURS D'ÉMISSION PAR ENTITÉ ET SOURCE (tCO₂eq / unité)</t>
        </is>
      </c>
      <c r="S4" s="142" t="n"/>
      <c r="T4" s="142" t="n"/>
    </row>
    <row r="5">
      <c r="A5" s="145" t="inlineStr">
        <is>
          <t>EntitéGroupe</t>
        </is>
      </c>
      <c r="B5" s="145" t="inlineStr">
        <is>
          <t>Pays</t>
        </is>
      </c>
      <c r="C5" s="145" t="inlineStr">
        <is>
          <t>SourceÉnergie</t>
        </is>
      </c>
      <c r="D5" s="145" t="inlineStr">
        <is>
          <t>ScopeGHG</t>
        </is>
      </c>
      <c r="E5" s="145" t="inlineStr">
        <is>
          <t>FacteurEmission</t>
        </is>
      </c>
      <c r="F5" s="145" t="inlineStr">
        <is>
          <t>Unité</t>
        </is>
      </c>
      <c r="G5" s="145" t="inlineStr">
        <is>
          <t>FacteurPays_kgCO2/kWh</t>
        </is>
      </c>
      <c r="H5" s="145" t="inlineStr">
        <is>
          <t>TypeRéseau</t>
        </is>
      </c>
      <c r="I5" s="145" t="inlineStr">
        <is>
          <t>AnneeMiseAjour</t>
        </is>
      </c>
      <c r="J5" s="145" t="inlineStr">
        <is>
          <t>Source</t>
        </is>
      </c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</row>
    <row r="6">
      <c r="A6" s="98" t="inlineStr">
        <is>
          <t>FR_ParentCo</t>
        </is>
      </c>
      <c r="B6" s="98" t="inlineStr">
        <is>
          <t>France</t>
        </is>
      </c>
      <c r="C6" s="98" t="inlineStr">
        <is>
          <t>Électricité réseau</t>
        </is>
      </c>
      <c r="D6" s="98" t="inlineStr">
        <is>
          <t>Scope 2 (marché)</t>
        </is>
      </c>
      <c r="E6" s="98" t="n">
        <v>0.0569</v>
      </c>
      <c r="F6" s="98" t="inlineStr">
        <is>
          <t>tCO₂/MWh</t>
        </is>
      </c>
      <c r="G6" s="98" t="n">
        <v>0.0569</v>
      </c>
      <c r="H6" s="98" t="inlineStr">
        <is>
          <t>Mix FR (nucléaire 70%)</t>
        </is>
      </c>
      <c r="I6" s="98" t="n">
        <v>2025</v>
      </c>
      <c r="J6" s="98" t="inlineStr">
        <is>
          <t>AIE / RTE</t>
        </is>
      </c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</row>
    <row r="7">
      <c r="A7" s="98" t="inlineStr">
        <is>
          <t>FR_ParentCo</t>
        </is>
      </c>
      <c r="B7" s="98" t="inlineStr">
        <is>
          <t>France</t>
        </is>
      </c>
      <c r="C7" s="98" t="inlineStr">
        <is>
          <t>Gaz naturel</t>
        </is>
      </c>
      <c r="D7" s="98" t="inlineStr">
        <is>
          <t>Scope 1</t>
        </is>
      </c>
      <c r="E7" s="98" t="n">
        <v>0.201</v>
      </c>
      <c r="F7" s="98" t="inlineStr">
        <is>
          <t>tCO₂/MWh</t>
        </is>
      </c>
      <c r="G7" s="98" t="n">
        <v>0.201</v>
      </c>
      <c r="H7" s="98" t="inlineStr">
        <is>
          <t>Combustion directe</t>
        </is>
      </c>
      <c r="I7" s="98" t="n">
        <v>2025</v>
      </c>
      <c r="J7" s="98" t="inlineStr">
        <is>
          <t>ADEME FE 2025</t>
        </is>
      </c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</row>
    <row r="8">
      <c r="A8" s="98" t="inlineStr">
        <is>
          <t>FR_ParentCo</t>
        </is>
      </c>
      <c r="B8" s="98" t="inlineStr">
        <is>
          <t>France</t>
        </is>
      </c>
      <c r="C8" s="98" t="inlineStr">
        <is>
          <t>Fioul/gasoil</t>
        </is>
      </c>
      <c r="D8" s="98" t="inlineStr">
        <is>
          <t>Scope 1</t>
        </is>
      </c>
      <c r="E8" s="98" t="n">
        <v>0.2637</v>
      </c>
      <c r="F8" s="98" t="inlineStr">
        <is>
          <t>tCO₂/L</t>
        </is>
      </c>
      <c r="G8" s="98" t="n">
        <v>0.2637</v>
      </c>
      <c r="H8" s="98" t="inlineStr">
        <is>
          <t>Combustion directe</t>
        </is>
      </c>
      <c r="I8" s="98" t="n">
        <v>2025</v>
      </c>
      <c r="J8" s="98" t="inlineStr">
        <is>
          <t>ADEME FE 2025</t>
        </is>
      </c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</row>
    <row r="9">
      <c r="A9" s="98" t="inlineStr">
        <is>
          <t>FR_ParentCo</t>
        </is>
      </c>
      <c r="B9" s="98" t="inlineStr">
        <is>
          <t>France</t>
        </is>
      </c>
      <c r="C9" s="98" t="inlineStr">
        <is>
          <t>Flotte véhicules</t>
        </is>
      </c>
      <c r="D9" s="98" t="inlineStr">
        <is>
          <t>Scope 1</t>
        </is>
      </c>
      <c r="E9" s="98" t="n">
        <v>0.1932</v>
      </c>
      <c r="F9" s="98" t="inlineStr">
        <is>
          <t>tCO₂/L</t>
        </is>
      </c>
      <c r="G9" s="98" t="n">
        <v>0.1932</v>
      </c>
      <c r="H9" s="98" t="inlineStr">
        <is>
          <t>Combustion directe mobile</t>
        </is>
      </c>
      <c r="I9" s="98" t="n">
        <v>2025</v>
      </c>
      <c r="J9" s="98" t="inlineStr">
        <is>
          <t>ADEME FE 2025</t>
        </is>
      </c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</row>
    <row r="10">
      <c r="A10" s="98" t="inlineStr">
        <is>
          <t>FR_ParentCo</t>
        </is>
      </c>
      <c r="B10" s="98" t="inlineStr">
        <is>
          <t>France</t>
        </is>
      </c>
      <c r="C10" s="98" t="inlineStr">
        <is>
          <t>Achats &amp; supply chain</t>
        </is>
      </c>
      <c r="D10" s="98" t="inlineStr">
        <is>
          <t>Scope 3 cat.1</t>
        </is>
      </c>
      <c r="E10" s="98" t="n">
        <v>0.42</v>
      </c>
      <c r="F10" s="98" t="inlineStr">
        <is>
          <t>tCO₂/k€ achat</t>
        </is>
      </c>
      <c r="G10" s="98" t="n">
        <v>0.42</v>
      </c>
      <c r="H10" s="98" t="inlineStr">
        <is>
          <t>Facteur monétaire</t>
        </is>
      </c>
      <c r="I10" s="98" t="n">
        <v>2025</v>
      </c>
      <c r="J10" s="98" t="inlineStr">
        <is>
          <t>Ecoinvent 3.9</t>
        </is>
      </c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</row>
    <row r="11">
      <c r="A11" s="146" t="inlineStr">
        <is>
          <t>DE_Filiale</t>
        </is>
      </c>
      <c r="B11" s="146" t="inlineStr">
        <is>
          <t>Allemagne</t>
        </is>
      </c>
      <c r="C11" s="146" t="inlineStr">
        <is>
          <t>Électricité réseau</t>
        </is>
      </c>
      <c r="D11" s="146" t="inlineStr">
        <is>
          <t>Scope 2 (marché)</t>
        </is>
      </c>
      <c r="E11" s="146" t="n">
        <v>0.394</v>
      </c>
      <c r="F11" s="146" t="inlineStr">
        <is>
          <t>tCO₂/MWh</t>
        </is>
      </c>
      <c r="G11" s="146" t="n">
        <v>0.394</v>
      </c>
      <c r="H11" s="146" t="inlineStr">
        <is>
          <t>Mix DE (charbon+gaz)</t>
        </is>
      </c>
      <c r="I11" s="146" t="n">
        <v>2025</v>
      </c>
      <c r="J11" s="146" t="inlineStr">
        <is>
          <t>UBA Allemagne</t>
        </is>
      </c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</row>
    <row r="12">
      <c r="A12" s="146" t="inlineStr">
        <is>
          <t>DE_Filiale</t>
        </is>
      </c>
      <c r="B12" s="146" t="inlineStr">
        <is>
          <t>Allemagne</t>
        </is>
      </c>
      <c r="C12" s="146" t="inlineStr">
        <is>
          <t>Gaz naturel</t>
        </is>
      </c>
      <c r="D12" s="146" t="inlineStr">
        <is>
          <t>Scope 1</t>
        </is>
      </c>
      <c r="E12" s="146" t="n">
        <v>0.201</v>
      </c>
      <c r="F12" s="146" t="inlineStr">
        <is>
          <t>tCO₂/MWh</t>
        </is>
      </c>
      <c r="G12" s="146" t="n">
        <v>0.201</v>
      </c>
      <c r="H12" s="146" t="inlineStr">
        <is>
          <t>Combustion directe</t>
        </is>
      </c>
      <c r="I12" s="146" t="n">
        <v>2025</v>
      </c>
      <c r="J12" s="146" t="inlineStr">
        <is>
          <t>IPCC AR6</t>
        </is>
      </c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</row>
    <row r="13">
      <c r="A13" s="146" t="inlineStr">
        <is>
          <t>DE_Filiale</t>
        </is>
      </c>
      <c r="B13" s="146" t="inlineStr">
        <is>
          <t>Allemagne</t>
        </is>
      </c>
      <c r="C13" s="146" t="inlineStr">
        <is>
          <t>Process industriel</t>
        </is>
      </c>
      <c r="D13" s="146" t="inlineStr">
        <is>
          <t>Scope 1</t>
        </is>
      </c>
      <c r="E13" s="146" t="n">
        <v>1.85</v>
      </c>
      <c r="F13" s="146" t="inlineStr">
        <is>
          <t>tCO₂/t produit</t>
        </is>
      </c>
      <c r="G13" s="146" t="n">
        <v>1.85</v>
      </c>
      <c r="H13" s="146" t="inlineStr">
        <is>
          <t>Émissions procédé</t>
        </is>
      </c>
      <c r="I13" s="146" t="n">
        <v>2025</v>
      </c>
      <c r="J13" s="146" t="inlineStr">
        <is>
          <t>BREF Industrie</t>
        </is>
      </c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</row>
    <row r="14">
      <c r="A14" s="146" t="inlineStr">
        <is>
          <t>DE_Filiale</t>
        </is>
      </c>
      <c r="B14" s="146" t="inlineStr">
        <is>
          <t>Allemagne</t>
        </is>
      </c>
      <c r="C14" s="146" t="inlineStr">
        <is>
          <t>Achats &amp; supply chain</t>
        </is>
      </c>
      <c r="D14" s="146" t="inlineStr">
        <is>
          <t>Scope 3 cat.1</t>
        </is>
      </c>
      <c r="E14" s="146" t="n">
        <v>0.58</v>
      </c>
      <c r="F14" s="146" t="inlineStr">
        <is>
          <t>tCO₂/k€ achat</t>
        </is>
      </c>
      <c r="G14" s="146" t="n">
        <v>0.58</v>
      </c>
      <c r="H14" s="146" t="inlineStr">
        <is>
          <t>Industrie manufacturière</t>
        </is>
      </c>
      <c r="I14" s="146" t="n">
        <v>2025</v>
      </c>
      <c r="J14" s="146" t="inlineStr">
        <is>
          <t>Ecoinvent 3.9</t>
        </is>
      </c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</row>
    <row r="15">
      <c r="A15" s="147" t="inlineStr">
        <is>
          <t>UK_Filiale</t>
        </is>
      </c>
      <c r="B15" s="147" t="inlineStr">
        <is>
          <t>Royaume-Uni</t>
        </is>
      </c>
      <c r="C15" s="147" t="inlineStr">
        <is>
          <t>Électricité réseau</t>
        </is>
      </c>
      <c r="D15" s="147" t="inlineStr">
        <is>
          <t>Scope 2 (marché)</t>
        </is>
      </c>
      <c r="E15" s="147" t="n">
        <v>0.207</v>
      </c>
      <c r="F15" s="147" t="inlineStr">
        <is>
          <t>tCO₂/MWh</t>
        </is>
      </c>
      <c r="G15" s="147" t="n">
        <v>0.207</v>
      </c>
      <c r="H15" s="147" t="inlineStr">
        <is>
          <t>Mix UK (éolien+gaz)</t>
        </is>
      </c>
      <c r="I15" s="147" t="n">
        <v>2025</v>
      </c>
      <c r="J15" s="147" t="inlineStr">
        <is>
          <t>DESNZ UK</t>
        </is>
      </c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</row>
    <row r="16">
      <c r="A16" s="147" t="inlineStr">
        <is>
          <t>UK_Filiale</t>
        </is>
      </c>
      <c r="B16" s="147" t="inlineStr">
        <is>
          <t>Royaume-Uni</t>
        </is>
      </c>
      <c r="C16" s="147" t="inlineStr">
        <is>
          <t>Gaz naturel</t>
        </is>
      </c>
      <c r="D16" s="147" t="inlineStr">
        <is>
          <t>Scope 1</t>
        </is>
      </c>
      <c r="E16" s="147" t="n">
        <v>0.203</v>
      </c>
      <c r="F16" s="147" t="inlineStr">
        <is>
          <t>tCO₂/MWh</t>
        </is>
      </c>
      <c r="G16" s="147" t="n">
        <v>0.203</v>
      </c>
      <c r="H16" s="147" t="inlineStr">
        <is>
          <t>Combustion directe</t>
        </is>
      </c>
      <c r="I16" s="147" t="n">
        <v>2025</v>
      </c>
      <c r="J16" s="147" t="inlineStr">
        <is>
          <t>IPCC AR6</t>
        </is>
      </c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</row>
    <row r="17">
      <c r="A17" s="147" t="inlineStr">
        <is>
          <t>UK_Filiale</t>
        </is>
      </c>
      <c r="B17" s="147" t="inlineStr">
        <is>
          <t>Royaume-Uni</t>
        </is>
      </c>
      <c r="C17" s="147" t="inlineStr">
        <is>
          <t>Déplacements pro</t>
        </is>
      </c>
      <c r="D17" s="147" t="inlineStr">
        <is>
          <t>Scope 3 cat.6</t>
        </is>
      </c>
      <c r="E17" s="147" t="n">
        <v>0.255</v>
      </c>
      <c r="F17" s="147" t="inlineStr">
        <is>
          <t>tCO₂/km</t>
        </is>
      </c>
      <c r="G17" s="147" t="n">
        <v>0.255</v>
      </c>
      <c r="H17" s="147" t="inlineStr">
        <is>
          <t>Transport aérien long-courrier</t>
        </is>
      </c>
      <c r="I17" s="147" t="n">
        <v>2025</v>
      </c>
      <c r="J17" s="147" t="inlineStr">
        <is>
          <t>DEFRA 2025</t>
        </is>
      </c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</row>
    <row r="18">
      <c r="A18" s="147" t="inlineStr">
        <is>
          <t>UK_Filiale</t>
        </is>
      </c>
      <c r="B18" s="147" t="inlineStr">
        <is>
          <t>Royaume-Uni</t>
        </is>
      </c>
      <c r="C18" s="147" t="inlineStr">
        <is>
          <t>Achats IT &amp; digital</t>
        </is>
      </c>
      <c r="D18" s="147" t="inlineStr">
        <is>
          <t>Scope 3 cat.1</t>
        </is>
      </c>
      <c r="E18" s="147" t="n">
        <v>0.12</v>
      </c>
      <c r="F18" s="147" t="inlineStr">
        <is>
          <t>tCO₂/k€ achat</t>
        </is>
      </c>
      <c r="G18" s="147" t="n">
        <v>0.12</v>
      </c>
      <c r="H18" s="147" t="inlineStr">
        <is>
          <t>Secteur tech</t>
        </is>
      </c>
      <c r="I18" s="147" t="n">
        <v>2025</v>
      </c>
      <c r="J18" s="147" t="inlineStr">
        <is>
          <t>Ecoinvent 3.9</t>
        </is>
      </c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</row>
    <row r="19">
      <c r="A19" s="148" t="inlineStr">
        <is>
          <t>US_Filiale</t>
        </is>
      </c>
      <c r="B19" s="148" t="inlineStr">
        <is>
          <t>États-Unis</t>
        </is>
      </c>
      <c r="C19" s="148" t="inlineStr">
        <is>
          <t>Électricité réseau</t>
        </is>
      </c>
      <c r="D19" s="148" t="inlineStr">
        <is>
          <t>Scope 2 (marché)</t>
        </is>
      </c>
      <c r="E19" s="148" t="n">
        <v>0.386</v>
      </c>
      <c r="F19" s="148" t="inlineStr">
        <is>
          <t>tCO₂/MWh</t>
        </is>
      </c>
      <c r="G19" s="148" t="n">
        <v>0.386</v>
      </c>
      <c r="H19" s="148" t="inlineStr">
        <is>
          <t>Mix US (gaz+charbon)</t>
        </is>
      </c>
      <c r="I19" s="148" t="n">
        <v>2025</v>
      </c>
      <c r="J19" s="148" t="inlineStr">
        <is>
          <t>EPA eGRID 2025</t>
        </is>
      </c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</row>
    <row r="20">
      <c r="A20" s="148" t="inlineStr">
        <is>
          <t>US_Filiale</t>
        </is>
      </c>
      <c r="B20" s="148" t="inlineStr">
        <is>
          <t>États-Unis</t>
        </is>
      </c>
      <c r="C20" s="148" t="inlineStr">
        <is>
          <t>Gaz naturel</t>
        </is>
      </c>
      <c r="D20" s="148" t="inlineStr">
        <is>
          <t>Scope 1</t>
        </is>
      </c>
      <c r="E20" s="148" t="n">
        <v>0.202</v>
      </c>
      <c r="F20" s="148" t="inlineStr">
        <is>
          <t>tCO₂/MWh</t>
        </is>
      </c>
      <c r="G20" s="148" t="n">
        <v>0.202</v>
      </c>
      <c r="H20" s="148" t="inlineStr">
        <is>
          <t>Combustion directe</t>
        </is>
      </c>
      <c r="I20" s="148" t="n">
        <v>2025</v>
      </c>
      <c r="J20" s="148" t="inlineStr">
        <is>
          <t>EPA AP-42</t>
        </is>
      </c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</row>
    <row r="21">
      <c r="A21" s="148" t="inlineStr">
        <is>
          <t>US_Filiale</t>
        </is>
      </c>
      <c r="B21" s="148" t="inlineStr">
        <is>
          <t>États-Unis</t>
        </is>
      </c>
      <c r="C21" s="148" t="inlineStr">
        <is>
          <t>Transport &amp; logistique</t>
        </is>
      </c>
      <c r="D21" s="148" t="inlineStr">
        <is>
          <t>Scope 3 cat.4</t>
        </is>
      </c>
      <c r="E21" s="148" t="n">
        <v>0.09619999999999999</v>
      </c>
      <c r="F21" s="148" t="inlineStr">
        <is>
          <t>tCO₂/t.km</t>
        </is>
      </c>
      <c r="G21" s="148" t="n">
        <v>0.09619999999999999</v>
      </c>
      <c r="H21" s="148" t="inlineStr">
        <is>
          <t>Transport camion TL</t>
        </is>
      </c>
      <c r="I21" s="148" t="n">
        <v>2025</v>
      </c>
      <c r="J21" s="148" t="inlineStr">
        <is>
          <t>EPA SmartWay</t>
        </is>
      </c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</row>
    <row r="22">
      <c r="A22" s="148" t="inlineStr">
        <is>
          <t>US_Filiale</t>
        </is>
      </c>
      <c r="B22" s="148" t="inlineStr">
        <is>
          <t>États-Unis</t>
        </is>
      </c>
      <c r="C22" s="148" t="inlineStr">
        <is>
          <t>Achats &amp; supply chain</t>
        </is>
      </c>
      <c r="D22" s="148" t="inlineStr">
        <is>
          <t>Scope 3 cat.1</t>
        </is>
      </c>
      <c r="E22" s="148" t="n">
        <v>0.45</v>
      </c>
      <c r="F22" s="148" t="inlineStr">
        <is>
          <t>tCO₂/k€ achat</t>
        </is>
      </c>
      <c r="G22" s="148" t="n">
        <v>0.45</v>
      </c>
      <c r="H22" s="148" t="inlineStr">
        <is>
          <t>Distribution retail</t>
        </is>
      </c>
      <c r="I22" s="148" t="n">
        <v>2025</v>
      </c>
      <c r="J22" s="148" t="inlineStr">
        <is>
          <t>Ecoinvent 3.9</t>
        </is>
      </c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</row>
    <row r="23">
      <c r="A23" s="100" t="inlineStr">
        <is>
          <t>SG_Filiale</t>
        </is>
      </c>
      <c r="B23" s="100" t="inlineStr">
        <is>
          <t>Singapour</t>
        </is>
      </c>
      <c r="C23" s="100" t="inlineStr">
        <is>
          <t>Électricité réseau</t>
        </is>
      </c>
      <c r="D23" s="100" t="inlineStr">
        <is>
          <t>Scope 2 (marché)</t>
        </is>
      </c>
      <c r="E23" s="100" t="n">
        <v>0.408</v>
      </c>
      <c r="F23" s="100" t="inlineStr">
        <is>
          <t>tCO₂/MWh</t>
        </is>
      </c>
      <c r="G23" s="100" t="n">
        <v>0.408</v>
      </c>
      <c r="H23" s="100" t="inlineStr">
        <is>
          <t>Mix SG (gaz naturel 95%)</t>
        </is>
      </c>
      <c r="I23" s="100" t="n">
        <v>2025</v>
      </c>
      <c r="J23" s="100" t="inlineStr">
        <is>
          <t>EMA Singapore</t>
        </is>
      </c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</row>
    <row r="24">
      <c r="A24" s="100" t="inlineStr">
        <is>
          <t>SG_Filiale</t>
        </is>
      </c>
      <c r="B24" s="100" t="inlineStr">
        <is>
          <t>Singapour</t>
        </is>
      </c>
      <c r="C24" s="100" t="inlineStr">
        <is>
          <t>Gaz naturel</t>
        </is>
      </c>
      <c r="D24" s="100" t="inlineStr">
        <is>
          <t>Scope 1</t>
        </is>
      </c>
      <c r="E24" s="100" t="n">
        <v>0.201</v>
      </c>
      <c r="F24" s="100" t="inlineStr">
        <is>
          <t>tCO₂/MWh</t>
        </is>
      </c>
      <c r="G24" s="100" t="n">
        <v>0.201</v>
      </c>
      <c r="H24" s="100" t="inlineStr">
        <is>
          <t>Combustion directe</t>
        </is>
      </c>
      <c r="I24" s="100" t="n">
        <v>2025</v>
      </c>
      <c r="J24" s="100" t="inlineStr">
        <is>
          <t>IPCC AR6</t>
        </is>
      </c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</row>
    <row r="25">
      <c r="A25" s="100" t="inlineStr">
        <is>
          <t>SG_Filiale</t>
        </is>
      </c>
      <c r="B25" s="100" t="inlineStr">
        <is>
          <t>Singapour</t>
        </is>
      </c>
      <c r="C25" s="100" t="inlineStr">
        <is>
          <t>Déplacements régionaux</t>
        </is>
      </c>
      <c r="D25" s="100" t="inlineStr">
        <is>
          <t>Scope 3 cat.6</t>
        </is>
      </c>
      <c r="E25" s="100" t="n">
        <v>0.182</v>
      </c>
      <c r="F25" s="100" t="inlineStr">
        <is>
          <t>tCO₂/km</t>
        </is>
      </c>
      <c r="G25" s="100" t="n">
        <v>0.182</v>
      </c>
      <c r="H25" s="100" t="inlineStr">
        <is>
          <t>Transport aérien régional</t>
        </is>
      </c>
      <c r="I25" s="100" t="n">
        <v>2025</v>
      </c>
      <c r="J25" s="100" t="inlineStr">
        <is>
          <t>ICAO Carbon Calculator</t>
        </is>
      </c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</row>
    <row r="26">
      <c r="A26" s="142" t="n"/>
      <c r="B26" s="142" t="n"/>
      <c r="C26" s="142" t="n"/>
      <c r="D26" s="142" t="n"/>
      <c r="E26" s="142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</row>
    <row r="27">
      <c r="A27" s="142" t="n"/>
      <c r="B27" s="142" t="n"/>
      <c r="C27" s="142" t="n"/>
      <c r="D27" s="142" t="n"/>
      <c r="E27" s="142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</row>
    <row r="28">
      <c r="A28" s="597" t="inlineStr">
        <is>
          <t>SECTION 2 – ÉMISSIONS BRUTES PAR ENTITÉ, PAR SCOPE ET PAR MOIS 2025 (tCO₂eq)</t>
        </is>
      </c>
      <c r="S28" s="142" t="n"/>
      <c r="T28" s="142" t="n"/>
    </row>
    <row r="29">
      <c r="A29" s="145" t="inlineStr">
        <is>
          <t>Entité</t>
        </is>
      </c>
      <c r="B29" s="145" t="inlineStr">
        <is>
          <t>Scope</t>
        </is>
      </c>
      <c r="C29" s="145" t="inlineStr">
        <is>
          <t>T1-2025</t>
        </is>
      </c>
      <c r="D29" s="145" t="inlineStr">
        <is>
          <t>T2-2025</t>
        </is>
      </c>
      <c r="E29" s="145" t="inlineStr">
        <is>
          <t>T3-2025</t>
        </is>
      </c>
      <c r="F29" s="145" t="inlineStr">
        <is>
          <t>T4-2025</t>
        </is>
      </c>
      <c r="G29" s="145" t="inlineStr">
        <is>
          <t>TOTAL_2025</t>
        </is>
      </c>
      <c r="H29" s="145" t="inlineStr">
        <is>
          <t>TOTAL_2024</t>
        </is>
      </c>
      <c r="I29" s="145" t="inlineStr">
        <is>
          <t>Δ %</t>
        </is>
      </c>
      <c r="J29" s="145" t="inlineStr">
        <is>
          <t>Objectif_2030</t>
        </is>
      </c>
      <c r="K29" s="145" t="inlineStr">
        <is>
          <t>Écart_Obj</t>
        </is>
      </c>
      <c r="L29" s="145" t="inlineStr">
        <is>
          <t>% Atteinte</t>
        </is>
      </c>
      <c r="M29" s="145" t="inlineStr">
        <is>
          <t>Intensité (tCO₂/M€ CA)</t>
        </is>
      </c>
      <c r="N29" s="145" t="inlineStr">
        <is>
          <t>Intensité N-1</t>
        </is>
      </c>
      <c r="O29" s="145" t="inlineStr">
        <is>
          <t>Pondération Groupe</t>
        </is>
      </c>
      <c r="P29" s="145" t="inlineStr">
        <is>
          <t>Note ESRS</t>
        </is>
      </c>
      <c r="Q29" s="145" t="inlineStr">
        <is>
          <t>Vérif. Tiers</t>
        </is>
      </c>
      <c r="R29" s="145" t="inlineStr">
        <is>
          <t>Statut</t>
        </is>
      </c>
      <c r="S29" s="142" t="n"/>
      <c r="T29" s="142" t="n"/>
    </row>
    <row r="30">
      <c r="A30" s="149" t="inlineStr">
        <is>
          <t>FR_ParentCo</t>
        </is>
      </c>
      <c r="B30" s="149" t="inlineStr">
        <is>
          <t>Scope 1 (direct)</t>
        </is>
      </c>
      <c r="C30" s="149" t="n">
        <v>3050</v>
      </c>
      <c r="D30" s="149" t="n">
        <v>3120</v>
      </c>
      <c r="E30" s="149" t="n">
        <v>3180</v>
      </c>
      <c r="F30" s="149" t="n">
        <v>3050</v>
      </c>
      <c r="G30" s="149">
        <f>SUM(C30:F30)</f>
        <v/>
      </c>
      <c r="H30" s="149" t="n">
        <v>13200</v>
      </c>
      <c r="I30" s="1080">
        <f>IFERROR((G30-H30)/ABS(H30),"")</f>
        <v/>
      </c>
      <c r="J30" s="149" t="n">
        <v>7800</v>
      </c>
      <c r="K30" s="149">
        <f>G30-J30</f>
        <v/>
      </c>
      <c r="L30" s="151">
        <f>IFERROR(G30/J30,"")</f>
        <v/>
      </c>
      <c r="M30" s="1081">
        <f>IFERROR(G30/(CONSOL_CR!D7/1000),"")</f>
        <v/>
      </c>
      <c r="N30" s="149" t="n"/>
      <c r="O30" s="151">
        <f>IFERROR(CONSOL_CR!D7/CONSOL_CR!K7,"")</f>
        <v/>
      </c>
      <c r="P30" s="149" t="inlineStr">
        <is>
          <t>E1-6 §44a</t>
        </is>
      </c>
      <c r="Q30" s="149" t="inlineStr">
        <is>
          <t>✅ Vérifié tiers</t>
        </is>
      </c>
      <c r="R30" s="149" t="inlineStr">
        <is>
          <t>Conforme</t>
        </is>
      </c>
      <c r="S30" s="142" t="n"/>
      <c r="T30" s="142" t="n"/>
    </row>
    <row r="31">
      <c r="A31" s="153" t="inlineStr">
        <is>
          <t>FR_ParentCo</t>
        </is>
      </c>
      <c r="B31" s="153" t="inlineStr">
        <is>
          <t>Scope 2 (énergie – marché)</t>
        </is>
      </c>
      <c r="C31" s="153" t="n">
        <v>2180</v>
      </c>
      <c r="D31" s="153" t="n">
        <v>2200</v>
      </c>
      <c r="E31" s="153" t="n">
        <v>2250</v>
      </c>
      <c r="F31" s="153" t="n">
        <v>2270</v>
      </c>
      <c r="G31" s="153">
        <f>SUM(C31:F31)</f>
        <v/>
      </c>
      <c r="H31" s="153" t="n">
        <v>9600</v>
      </c>
      <c r="I31" s="1082">
        <f>IFERROR((G31-H31)/ABS(H31),"")</f>
        <v/>
      </c>
      <c r="J31" s="153" t="n">
        <v>5000</v>
      </c>
      <c r="K31" s="153">
        <f>G31-J31</f>
        <v/>
      </c>
      <c r="L31" s="155">
        <f>IFERROR(G31/J31,"")</f>
        <v/>
      </c>
      <c r="M31" s="1083">
        <f>IFERROR(G31/(CONSOL_CR!D7/1000),"")</f>
        <v/>
      </c>
      <c r="N31" s="153" t="n"/>
      <c r="O31" s="155">
        <f>IFERROR(CONSOL_CR!D7/CONSOL_CR!K7,"")</f>
        <v/>
      </c>
      <c r="P31" s="153" t="inlineStr">
        <is>
          <t>E1-6 §44b</t>
        </is>
      </c>
      <c r="Q31" s="153" t="inlineStr">
        <is>
          <t>✅ Vérifié tiers</t>
        </is>
      </c>
      <c r="R31" s="153" t="inlineStr">
        <is>
          <t>Conforme</t>
        </is>
      </c>
      <c r="S31" s="142" t="n"/>
      <c r="T31" s="142" t="n"/>
    </row>
    <row r="32">
      <c r="A32" s="157" t="inlineStr">
        <is>
          <t>FR_ParentCo</t>
        </is>
      </c>
      <c r="B32" s="157" t="inlineStr">
        <is>
          <t>Scope 3 (chaîne valeur)</t>
        </is>
      </c>
      <c r="C32" s="157" t="n">
        <v>20500</v>
      </c>
      <c r="D32" s="157" t="n">
        <v>21800</v>
      </c>
      <c r="E32" s="157" t="n">
        <v>22200</v>
      </c>
      <c r="F32" s="157" t="n">
        <v>20500</v>
      </c>
      <c r="G32" s="157">
        <f>SUM(C32:F32)</f>
        <v/>
      </c>
      <c r="H32" s="157" t="n">
        <v>92000</v>
      </c>
      <c r="I32" s="1084">
        <f>IFERROR((G32-H32)/ABS(H32),"")</f>
        <v/>
      </c>
      <c r="J32" s="157" t="n">
        <v>55000</v>
      </c>
      <c r="K32" s="157">
        <f>G32-J32</f>
        <v/>
      </c>
      <c r="L32" s="159">
        <f>IFERROR(G32/J32,"")</f>
        <v/>
      </c>
      <c r="M32" s="1085">
        <f>IFERROR(G32/(CONSOL_CR!D7/1000),"")</f>
        <v/>
      </c>
      <c r="N32" s="157" t="n"/>
      <c r="O32" s="159">
        <f>IFERROR(CONSOL_CR!D7/CONSOL_CR!K7,"")</f>
        <v/>
      </c>
      <c r="P32" s="157" t="inlineStr">
        <is>
          <t>E1-6 §44c</t>
        </is>
      </c>
      <c r="Q32" s="157" t="inlineStr">
        <is>
          <t>🔄 Auto-déclaré</t>
        </is>
      </c>
      <c r="R32" s="157" t="inlineStr">
        <is>
          <t>À vérifier</t>
        </is>
      </c>
      <c r="S32" s="142" t="n"/>
      <c r="T32" s="142" t="n"/>
    </row>
    <row r="33">
      <c r="A33" s="149" t="inlineStr">
        <is>
          <t>DE_Filiale</t>
        </is>
      </c>
      <c r="B33" s="149" t="inlineStr">
        <is>
          <t>Scope 1 (direct)</t>
        </is>
      </c>
      <c r="C33" s="149" t="n">
        <v>7200</v>
      </c>
      <c r="D33" s="149" t="n">
        <v>7350</v>
      </c>
      <c r="E33" s="149" t="n">
        <v>7480</v>
      </c>
      <c r="F33" s="149" t="n">
        <v>7570</v>
      </c>
      <c r="G33" s="149">
        <f>SUM(C33:F33)</f>
        <v/>
      </c>
      <c r="H33" s="149" t="n">
        <v>30200</v>
      </c>
      <c r="I33" s="1080">
        <f>IFERROR((G33-H33)/ABS(H33),"")</f>
        <v/>
      </c>
      <c r="J33" s="149" t="n">
        <v>18000</v>
      </c>
      <c r="K33" s="149">
        <f>G33-J33</f>
        <v/>
      </c>
      <c r="L33" s="151">
        <f>IFERROR(G33/J33,"")</f>
        <v/>
      </c>
      <c r="M33" s="1081">
        <f>IFERROR(G33/(CONSOL_CR!E7/1000),"")</f>
        <v/>
      </c>
      <c r="N33" s="149" t="n"/>
      <c r="O33" s="151">
        <f>IFERROR(CONSOL_CR!E7/CONSOL_CR!K7,"")</f>
        <v/>
      </c>
      <c r="P33" s="149" t="inlineStr">
        <is>
          <t>E1-6 §44a</t>
        </is>
      </c>
      <c r="Q33" s="149" t="inlineStr">
        <is>
          <t>✅ Vérifié tiers</t>
        </is>
      </c>
      <c r="R33" s="149" t="inlineStr">
        <is>
          <t>Conforme</t>
        </is>
      </c>
      <c r="S33" s="142" t="n"/>
      <c r="T33" s="142" t="n"/>
    </row>
    <row r="34">
      <c r="A34" s="153" t="inlineStr">
        <is>
          <t>DE_Filiale</t>
        </is>
      </c>
      <c r="B34" s="153" t="inlineStr">
        <is>
          <t>Scope 2 (énergie – marché)</t>
        </is>
      </c>
      <c r="C34" s="153" t="n">
        <v>3800</v>
      </c>
      <c r="D34" s="153" t="n">
        <v>3920</v>
      </c>
      <c r="E34" s="153" t="n">
        <v>4010</v>
      </c>
      <c r="F34" s="153" t="n">
        <v>3870</v>
      </c>
      <c r="G34" s="153">
        <f>SUM(C34:F34)</f>
        <v/>
      </c>
      <c r="H34" s="153" t="n">
        <v>16400</v>
      </c>
      <c r="I34" s="1082">
        <f>IFERROR((G34-H34)/ABS(H34),"")</f>
        <v/>
      </c>
      <c r="J34" s="153" t="n">
        <v>9000</v>
      </c>
      <c r="K34" s="153">
        <f>G34-J34</f>
        <v/>
      </c>
      <c r="L34" s="155">
        <f>IFERROR(G34/J34,"")</f>
        <v/>
      </c>
      <c r="M34" s="1083">
        <f>IFERROR(G34/(CONSOL_CR!E7/1000),"")</f>
        <v/>
      </c>
      <c r="N34" s="153" t="n"/>
      <c r="O34" s="155">
        <f>IFERROR(CONSOL_CR!E7/CONSOL_CR!K7,"")</f>
        <v/>
      </c>
      <c r="P34" s="153" t="inlineStr">
        <is>
          <t>E1-6 §44b</t>
        </is>
      </c>
      <c r="Q34" s="153" t="inlineStr">
        <is>
          <t>✅ Vérifié tiers</t>
        </is>
      </c>
      <c r="R34" s="153" t="inlineStr">
        <is>
          <t>Conforme</t>
        </is>
      </c>
      <c r="S34" s="142" t="n"/>
      <c r="T34" s="142" t="n"/>
    </row>
    <row r="35">
      <c r="A35" s="157" t="inlineStr">
        <is>
          <t>DE_Filiale</t>
        </is>
      </c>
      <c r="B35" s="157" t="inlineStr">
        <is>
          <t>Scope 3 (chaîne valeur)</t>
        </is>
      </c>
      <c r="C35" s="157" t="n">
        <v>34500</v>
      </c>
      <c r="D35" s="157" t="n">
        <v>36200</v>
      </c>
      <c r="E35" s="157" t="n">
        <v>37100</v>
      </c>
      <c r="F35" s="157" t="n">
        <v>34200</v>
      </c>
      <c r="G35" s="157">
        <f>SUM(C35:F35)</f>
        <v/>
      </c>
      <c r="H35" s="157" t="n">
        <v>152000</v>
      </c>
      <c r="I35" s="1084">
        <f>IFERROR((G35-H35)/ABS(H35),"")</f>
        <v/>
      </c>
      <c r="J35" s="157" t="n">
        <v>85000</v>
      </c>
      <c r="K35" s="157">
        <f>G35-J35</f>
        <v/>
      </c>
      <c r="L35" s="159">
        <f>IFERROR(G35/J35,"")</f>
        <v/>
      </c>
      <c r="M35" s="1085">
        <f>IFERROR(G35/(CONSOL_CR!E7/1000),"")</f>
        <v/>
      </c>
      <c r="N35" s="157" t="n"/>
      <c r="O35" s="159">
        <f>IFERROR(CONSOL_CR!E7/CONSOL_CR!K7,"")</f>
        <v/>
      </c>
      <c r="P35" s="157" t="inlineStr">
        <is>
          <t>E1-6 §44c</t>
        </is>
      </c>
      <c r="Q35" s="157" t="inlineStr">
        <is>
          <t>🔄 Auto-déclaré</t>
        </is>
      </c>
      <c r="R35" s="157" t="inlineStr">
        <is>
          <t>À vérifier</t>
        </is>
      </c>
      <c r="S35" s="142" t="n"/>
      <c r="T35" s="142" t="n"/>
    </row>
    <row r="36">
      <c r="A36" s="149" t="inlineStr">
        <is>
          <t>UK_Filiale</t>
        </is>
      </c>
      <c r="B36" s="149" t="inlineStr">
        <is>
          <t>Scope 1 (direct)</t>
        </is>
      </c>
      <c r="C36" s="149" t="n">
        <v>1980</v>
      </c>
      <c r="D36" s="149" t="n">
        <v>2020</v>
      </c>
      <c r="E36" s="149" t="n">
        <v>2050</v>
      </c>
      <c r="F36" s="149" t="n">
        <v>2150</v>
      </c>
      <c r="G36" s="149">
        <f>SUM(C36:F36)</f>
        <v/>
      </c>
      <c r="H36" s="149" t="n">
        <v>8600</v>
      </c>
      <c r="I36" s="1080">
        <f>IFERROR((G36-H36)/ABS(H36),"")</f>
        <v/>
      </c>
      <c r="J36" s="149" t="n">
        <v>5000</v>
      </c>
      <c r="K36" s="149">
        <f>G36-J36</f>
        <v/>
      </c>
      <c r="L36" s="151">
        <f>IFERROR(G36/J36,"")</f>
        <v/>
      </c>
      <c r="M36" s="1081">
        <f>IFERROR(G36/(CONSOL_CR!F7/1000),"")</f>
        <v/>
      </c>
      <c r="N36" s="149" t="n"/>
      <c r="O36" s="151">
        <f>IFERROR(CONSOL_CR!F7/CONSOL_CR!K7,"")</f>
        <v/>
      </c>
      <c r="P36" s="149" t="inlineStr">
        <is>
          <t>E1-6 §44a</t>
        </is>
      </c>
      <c r="Q36" s="149" t="inlineStr">
        <is>
          <t>✅ Vérifié tiers</t>
        </is>
      </c>
      <c r="R36" s="149" t="inlineStr">
        <is>
          <t>Conforme</t>
        </is>
      </c>
      <c r="S36" s="142" t="n"/>
      <c r="T36" s="142" t="n"/>
    </row>
    <row r="37">
      <c r="A37" s="153" t="inlineStr">
        <is>
          <t>UK_Filiale</t>
        </is>
      </c>
      <c r="B37" s="153" t="inlineStr">
        <is>
          <t>Scope 2 (énergie – marché)</t>
        </is>
      </c>
      <c r="C37" s="153" t="n">
        <v>1520</v>
      </c>
      <c r="D37" s="153" t="n">
        <v>1580</v>
      </c>
      <c r="E37" s="153" t="n">
        <v>1600</v>
      </c>
      <c r="F37" s="153" t="n">
        <v>1400</v>
      </c>
      <c r="G37" s="153">
        <f>SUM(C37:F37)</f>
        <v/>
      </c>
      <c r="H37" s="153" t="n">
        <v>6500</v>
      </c>
      <c r="I37" s="1082">
        <f>IFERROR((G37-H37)/ABS(H37),"")</f>
        <v/>
      </c>
      <c r="J37" s="153" t="n">
        <v>3500</v>
      </c>
      <c r="K37" s="153">
        <f>G37-J37</f>
        <v/>
      </c>
      <c r="L37" s="155">
        <f>IFERROR(G37/J37,"")</f>
        <v/>
      </c>
      <c r="M37" s="1083">
        <f>IFERROR(G37/(CONSOL_CR!F7/1000),"")</f>
        <v/>
      </c>
      <c r="N37" s="153" t="n"/>
      <c r="O37" s="155">
        <f>IFERROR(CONSOL_CR!F7/CONSOL_CR!K7,"")</f>
        <v/>
      </c>
      <c r="P37" s="153" t="inlineStr">
        <is>
          <t>E1-6 §44b</t>
        </is>
      </c>
      <c r="Q37" s="153" t="inlineStr">
        <is>
          <t>✅ Vérifié tiers</t>
        </is>
      </c>
      <c r="R37" s="153" t="inlineStr">
        <is>
          <t>Conforme</t>
        </is>
      </c>
      <c r="S37" s="142" t="n"/>
      <c r="T37" s="142" t="n"/>
    </row>
    <row r="38">
      <c r="A38" s="157" t="inlineStr">
        <is>
          <t>UK_Filiale</t>
        </is>
      </c>
      <c r="B38" s="157" t="inlineStr">
        <is>
          <t>Scope 3 (chaîne valeur)</t>
        </is>
      </c>
      <c r="C38" s="157" t="n">
        <v>15200</v>
      </c>
      <c r="D38" s="157" t="n">
        <v>15800</v>
      </c>
      <c r="E38" s="157" t="n">
        <v>16100</v>
      </c>
      <c r="F38" s="157" t="n">
        <v>14900</v>
      </c>
      <c r="G38" s="157">
        <f>SUM(C38:F38)</f>
        <v/>
      </c>
      <c r="H38" s="157" t="n">
        <v>64000</v>
      </c>
      <c r="I38" s="1084">
        <f>IFERROR((G38-H38)/ABS(H38),"")</f>
        <v/>
      </c>
      <c r="J38" s="157" t="n">
        <v>35000</v>
      </c>
      <c r="K38" s="157">
        <f>G38-J38</f>
        <v/>
      </c>
      <c r="L38" s="159">
        <f>IFERROR(G38/J38,"")</f>
        <v/>
      </c>
      <c r="M38" s="1085">
        <f>IFERROR(G38/(CONSOL_CR!F7/1000),"")</f>
        <v/>
      </c>
      <c r="N38" s="157" t="n"/>
      <c r="O38" s="159">
        <f>IFERROR(CONSOL_CR!F7/CONSOL_CR!K7,"")</f>
        <v/>
      </c>
      <c r="P38" s="157" t="inlineStr">
        <is>
          <t>E1-6 §44c</t>
        </is>
      </c>
      <c r="Q38" s="157" t="inlineStr">
        <is>
          <t>🔄 Auto-déclaré</t>
        </is>
      </c>
      <c r="R38" s="157" t="inlineStr">
        <is>
          <t>À vérifier</t>
        </is>
      </c>
      <c r="S38" s="142" t="n"/>
      <c r="T38" s="142" t="n"/>
    </row>
    <row r="39">
      <c r="A39" s="149" t="inlineStr">
        <is>
          <t>US_Filiale</t>
        </is>
      </c>
      <c r="B39" s="149" t="inlineStr">
        <is>
          <t>Scope 1 (direct)</t>
        </is>
      </c>
      <c r="C39" s="149" t="n">
        <v>4620</v>
      </c>
      <c r="D39" s="149" t="n">
        <v>4750</v>
      </c>
      <c r="E39" s="149" t="n">
        <v>4830</v>
      </c>
      <c r="F39" s="149" t="n">
        <v>4700</v>
      </c>
      <c r="G39" s="149">
        <f>SUM(C39:F39)</f>
        <v/>
      </c>
      <c r="H39" s="149" t="n">
        <v>19800</v>
      </c>
      <c r="I39" s="1080">
        <f>IFERROR((G39-H39)/ABS(H39),"")</f>
        <v/>
      </c>
      <c r="J39" s="149" t="n">
        <v>11000</v>
      </c>
      <c r="K39" s="149">
        <f>G39-J39</f>
        <v/>
      </c>
      <c r="L39" s="151">
        <f>IFERROR(G39/J39,"")</f>
        <v/>
      </c>
      <c r="M39" s="1081">
        <f>IFERROR(G39/(CONSOL_CR!G7/1000),"")</f>
        <v/>
      </c>
      <c r="N39" s="149" t="n"/>
      <c r="O39" s="151">
        <f>IFERROR(CONSOL_CR!G7/CONSOL_CR!K7,"")</f>
        <v/>
      </c>
      <c r="P39" s="149" t="inlineStr">
        <is>
          <t>E1-6 §44a</t>
        </is>
      </c>
      <c r="Q39" s="149" t="inlineStr">
        <is>
          <t>✅ Vérifié tiers</t>
        </is>
      </c>
      <c r="R39" s="149" t="inlineStr">
        <is>
          <t>Conforme</t>
        </is>
      </c>
      <c r="S39" s="142" t="n"/>
      <c r="T39" s="142" t="n"/>
    </row>
    <row r="40">
      <c r="A40" s="153" t="inlineStr">
        <is>
          <t>US_Filiale</t>
        </is>
      </c>
      <c r="B40" s="153" t="inlineStr">
        <is>
          <t>Scope 2 (énergie – marché)</t>
        </is>
      </c>
      <c r="C40" s="153" t="n">
        <v>3480</v>
      </c>
      <c r="D40" s="153" t="n">
        <v>3550</v>
      </c>
      <c r="E40" s="153" t="n">
        <v>3620</v>
      </c>
      <c r="F40" s="153" t="n">
        <v>3450</v>
      </c>
      <c r="G40" s="153">
        <f>SUM(C40:F40)</f>
        <v/>
      </c>
      <c r="H40" s="153" t="n">
        <v>14700</v>
      </c>
      <c r="I40" s="1082">
        <f>IFERROR((G40-H40)/ABS(H40),"")</f>
        <v/>
      </c>
      <c r="J40" s="153" t="n">
        <v>8000</v>
      </c>
      <c r="K40" s="153">
        <f>G40-J40</f>
        <v/>
      </c>
      <c r="L40" s="155">
        <f>IFERROR(G40/J40,"")</f>
        <v/>
      </c>
      <c r="M40" s="1083">
        <f>IFERROR(G40/(CONSOL_CR!G7/1000),"")</f>
        <v/>
      </c>
      <c r="N40" s="153" t="n"/>
      <c r="O40" s="155">
        <f>IFERROR(CONSOL_CR!G7/CONSOL_CR!K7,"")</f>
        <v/>
      </c>
      <c r="P40" s="153" t="inlineStr">
        <is>
          <t>E1-6 §44b</t>
        </is>
      </c>
      <c r="Q40" s="153" t="inlineStr">
        <is>
          <t>✅ Vérifié tiers</t>
        </is>
      </c>
      <c r="R40" s="153" t="inlineStr">
        <is>
          <t>Conforme</t>
        </is>
      </c>
      <c r="S40" s="142" t="n"/>
      <c r="T40" s="142" t="n"/>
    </row>
    <row r="41">
      <c r="A41" s="157" t="inlineStr">
        <is>
          <t>US_Filiale</t>
        </is>
      </c>
      <c r="B41" s="157" t="inlineStr">
        <is>
          <t>Scope 3 (chaîne valeur)</t>
        </is>
      </c>
      <c r="C41" s="157" t="n">
        <v>47500</v>
      </c>
      <c r="D41" s="157" t="n">
        <v>48200</v>
      </c>
      <c r="E41" s="157" t="n">
        <v>49100</v>
      </c>
      <c r="F41" s="157" t="n">
        <v>50200</v>
      </c>
      <c r="G41" s="157">
        <f>SUM(C41:F41)</f>
        <v/>
      </c>
      <c r="H41" s="157" t="n">
        <v>202000</v>
      </c>
      <c r="I41" s="1084">
        <f>IFERROR((G41-H41)/ABS(H41),"")</f>
        <v/>
      </c>
      <c r="J41" s="157" t="n">
        <v>110000</v>
      </c>
      <c r="K41" s="157">
        <f>G41-J41</f>
        <v/>
      </c>
      <c r="L41" s="159">
        <f>IFERROR(G41/J41,"")</f>
        <v/>
      </c>
      <c r="M41" s="1085">
        <f>IFERROR(G41/(CONSOL_CR!G7/1000),"")</f>
        <v/>
      </c>
      <c r="N41" s="157" t="n"/>
      <c r="O41" s="159">
        <f>IFERROR(CONSOL_CR!G7/CONSOL_CR!K7,"")</f>
        <v/>
      </c>
      <c r="P41" s="157" t="inlineStr">
        <is>
          <t>E1-6 §44c</t>
        </is>
      </c>
      <c r="Q41" s="157" t="inlineStr">
        <is>
          <t>🔄 Auto-déclaré</t>
        </is>
      </c>
      <c r="R41" s="157" t="inlineStr">
        <is>
          <t>À vérifier</t>
        </is>
      </c>
      <c r="S41" s="142" t="n"/>
      <c r="T41" s="142" t="n"/>
    </row>
    <row r="42">
      <c r="A42" s="149" t="inlineStr">
        <is>
          <t>SG_Filiale</t>
        </is>
      </c>
      <c r="B42" s="149" t="inlineStr">
        <is>
          <t>Scope 1 (direct)</t>
        </is>
      </c>
      <c r="C42" s="149" t="n">
        <v>1340</v>
      </c>
      <c r="D42" s="149" t="n">
        <v>1380</v>
      </c>
      <c r="E42" s="149" t="n">
        <v>1400</v>
      </c>
      <c r="F42" s="149" t="n">
        <v>1280</v>
      </c>
      <c r="G42" s="149">
        <f>SUM(C42:F42)</f>
        <v/>
      </c>
      <c r="H42" s="149" t="n">
        <v>5800</v>
      </c>
      <c r="I42" s="1080">
        <f>IFERROR((G42-H42)/ABS(H42),"")</f>
        <v/>
      </c>
      <c r="J42" s="149" t="n">
        <v>3200</v>
      </c>
      <c r="K42" s="149">
        <f>G42-J42</f>
        <v/>
      </c>
      <c r="L42" s="151">
        <f>IFERROR(G42/J42,"")</f>
        <v/>
      </c>
      <c r="M42" s="1081">
        <f>IFERROR(G42/(CONSOL_CR!H7/1000),"")</f>
        <v/>
      </c>
      <c r="N42" s="149" t="n"/>
      <c r="O42" s="151">
        <f>IFERROR(CONSOL_CR!H7/CONSOL_CR!K7,"")</f>
        <v/>
      </c>
      <c r="P42" s="149" t="inlineStr">
        <is>
          <t>E1-6 §44a</t>
        </is>
      </c>
      <c r="Q42" s="149" t="inlineStr">
        <is>
          <t>✅ Vérifié tiers</t>
        </is>
      </c>
      <c r="R42" s="149" t="inlineStr">
        <is>
          <t>Conforme</t>
        </is>
      </c>
      <c r="S42" s="142" t="n"/>
      <c r="T42" s="142" t="n"/>
    </row>
    <row r="43">
      <c r="A43" s="153" t="inlineStr">
        <is>
          <t>SG_Filiale</t>
        </is>
      </c>
      <c r="B43" s="153" t="inlineStr">
        <is>
          <t>Scope 2 (énergie – marché)</t>
        </is>
      </c>
      <c r="C43" s="153" t="n">
        <v>940</v>
      </c>
      <c r="D43" s="153" t="n">
        <v>980</v>
      </c>
      <c r="E43" s="153" t="n">
        <v>1010</v>
      </c>
      <c r="F43" s="153" t="n">
        <v>870</v>
      </c>
      <c r="G43" s="153">
        <f>SUM(C43:F43)</f>
        <v/>
      </c>
      <c r="H43" s="153" t="n">
        <v>4100</v>
      </c>
      <c r="I43" s="1082">
        <f>IFERROR((G43-H43)/ABS(H43),"")</f>
        <v/>
      </c>
      <c r="J43" s="153" t="n">
        <v>2000</v>
      </c>
      <c r="K43" s="153">
        <f>G43-J43</f>
        <v/>
      </c>
      <c r="L43" s="155">
        <f>IFERROR(G43/J43,"")</f>
        <v/>
      </c>
      <c r="M43" s="1083">
        <f>IFERROR(G43/(CONSOL_CR!H7/1000),"")</f>
        <v/>
      </c>
      <c r="N43" s="153" t="n"/>
      <c r="O43" s="155">
        <f>IFERROR(CONSOL_CR!H7/CONSOL_CR!K7,"")</f>
        <v/>
      </c>
      <c r="P43" s="153" t="inlineStr">
        <is>
          <t>E1-6 §44b</t>
        </is>
      </c>
      <c r="Q43" s="153" t="inlineStr">
        <is>
          <t>✅ Vérifié tiers</t>
        </is>
      </c>
      <c r="R43" s="153" t="inlineStr">
        <is>
          <t>Conforme</t>
        </is>
      </c>
      <c r="S43" s="142" t="n"/>
      <c r="T43" s="142" t="n"/>
    </row>
    <row r="44">
      <c r="A44" s="157" t="inlineStr">
        <is>
          <t>SG_Filiale</t>
        </is>
      </c>
      <c r="B44" s="157" t="inlineStr">
        <is>
          <t>Scope 3 (chaîne valeur)</t>
        </is>
      </c>
      <c r="C44" s="157" t="n">
        <v>7000</v>
      </c>
      <c r="D44" s="157" t="n">
        <v>7200</v>
      </c>
      <c r="E44" s="157" t="n">
        <v>7500</v>
      </c>
      <c r="F44" s="157" t="n">
        <v>6300</v>
      </c>
      <c r="G44" s="157">
        <f>SUM(C44:F44)</f>
        <v/>
      </c>
      <c r="H44" s="157" t="n">
        <v>28000</v>
      </c>
      <c r="I44" s="1084">
        <f>IFERROR((G44-H44)/ABS(H44),"")</f>
        <v/>
      </c>
      <c r="J44" s="157" t="n">
        <v>15000</v>
      </c>
      <c r="K44" s="157">
        <f>G44-J44</f>
        <v/>
      </c>
      <c r="L44" s="159">
        <f>IFERROR(G44/J44,"")</f>
        <v/>
      </c>
      <c r="M44" s="1085">
        <f>IFERROR(G44/(CONSOL_CR!H7/1000),"")</f>
        <v/>
      </c>
      <c r="N44" s="157" t="n"/>
      <c r="O44" s="159">
        <f>IFERROR(CONSOL_CR!H7/CONSOL_CR!K7,"")</f>
        <v/>
      </c>
      <c r="P44" s="157" t="inlineStr">
        <is>
          <t>E1-6 §44c</t>
        </is>
      </c>
      <c r="Q44" s="157" t="inlineStr">
        <is>
          <t>🔄 Auto-déclaré</t>
        </is>
      </c>
      <c r="R44" s="157" t="inlineStr">
        <is>
          <t>À vérifier</t>
        </is>
      </c>
      <c r="S44" s="142" t="n"/>
      <c r="T44" s="142" t="n"/>
    </row>
    <row r="45">
      <c r="A45" s="142" t="n"/>
      <c r="B45" s="142" t="n"/>
      <c r="C45" s="142" t="n"/>
      <c r="D45" s="142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</row>
    <row r="46">
      <c r="A46" s="142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</row>
    <row r="47">
      <c r="A47" s="597" t="inlineStr">
        <is>
          <t>SECTION 3 – CONSOLIDATION GROUPE : AGRÉGATS PAR SCOPE + PONDÉRATION</t>
        </is>
      </c>
      <c r="S47" s="142" t="n"/>
      <c r="T47" s="142" t="n"/>
    </row>
    <row r="48">
      <c r="A48" s="145" t="inlineStr">
        <is>
          <t>Scope</t>
        </is>
      </c>
      <c r="B48" s="145" t="inlineStr">
        <is>
          <t>Groupe_2025 (tCO₂eq)</t>
        </is>
      </c>
      <c r="C48" s="145" t="inlineStr">
        <is>
          <t>Groupe_2024</t>
        </is>
      </c>
      <c r="D48" s="145" t="inlineStr">
        <is>
          <t>Δ %</t>
        </is>
      </c>
      <c r="E48" s="145" t="inlineStr">
        <is>
          <t>Objectif_2030</t>
        </is>
      </c>
      <c r="F48" s="145" t="inlineStr">
        <is>
          <t>Écart_Obj</t>
        </is>
      </c>
      <c r="G48" s="145" t="inlineStr">
        <is>
          <t>% Atteinte</t>
        </is>
      </c>
      <c r="H48" s="145" t="inlineStr">
        <is>
          <t>Intensité Groupe</t>
        </is>
      </c>
      <c r="I48" s="145" t="inlineStr">
        <is>
          <t>Benchmark Secteur</t>
        </is>
      </c>
      <c r="J48" s="145" t="inlineStr">
        <is>
          <t>vs Benchmark</t>
        </is>
      </c>
      <c r="K48" s="145" t="inlineStr">
        <is>
          <t>Part Scope (%)</t>
        </is>
      </c>
      <c r="L48" s="145" t="inlineStr">
        <is>
          <t>Norme ESRS</t>
        </is>
      </c>
      <c r="M48" s="142" t="n"/>
      <c r="N48" s="142" t="n"/>
      <c r="O48" s="142" t="n"/>
      <c r="P48" s="142" t="n"/>
      <c r="Q48" s="142" t="n"/>
      <c r="R48" s="142" t="n"/>
      <c r="S48" s="142" t="n"/>
      <c r="T48" s="142" t="n"/>
    </row>
    <row r="49">
      <c r="A49" s="149" t="inlineStr">
        <is>
          <t>Scope 1 (direct)</t>
        </is>
      </c>
      <c r="B49" s="149">
        <f>G30+G33+G36+G39+G42</f>
        <v/>
      </c>
      <c r="C49" s="149" t="n">
        <v>116800</v>
      </c>
      <c r="D49" s="151">
        <f>IFERROR((B49-C49)/ABS(C49),"")</f>
        <v/>
      </c>
      <c r="E49" s="149" t="n">
        <v>54000</v>
      </c>
      <c r="F49" s="149">
        <f>B49-E49</f>
        <v/>
      </c>
      <c r="G49" s="151">
        <f>IFERROR(B49/E49,"")</f>
        <v/>
      </c>
      <c r="H49" s="1081">
        <f>IFERROR(B49/(CONSOL_CR!K7/1000),"")</f>
        <v/>
      </c>
      <c r="I49" s="149" t="n">
        <v>145</v>
      </c>
      <c r="J49" s="1086">
        <f>IFERROR(H49/I49,"")</f>
        <v/>
      </c>
      <c r="K49" s="151">
        <f>IFERROR(B49/SUM(B49:B51),"")</f>
        <v/>
      </c>
      <c r="L49" s="149" t="inlineStr">
        <is>
          <t>E1-6 §44a</t>
        </is>
      </c>
      <c r="M49" s="142" t="n"/>
      <c r="N49" s="142" t="n"/>
      <c r="O49" s="142" t="n"/>
      <c r="P49" s="142" t="n"/>
      <c r="Q49" s="142" t="n"/>
      <c r="R49" s="142" t="n"/>
      <c r="S49" s="142" t="n"/>
      <c r="T49" s="142" t="n"/>
    </row>
    <row r="50">
      <c r="A50" s="153" t="inlineStr">
        <is>
          <t>Scope 2 (énergie – marché)</t>
        </is>
      </c>
      <c r="B50" s="153">
        <f>G31+G34+G37+G40+G43</f>
        <v/>
      </c>
      <c r="C50" s="153" t="n">
        <v>51200</v>
      </c>
      <c r="D50" s="155">
        <f>IFERROR((B50-C50)/ABS(C50),"")</f>
        <v/>
      </c>
      <c r="E50" s="153" t="n">
        <v>27500</v>
      </c>
      <c r="F50" s="153">
        <f>B50-E50</f>
        <v/>
      </c>
      <c r="G50" s="155">
        <f>IFERROR(B50/E50,"")</f>
        <v/>
      </c>
      <c r="H50" s="1083">
        <f>IFERROR(B50/(CONSOL_CR!K7/1000),"")</f>
        <v/>
      </c>
      <c r="I50" s="153" t="n">
        <v>82</v>
      </c>
      <c r="J50" s="1087">
        <f>IFERROR(H50/I50,"")</f>
        <v/>
      </c>
      <c r="K50" s="155">
        <f>IFERROR(B50/SUM(B49:B51),"")</f>
        <v/>
      </c>
      <c r="L50" s="153" t="inlineStr">
        <is>
          <t>E1-6 §44b</t>
        </is>
      </c>
      <c r="M50" s="142" t="n"/>
      <c r="N50" s="142" t="n"/>
      <c r="O50" s="142" t="n"/>
      <c r="P50" s="142" t="n"/>
      <c r="Q50" s="142" t="n"/>
      <c r="R50" s="142" t="n"/>
      <c r="S50" s="142" t="n"/>
      <c r="T50" s="142" t="n"/>
    </row>
    <row r="51">
      <c r="A51" s="157" t="inlineStr">
        <is>
          <t>Scope 3 (chaîne valeur)</t>
        </is>
      </c>
      <c r="B51" s="157">
        <f>G32+G35+G38+G41+G44</f>
        <v/>
      </c>
      <c r="C51" s="157" t="n">
        <v>538000</v>
      </c>
      <c r="D51" s="159">
        <f>IFERROR((B51-C51)/ABS(C51),"")</f>
        <v/>
      </c>
      <c r="E51" s="157" t="n">
        <v>300000</v>
      </c>
      <c r="F51" s="157">
        <f>B51-E51</f>
        <v/>
      </c>
      <c r="G51" s="159">
        <f>IFERROR(B51/E51,"")</f>
        <v/>
      </c>
      <c r="H51" s="1085">
        <f>IFERROR(B51/(CONSOL_CR!K7/1000),"")</f>
        <v/>
      </c>
      <c r="I51" s="157" t="n">
        <v>680</v>
      </c>
      <c r="J51" s="1088">
        <f>IFERROR(H51/I51,"")</f>
        <v/>
      </c>
      <c r="K51" s="159">
        <f>IFERROR(B51/SUM(B49:B51),"")</f>
        <v/>
      </c>
      <c r="L51" s="157" t="inlineStr">
        <is>
          <t>E1-6 §44c</t>
        </is>
      </c>
      <c r="M51" s="142" t="n"/>
      <c r="N51" s="142" t="n"/>
      <c r="O51" s="142" t="n"/>
      <c r="P51" s="142" t="n"/>
      <c r="Q51" s="142" t="n"/>
      <c r="R51" s="142" t="n"/>
      <c r="S51" s="142" t="n"/>
      <c r="T51" s="142" t="n"/>
    </row>
    <row r="52">
      <c r="A52" s="145" t="inlineStr">
        <is>
          <t>🌍 TOTAL Scope 1+2+3 (tCO₂eq)</t>
        </is>
      </c>
      <c r="B52" s="145">
        <f>SUM(B49:B51)</f>
        <v/>
      </c>
      <c r="C52" s="145" t="n">
        <v>706000</v>
      </c>
      <c r="D52" s="165">
        <f>IFERROR((B52-C52)/ABS(C52),"")</f>
        <v/>
      </c>
      <c r="E52" s="145" t="n">
        <v>381500</v>
      </c>
      <c r="F52" s="145">
        <f>B52-E52</f>
        <v/>
      </c>
      <c r="G52" s="165">
        <f>IFERROR(B52/E52,"")</f>
        <v/>
      </c>
      <c r="H52" s="1089">
        <f>IFERROR(B52/(CONSOL_CR!K7/1000),"")</f>
        <v/>
      </c>
      <c r="I52" s="145" t="n"/>
      <c r="J52" s="145" t="n"/>
      <c r="K52" s="145" t="n"/>
      <c r="L52" s="145" t="n"/>
      <c r="M52" s="142" t="n"/>
      <c r="N52" s="142" t="n"/>
      <c r="O52" s="142" t="n"/>
      <c r="P52" s="142" t="n"/>
      <c r="Q52" s="142" t="n"/>
      <c r="R52" s="142" t="n"/>
      <c r="S52" s="142" t="n"/>
      <c r="T52" s="142" t="n"/>
    </row>
    <row r="53">
      <c r="A53" s="142" t="n"/>
      <c r="B53" s="14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</row>
    <row r="54">
      <c r="A54" s="142" t="n"/>
      <c r="B54" s="142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</row>
    <row r="55">
      <c r="A55" s="597" t="inlineStr">
        <is>
          <t>SECTION 4 – PRIX INTERNE DU CARBONE (CARBON PRICING) · Impact Financier Consolidé</t>
        </is>
      </c>
      <c r="M55" s="142" t="n"/>
      <c r="N55" s="142" t="n"/>
      <c r="O55" s="142" t="n"/>
      <c r="P55" s="142" t="n"/>
      <c r="Q55" s="142" t="n"/>
      <c r="R55" s="142" t="n"/>
      <c r="S55" s="142" t="n"/>
      <c r="T55" s="142" t="n"/>
    </row>
    <row r="56">
      <c r="A56" s="143" t="inlineStr">
        <is>
          <t>Prix interne carbone (€/tCO₂eq) :</t>
        </is>
      </c>
      <c r="B56" s="167" t="n">
        <v>35</v>
      </c>
      <c r="C56" s="594" t="inlineStr">
        <is>
          <t>€/tCO₂eq – Modifier ce paramètre pour le scénario de tarification carbone</t>
        </is>
      </c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</row>
    <row r="57">
      <c r="A57" s="543" t="inlineStr">
        <is>
          <t>Entité</t>
        </is>
      </c>
      <c r="B57" s="543" t="inlineStr">
        <is>
          <t>Scope 1+2 (tCO₂eq)</t>
        </is>
      </c>
      <c r="C57" s="543" t="inlineStr">
        <is>
          <t>Scope 3 (tCO₂eq)</t>
        </is>
      </c>
      <c r="D57" s="543" t="inlineStr">
        <is>
          <t>Total (tCO₂eq)</t>
        </is>
      </c>
      <c r="E57" s="543" t="inlineStr">
        <is>
          <t>Coût Carbone S1+2 (k€)</t>
        </is>
      </c>
      <c r="F57" s="543" t="inlineStr">
        <is>
          <t>Coût Carbone S3 (k€)</t>
        </is>
      </c>
      <c r="G57" s="543" t="inlineStr">
        <is>
          <t>Coût Total Carbone (k€)</t>
        </is>
      </c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</row>
    <row r="58">
      <c r="A58" s="98" t="inlineStr">
        <is>
          <t>FR_ParentCo</t>
        </is>
      </c>
      <c r="B58" s="98">
        <f>G30+G31</f>
        <v/>
      </c>
      <c r="C58" s="98">
        <f>G32</f>
        <v/>
      </c>
      <c r="D58" s="98">
        <f>B58+C58</f>
        <v/>
      </c>
      <c r="E58" s="98">
        <f>ROUND(B58*B56/1000,1)</f>
        <v/>
      </c>
      <c r="F58" s="98">
        <f>ROUND(C58*B56/1000,1)</f>
        <v/>
      </c>
      <c r="G58" s="98">
        <f>E58+F58</f>
        <v/>
      </c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</row>
    <row r="59">
      <c r="A59" s="540" t="inlineStr">
        <is>
          <t>DE_Filiale</t>
        </is>
      </c>
      <c r="B59" s="540">
        <f>G33+G34</f>
        <v/>
      </c>
      <c r="C59" s="540">
        <f>G35</f>
        <v/>
      </c>
      <c r="D59" s="540">
        <f>B59+C59</f>
        <v/>
      </c>
      <c r="E59" s="540">
        <f>ROUND(B59*B56/1000,1)</f>
        <v/>
      </c>
      <c r="F59" s="540">
        <f>ROUND(C59*B56/1000,1)</f>
        <v/>
      </c>
      <c r="G59" s="540">
        <f>E59+F59</f>
        <v/>
      </c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</row>
    <row r="60">
      <c r="A60" s="98" t="inlineStr">
        <is>
          <t>UK_Filiale</t>
        </is>
      </c>
      <c r="B60" s="98">
        <f>G36+G37</f>
        <v/>
      </c>
      <c r="C60" s="98">
        <f>G38</f>
        <v/>
      </c>
      <c r="D60" s="98">
        <f>B60+C60</f>
        <v/>
      </c>
      <c r="E60" s="98">
        <f>ROUND(B60*B56/1000,1)</f>
        <v/>
      </c>
      <c r="F60" s="98">
        <f>ROUND(C60*B56/1000,1)</f>
        <v/>
      </c>
      <c r="G60" s="98">
        <f>E60+F60</f>
        <v/>
      </c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</row>
    <row r="61">
      <c r="A61" s="540" t="inlineStr">
        <is>
          <t>US_Filiale</t>
        </is>
      </c>
      <c r="B61" s="540">
        <f>G39+G40</f>
        <v/>
      </c>
      <c r="C61" s="540">
        <f>G41</f>
        <v/>
      </c>
      <c r="D61" s="540">
        <f>B61+C61</f>
        <v/>
      </c>
      <c r="E61" s="540">
        <f>ROUND(B61*B56/1000,1)</f>
        <v/>
      </c>
      <c r="F61" s="540">
        <f>ROUND(C61*B56/1000,1)</f>
        <v/>
      </c>
      <c r="G61" s="540">
        <f>E61+F61</f>
        <v/>
      </c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</row>
    <row r="62">
      <c r="A62" s="98" t="inlineStr">
        <is>
          <t>SG_Filiale</t>
        </is>
      </c>
      <c r="B62" s="98">
        <f>G42+G43</f>
        <v/>
      </c>
      <c r="C62" s="98">
        <f>G44</f>
        <v/>
      </c>
      <c r="D62" s="98">
        <f>B62+C62</f>
        <v/>
      </c>
      <c r="E62" s="98">
        <f>ROUND(B62*B56/1000,1)</f>
        <v/>
      </c>
      <c r="F62" s="98">
        <f>ROUND(C62*B56/1000,1)</f>
        <v/>
      </c>
      <c r="G62" s="98">
        <f>E62+F62</f>
        <v/>
      </c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</row>
    <row r="63">
      <c r="A63" s="480" t="inlineStr">
        <is>
          <t>TOTAL GROUPE</t>
        </is>
      </c>
      <c r="B63" s="480">
        <f>SUM(B58:B62)</f>
        <v/>
      </c>
      <c r="C63" s="480">
        <f>SUM(C58:C62)</f>
        <v/>
      </c>
      <c r="D63" s="480">
        <f>SUM(D58:D62)</f>
        <v/>
      </c>
      <c r="E63" s="480">
        <f>SUM(E58:E62)</f>
        <v/>
      </c>
      <c r="F63" s="480">
        <f>SUM(F58:F62)</f>
        <v/>
      </c>
      <c r="G63" s="480">
        <f>SUM(G58:G62)</f>
        <v/>
      </c>
      <c r="H63" s="164">
        <f>IFERROR(G63/(CONSOL_CR!K14/1000),"")</f>
        <v/>
      </c>
      <c r="I63" s="594" t="inlineStr">
        <is>
          <t>% EBIT consolidé – impact si régulation carbone appliquée</t>
        </is>
      </c>
      <c r="M63" s="142" t="n"/>
      <c r="N63" s="142" t="n"/>
      <c r="O63" s="142" t="n"/>
      <c r="P63" s="142" t="n"/>
      <c r="Q63" s="142" t="n"/>
      <c r="R63" s="142" t="n"/>
      <c r="S63" s="142" t="n"/>
      <c r="T63" s="142" t="n"/>
    </row>
    <row r="64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</row>
    <row r="65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</row>
    <row r="66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</row>
    <row r="67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</row>
    <row r="68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</row>
    <row r="69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</row>
    <row r="70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</row>
    <row r="71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</row>
    <row r="72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</row>
    <row r="73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</row>
    <row r="74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</row>
    <row r="75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</row>
    <row r="76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</row>
    <row r="77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</row>
    <row r="78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</row>
    <row r="79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</row>
    <row r="80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</row>
    <row r="81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</row>
    <row r="82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</row>
    <row r="83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</row>
    <row r="84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</row>
    <row r="85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</row>
    <row r="86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</row>
    <row r="87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</row>
    <row r="88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</row>
    <row r="89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</row>
    <row r="90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</row>
    <row r="91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</row>
    <row r="92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</row>
    <row r="93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</row>
    <row r="94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</row>
    <row r="95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</row>
    <row r="96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</row>
    <row r="97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</row>
    <row r="98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</row>
    <row r="99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</row>
    <row r="100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</row>
    <row r="101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</row>
    <row r="102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</row>
    <row r="103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</row>
    <row r="104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</row>
    <row r="105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</row>
    <row r="106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</row>
    <row r="107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</row>
    <row r="108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</row>
    <row r="109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</row>
    <row r="110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</row>
    <row r="111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</row>
    <row r="112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</row>
    <row r="113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</row>
    <row r="114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</row>
    <row r="115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</row>
    <row r="116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</row>
    <row r="117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</row>
    <row r="118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</row>
    <row r="119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</row>
    <row r="120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</row>
  </sheetData>
  <mergeCells count="8">
    <mergeCell ref="C56:J56"/>
    <mergeCell ref="A2:S2"/>
    <mergeCell ref="A47:R47"/>
    <mergeCell ref="A28:R28"/>
    <mergeCell ref="A1:S1"/>
    <mergeCell ref="I63:L63"/>
    <mergeCell ref="A55:L55"/>
    <mergeCell ref="A4:R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FF1B5E20"/>
    <outlinePr summaryBelow="1" summaryRight="1"/>
    <pageSetUpPr/>
  </sheetPr>
  <dimension ref="A1:T100"/>
  <sheetViews>
    <sheetView topLeftCell="A12" workbookViewId="0">
      <selection activeCell="D49" sqref="D49"/>
    </sheetView>
  </sheetViews>
  <sheetFormatPr baseColWidth="10" defaultRowHeight="15"/>
  <cols>
    <col width="46.7109375" customWidth="1" style="500" min="1" max="1"/>
    <col width="21.28515625" customWidth="1" style="500" min="2" max="2"/>
    <col width="18.7109375" customWidth="1" style="500" min="3" max="3"/>
    <col width="50.7109375" customWidth="1" style="500" min="4" max="4"/>
    <col width="16" customWidth="1" style="500" min="5" max="5"/>
    <col width="18.7109375" customWidth="1" style="500" min="6" max="6"/>
    <col width="16" customWidth="1" style="500" min="7" max="7"/>
    <col width="18.7109375" customWidth="1" style="500" min="8" max="8"/>
    <col width="21.28515625" customWidth="1" style="500" min="9" max="9"/>
    <col width="16" customWidth="1" style="500" min="10" max="10"/>
    <col width="21.28515625" customWidth="1" style="500" min="11" max="11"/>
    <col width="16" customWidth="1" style="500" min="12" max="12"/>
    <col width="18.7109375" customWidth="1" style="500" min="13" max="15"/>
  </cols>
  <sheetData>
    <row r="1" ht="17.25" customHeight="1" s="500">
      <c r="A1" s="598" t="inlineStr">
        <is>
          <t>👥  ESG_DIVERSITE – KPIs DIVERSITÉ, PARITÉ &amp; GOUVERNANCE · ESRS S1 / G1 · Toutes Entités · 2025</t>
        </is>
      </c>
      <c r="T1" s="168" t="n"/>
    </row>
    <row r="2">
      <c r="A2" s="168" t="n"/>
      <c r="B2" s="168" t="n"/>
      <c r="C2" s="168" t="n"/>
      <c r="D2" s="168" t="n"/>
      <c r="E2" s="168" t="n"/>
      <c r="F2" s="168" t="n"/>
      <c r="G2" s="168" t="n"/>
      <c r="H2" s="168" t="n"/>
      <c r="I2" s="168" t="n"/>
      <c r="J2" s="168" t="n"/>
      <c r="K2" s="168" t="n"/>
      <c r="L2" s="168" t="n"/>
      <c r="M2" s="168" t="n"/>
      <c r="N2" s="168" t="n"/>
      <c r="O2" s="168" t="n"/>
      <c r="P2" s="168" t="n"/>
      <c r="Q2" s="168" t="n"/>
      <c r="R2" s="168" t="n"/>
      <c r="S2" s="168" t="n"/>
      <c r="T2" s="168" t="n"/>
    </row>
    <row r="3">
      <c r="A3" s="599" t="inlineStr">
        <is>
          <t>SECTION 1 – EFFECTIFS &amp; PARITÉ (ESRS S1-6 / S1-9)</t>
        </is>
      </c>
      <c r="T3" s="168" t="n"/>
    </row>
    <row r="4">
      <c r="A4" s="170" t="inlineStr">
        <is>
          <t>Entité</t>
        </is>
      </c>
      <c r="B4" s="170" t="inlineStr">
        <is>
          <t>ETP_Total</t>
        </is>
      </c>
      <c r="C4" s="170" t="inlineStr">
        <is>
          <t>ETP_CDI</t>
        </is>
      </c>
      <c r="D4" s="170" t="inlineStr">
        <is>
          <t>Pct_CDI</t>
        </is>
      </c>
      <c r="E4" s="170" t="inlineStr">
        <is>
          <t>ETP_Femmes</t>
        </is>
      </c>
      <c r="F4" s="170" t="inlineStr">
        <is>
          <t>Pct_Femmes</t>
        </is>
      </c>
      <c r="G4" s="170" t="inlineStr">
        <is>
          <t>ETP_Dirigeants</t>
        </is>
      </c>
      <c r="H4" s="170" t="inlineStr">
        <is>
          <t>Femmes_Dir</t>
        </is>
      </c>
      <c r="I4" s="170" t="inlineStr">
        <is>
          <t>Pct_Fem_Dir</t>
        </is>
      </c>
      <c r="J4" s="170" t="inlineStr">
        <is>
          <t>Obj_FemDir_2028</t>
        </is>
      </c>
      <c r="K4" s="170" t="inlineStr">
        <is>
          <t>Écart_Obj</t>
        </is>
      </c>
      <c r="L4" s="170" t="inlineStr">
        <is>
          <t>Recrutements</t>
        </is>
      </c>
      <c r="M4" s="170" t="inlineStr">
        <is>
          <t>Taux_Turnover</t>
        </is>
      </c>
      <c r="N4" s="170" t="inlineStr">
        <is>
          <t>Age_Moyen</t>
        </is>
      </c>
      <c r="O4" s="170" t="inlineStr">
        <is>
          <t>ESRS_Ref</t>
        </is>
      </c>
      <c r="P4" s="168" t="n"/>
      <c r="Q4" s="168" t="n"/>
      <c r="R4" s="168" t="n"/>
      <c r="S4" s="168" t="n"/>
      <c r="T4" s="168" t="n"/>
    </row>
    <row r="5">
      <c r="A5" s="96" t="inlineStr">
        <is>
          <t>FR_ParentCo</t>
        </is>
      </c>
      <c r="B5" s="96" t="n">
        <v>1850</v>
      </c>
      <c r="C5" s="96" t="n">
        <v>1683</v>
      </c>
      <c r="D5" s="171">
        <f>IFERROR(C5/B5,"")</f>
        <v/>
      </c>
      <c r="E5" s="96" t="n">
        <v>795</v>
      </c>
      <c r="F5" s="171">
        <f>IFERROR(E5/B5,"")</f>
        <v/>
      </c>
      <c r="G5" s="96" t="n">
        <v>85</v>
      </c>
      <c r="H5" s="96" t="n">
        <v>32</v>
      </c>
      <c r="I5" s="171">
        <f>IFERROR(H5/G5,"")</f>
        <v/>
      </c>
      <c r="J5" s="171" t="n">
        <v>0.45</v>
      </c>
      <c r="K5" s="171">
        <f>I5-J5</f>
        <v/>
      </c>
      <c r="L5" s="96" t="n">
        <v>245</v>
      </c>
      <c r="M5" s="171">
        <f>IFERROR(L5/B5,"")</f>
        <v/>
      </c>
      <c r="N5" s="96" t="n">
        <v>43.2</v>
      </c>
      <c r="O5" s="96" t="inlineStr">
        <is>
          <t>S1-6,S1-9</t>
        </is>
      </c>
      <c r="P5" s="168" t="n"/>
      <c r="Q5" s="168" t="n"/>
      <c r="R5" s="168" t="n"/>
      <c r="S5" s="168" t="n"/>
      <c r="T5" s="168" t="n"/>
    </row>
    <row r="6">
      <c r="A6" s="540" t="inlineStr">
        <is>
          <t>DE_Filiale</t>
        </is>
      </c>
      <c r="B6" s="540" t="n">
        <v>2640</v>
      </c>
      <c r="C6" s="540" t="n">
        <v>2323</v>
      </c>
      <c r="D6" s="30">
        <f>IFERROR(C6/B6,"")</f>
        <v/>
      </c>
      <c r="E6" s="540" t="n">
        <v>950</v>
      </c>
      <c r="F6" s="30">
        <f>IFERROR(E6/B6,"")</f>
        <v/>
      </c>
      <c r="G6" s="540" t="n">
        <v>120</v>
      </c>
      <c r="H6" s="540" t="n">
        <v>34</v>
      </c>
      <c r="I6" s="30">
        <f>IFERROR(H6/G6,"")</f>
        <v/>
      </c>
      <c r="J6" s="30" t="n">
        <v>0.4</v>
      </c>
      <c r="K6" s="30">
        <f>I6-J6</f>
        <v/>
      </c>
      <c r="L6" s="540" t="n">
        <v>310</v>
      </c>
      <c r="M6" s="30">
        <f>IFERROR(L6/B6,"")</f>
        <v/>
      </c>
      <c r="N6" s="540" t="n">
        <v>41.8</v>
      </c>
      <c r="O6" s="540" t="inlineStr">
        <is>
          <t>S1-6,S1-9</t>
        </is>
      </c>
      <c r="P6" s="168" t="n"/>
      <c r="Q6" s="168" t="n"/>
      <c r="R6" s="168" t="n"/>
      <c r="S6" s="168" t="n"/>
      <c r="T6" s="168" t="n"/>
    </row>
    <row r="7">
      <c r="A7" s="96" t="inlineStr">
        <is>
          <t>UK_Filiale</t>
        </is>
      </c>
      <c r="B7" s="96" t="n">
        <v>980</v>
      </c>
      <c r="C7" s="96" t="n">
        <v>833</v>
      </c>
      <c r="D7" s="171">
        <f>IFERROR(C7/B7,"")</f>
        <v/>
      </c>
      <c r="E7" s="96" t="n">
        <v>470</v>
      </c>
      <c r="F7" s="171">
        <f>IFERROR(E7/B7,"")</f>
        <v/>
      </c>
      <c r="G7" s="96" t="n">
        <v>62</v>
      </c>
      <c r="H7" s="96" t="n">
        <v>26</v>
      </c>
      <c r="I7" s="171">
        <f>IFERROR(H7/G7,"")</f>
        <v/>
      </c>
      <c r="J7" s="171" t="n">
        <v>0.45</v>
      </c>
      <c r="K7" s="171">
        <f>I7-J7</f>
        <v/>
      </c>
      <c r="L7" s="96" t="n">
        <v>142</v>
      </c>
      <c r="M7" s="171">
        <f>IFERROR(L7/B7,"")</f>
        <v/>
      </c>
      <c r="N7" s="96" t="n">
        <v>38.6</v>
      </c>
      <c r="O7" s="96" t="inlineStr">
        <is>
          <t>S1-6,S1-9</t>
        </is>
      </c>
      <c r="P7" s="168" t="n"/>
      <c r="Q7" s="168" t="n"/>
      <c r="R7" s="168" t="n"/>
      <c r="S7" s="168" t="n"/>
      <c r="T7" s="168" t="n"/>
    </row>
    <row r="8">
      <c r="A8" s="540" t="inlineStr">
        <is>
          <t>US_Filiale</t>
        </is>
      </c>
      <c r="B8" s="540" t="n">
        <v>1420</v>
      </c>
      <c r="C8" s="540" t="n">
        <v>1123</v>
      </c>
      <c r="D8" s="30">
        <f>IFERROR(C8/B8,"")</f>
        <v/>
      </c>
      <c r="E8" s="540" t="n">
        <v>625</v>
      </c>
      <c r="F8" s="30">
        <f>IFERROR(E8/B8,"")</f>
        <v/>
      </c>
      <c r="G8" s="540" t="n">
        <v>78</v>
      </c>
      <c r="H8" s="540" t="n">
        <v>28</v>
      </c>
      <c r="I8" s="30">
        <f>IFERROR(H8/G8,"")</f>
        <v/>
      </c>
      <c r="J8" s="30" t="n">
        <v>0.4</v>
      </c>
      <c r="K8" s="30">
        <f>I8-J8</f>
        <v/>
      </c>
      <c r="L8" s="540" t="n">
        <v>198</v>
      </c>
      <c r="M8" s="30">
        <f>IFERROR(L8/B8,"")</f>
        <v/>
      </c>
      <c r="N8" s="540" t="n">
        <v>37.4</v>
      </c>
      <c r="O8" s="540" t="inlineStr">
        <is>
          <t>S1-6,S1-9</t>
        </is>
      </c>
      <c r="P8" s="168" t="n"/>
      <c r="Q8" s="168" t="n"/>
      <c r="R8" s="168" t="n"/>
      <c r="S8" s="168" t="n"/>
      <c r="T8" s="168" t="n"/>
    </row>
    <row r="9">
      <c r="A9" s="96" t="inlineStr">
        <is>
          <t>SG_Filiale</t>
        </is>
      </c>
      <c r="B9" s="96" t="n">
        <v>380</v>
      </c>
      <c r="C9" s="96" t="n">
        <v>357</v>
      </c>
      <c r="D9" s="171">
        <f>IFERROR(C9/B9,"")</f>
        <v/>
      </c>
      <c r="E9" s="96" t="n">
        <v>198</v>
      </c>
      <c r="F9" s="171">
        <f>IFERROR(E9/B9,"")</f>
        <v/>
      </c>
      <c r="G9" s="96" t="n">
        <v>28</v>
      </c>
      <c r="H9" s="96" t="n">
        <v>13</v>
      </c>
      <c r="I9" s="171">
        <f>IFERROR(H9/G9,"")</f>
        <v/>
      </c>
      <c r="J9" s="171" t="n">
        <v>0.45</v>
      </c>
      <c r="K9" s="171">
        <f>I9-J9</f>
        <v/>
      </c>
      <c r="L9" s="96" t="n">
        <v>58</v>
      </c>
      <c r="M9" s="171">
        <f>IFERROR(L9/B9,"")</f>
        <v/>
      </c>
      <c r="N9" s="96" t="n">
        <v>34.8</v>
      </c>
      <c r="O9" s="96" t="inlineStr">
        <is>
          <t>S1-6,S1-9</t>
        </is>
      </c>
      <c r="P9" s="168" t="n"/>
      <c r="Q9" s="168" t="n"/>
      <c r="R9" s="168" t="n"/>
      <c r="S9" s="168" t="n"/>
      <c r="T9" s="168" t="n"/>
    </row>
    <row r="10">
      <c r="A10" s="169" t="inlineStr">
        <is>
          <t>TOTAL GROUPE</t>
        </is>
      </c>
      <c r="B10" s="169">
        <f>SUM(B5:B9)</f>
        <v/>
      </c>
      <c r="C10" s="169">
        <f>SUM(C5:C9)</f>
        <v/>
      </c>
      <c r="D10" s="169" t="n"/>
      <c r="E10" s="169">
        <f>SUM(E5:E9)</f>
        <v/>
      </c>
      <c r="F10" s="172">
        <f>IFERROR(E10/B10,"")</f>
        <v/>
      </c>
      <c r="G10" s="169">
        <f>SUM(G5:G9)</f>
        <v/>
      </c>
      <c r="H10" s="169">
        <f>SUM(H5:H9)</f>
        <v/>
      </c>
      <c r="I10" s="172">
        <f>IFERROR(H10/G10,"")</f>
        <v/>
      </c>
      <c r="J10" s="169" t="n"/>
      <c r="K10" s="169" t="n"/>
      <c r="L10" s="169">
        <f>SUM(L5:L9)</f>
        <v/>
      </c>
      <c r="M10" s="172">
        <f>IFERROR(L10/B10,"")</f>
        <v/>
      </c>
      <c r="N10" s="169" t="n"/>
      <c r="O10" s="169" t="n"/>
      <c r="P10" s="168" t="n"/>
      <c r="Q10" s="168" t="n"/>
      <c r="R10" s="168" t="n"/>
      <c r="S10" s="168" t="n"/>
      <c r="T10" s="168" t="n"/>
    </row>
    <row r="11">
      <c r="A11" s="168" t="n"/>
      <c r="B11" s="168" t="n"/>
      <c r="C11" s="168" t="n"/>
      <c r="D11" s="168" t="n"/>
      <c r="E11" s="168" t="n"/>
      <c r="F11" s="168" t="n"/>
      <c r="G11" s="168" t="n"/>
      <c r="H11" s="168" t="n"/>
      <c r="I11" s="168" t="n"/>
      <c r="J11" s="168" t="n"/>
      <c r="K11" s="168" t="n"/>
      <c r="L11" s="168" t="n"/>
      <c r="M11" s="168" t="n"/>
      <c r="N11" s="168" t="n"/>
      <c r="O11" s="168" t="n"/>
      <c r="P11" s="168" t="n"/>
      <c r="Q11" s="168" t="n"/>
      <c r="R11" s="168" t="n"/>
      <c r="S11" s="168" t="n"/>
      <c r="T11" s="168" t="n"/>
    </row>
    <row r="12">
      <c r="A12" s="168" t="n"/>
      <c r="B12" s="168" t="n"/>
      <c r="C12" s="168" t="n"/>
      <c r="D12" s="168" t="n"/>
      <c r="E12" s="168" t="n"/>
      <c r="F12" s="168" t="n"/>
      <c r="G12" s="168" t="n"/>
      <c r="H12" s="168" t="n"/>
      <c r="I12" s="168" t="n"/>
      <c r="J12" s="168" t="n"/>
      <c r="K12" s="168" t="n"/>
      <c r="L12" s="168" t="n"/>
      <c r="M12" s="168" t="n"/>
      <c r="N12" s="168" t="n"/>
      <c r="O12" s="168" t="n"/>
      <c r="P12" s="168" t="n"/>
      <c r="Q12" s="168" t="n"/>
      <c r="R12" s="168" t="n"/>
      <c r="S12" s="168" t="n"/>
      <c r="T12" s="168" t="n"/>
    </row>
    <row r="13">
      <c r="A13" s="599" t="inlineStr">
        <is>
          <t>SECTION 2 – RÉMUNÉRATION ÉQUITABLE (ESRS S1-16) · Écart salarial H/F · Pay ratio</t>
        </is>
      </c>
      <c r="L13" s="168" t="n"/>
      <c r="M13" s="168" t="n"/>
      <c r="N13" s="168" t="n"/>
      <c r="O13" s="168" t="n"/>
      <c r="P13" s="168" t="n"/>
      <c r="Q13" s="168" t="n"/>
      <c r="R13" s="168" t="n"/>
      <c r="S13" s="168" t="n"/>
      <c r="T13" s="168" t="n"/>
    </row>
    <row r="14">
      <c r="A14" s="170" t="inlineStr">
        <is>
          <t>Entité</t>
        </is>
      </c>
      <c r="B14" s="170" t="inlineStr">
        <is>
          <t>Devise</t>
        </is>
      </c>
      <c r="C14" s="170" t="inlineStr">
        <is>
          <t>SalMéd_F</t>
        </is>
      </c>
      <c r="D14" s="170" t="inlineStr">
        <is>
          <t>SalMéd_H</t>
        </is>
      </c>
      <c r="E14" s="170" t="inlineStr">
        <is>
          <t>Écart_H/F</t>
        </is>
      </c>
      <c r="F14" s="170" t="inlineStr">
        <is>
          <t>Obj_2027</t>
        </is>
      </c>
      <c r="G14" s="170" t="inlineStr">
        <is>
          <t>Statut</t>
        </is>
      </c>
      <c r="H14" s="170" t="inlineStr">
        <is>
          <t>SalDir_Max</t>
        </is>
      </c>
      <c r="I14" s="170" t="inlineStr">
        <is>
          <t>SalMéd_Global</t>
        </is>
      </c>
      <c r="J14" s="170" t="inlineStr">
        <is>
          <t>PayRatio</t>
        </is>
      </c>
      <c r="K14" s="170" t="inlineStr">
        <is>
          <t>ESRS_Ref</t>
        </is>
      </c>
      <c r="L14" s="168" t="n"/>
      <c r="M14" s="168" t="n"/>
      <c r="N14" s="168" t="n"/>
      <c r="O14" s="168" t="n"/>
      <c r="P14" s="168" t="n"/>
      <c r="Q14" s="168" t="n"/>
      <c r="R14" s="168" t="n"/>
      <c r="S14" s="168" t="n"/>
      <c r="T14" s="168" t="n"/>
    </row>
    <row r="15">
      <c r="A15" s="96" t="inlineStr">
        <is>
          <t>FR_ParentCo</t>
        </is>
      </c>
      <c r="B15" s="96" t="inlineStr">
        <is>
          <t>EUR</t>
        </is>
      </c>
      <c r="C15" s="96" t="n">
        <v>48200</v>
      </c>
      <c r="D15" s="96" t="n">
        <v>55100</v>
      </c>
      <c r="E15" s="171">
        <f>IFERROR((C15-D15)/D15,"")</f>
        <v/>
      </c>
      <c r="F15" s="171" t="n">
        <v>-0.08</v>
      </c>
      <c r="G15" s="96">
        <f>IF(E15&gt;=F15,"✅ Atteint","⚠️ Sous objectif")</f>
        <v/>
      </c>
      <c r="H15" s="96" t="n">
        <v>285000</v>
      </c>
      <c r="I15" s="96" t="n">
        <v>52400</v>
      </c>
      <c r="J15" s="1090">
        <f>IFERROR(H15/I15,"")</f>
        <v/>
      </c>
      <c r="K15" s="96" t="inlineStr">
        <is>
          <t>S1-16</t>
        </is>
      </c>
      <c r="L15" s="168" t="n"/>
      <c r="M15" s="168" t="n"/>
      <c r="N15" s="168" t="n"/>
      <c r="O15" s="168" t="n"/>
      <c r="P15" s="168" t="n"/>
      <c r="Q15" s="168" t="n"/>
      <c r="R15" s="168" t="n"/>
      <c r="S15" s="168" t="n"/>
      <c r="T15" s="168" t="n"/>
    </row>
    <row r="16">
      <c r="A16" s="540" t="inlineStr">
        <is>
          <t>DE_Filiale</t>
        </is>
      </c>
      <c r="B16" s="540" t="inlineStr">
        <is>
          <t>EUR</t>
        </is>
      </c>
      <c r="C16" s="540" t="n">
        <v>44800</v>
      </c>
      <c r="D16" s="540" t="n">
        <v>52600</v>
      </c>
      <c r="E16" s="30">
        <f>IFERROR((C16-D16)/D16,"")</f>
        <v/>
      </c>
      <c r="F16" s="30" t="n">
        <v>-0.08</v>
      </c>
      <c r="G16" s="540">
        <f>IF(E16&gt;=F16,"✅ Atteint","⚠️ Sous objectif")</f>
        <v/>
      </c>
      <c r="H16" s="540" t="n">
        <v>320000</v>
      </c>
      <c r="I16" s="540" t="n">
        <v>48200</v>
      </c>
      <c r="J16" s="1091">
        <f>IFERROR(H16/I16,"")</f>
        <v/>
      </c>
      <c r="K16" s="540" t="inlineStr">
        <is>
          <t>S1-16</t>
        </is>
      </c>
      <c r="L16" s="168" t="n"/>
      <c r="M16" s="168" t="n"/>
      <c r="N16" s="168" t="n"/>
      <c r="O16" s="168" t="n"/>
      <c r="P16" s="168" t="n"/>
      <c r="Q16" s="168" t="n"/>
      <c r="R16" s="168" t="n"/>
      <c r="S16" s="168" t="n"/>
      <c r="T16" s="168" t="n"/>
    </row>
    <row r="17">
      <c r="A17" s="96" t="inlineStr">
        <is>
          <t>UK_Filiale</t>
        </is>
      </c>
      <c r="B17" s="96" t="inlineStr">
        <is>
          <t>GBP</t>
        </is>
      </c>
      <c r="C17" s="96" t="n">
        <v>58200</v>
      </c>
      <c r="D17" s="96" t="n">
        <v>63100</v>
      </c>
      <c r="E17" s="171">
        <f>IFERROR((C17-D17)/D17,"")</f>
        <v/>
      </c>
      <c r="F17" s="171" t="n">
        <v>-0.08</v>
      </c>
      <c r="G17" s="96">
        <f>IF(E17&gt;=F17,"✅ Atteint","⚠️ Sous objectif")</f>
        <v/>
      </c>
      <c r="H17" s="96" t="n">
        <v>410000</v>
      </c>
      <c r="I17" s="96" t="n">
        <v>60400</v>
      </c>
      <c r="J17" s="1090">
        <f>IFERROR(H17/I17,"")</f>
        <v/>
      </c>
      <c r="K17" s="96" t="inlineStr">
        <is>
          <t>S1-16</t>
        </is>
      </c>
      <c r="L17" s="168" t="n"/>
      <c r="M17" s="168" t="n"/>
      <c r="N17" s="168" t="n"/>
      <c r="O17" s="168" t="n"/>
      <c r="P17" s="168" t="n"/>
      <c r="Q17" s="168" t="n"/>
      <c r="R17" s="168" t="n"/>
      <c r="S17" s="168" t="n"/>
      <c r="T17" s="168" t="n"/>
    </row>
    <row r="18">
      <c r="A18" s="540" t="inlineStr">
        <is>
          <t>US_Filiale</t>
        </is>
      </c>
      <c r="B18" s="540" t="inlineStr">
        <is>
          <t>USD</t>
        </is>
      </c>
      <c r="C18" s="540" t="n">
        <v>62400</v>
      </c>
      <c r="D18" s="540" t="n">
        <v>76200</v>
      </c>
      <c r="E18" s="30">
        <f>IFERROR((C18-D18)/D18,"")</f>
        <v/>
      </c>
      <c r="F18" s="30" t="n">
        <v>-0.08</v>
      </c>
      <c r="G18" s="540">
        <f>IF(E18&gt;=F18,"✅ Atteint","⚠️ Sous objectif")</f>
        <v/>
      </c>
      <c r="H18" s="540" t="n">
        <v>520000</v>
      </c>
      <c r="I18" s="540" t="n">
        <v>71200</v>
      </c>
      <c r="J18" s="1091">
        <f>IFERROR(H18/I18,"")</f>
        <v/>
      </c>
      <c r="K18" s="540" t="inlineStr">
        <is>
          <t>S1-16</t>
        </is>
      </c>
      <c r="L18" s="168" t="n"/>
      <c r="M18" s="168" t="n"/>
      <c r="N18" s="168" t="n"/>
      <c r="O18" s="168" t="n"/>
      <c r="P18" s="168" t="n"/>
      <c r="Q18" s="168" t="n"/>
      <c r="R18" s="168" t="n"/>
      <c r="S18" s="168" t="n"/>
      <c r="T18" s="168" t="n"/>
    </row>
    <row r="19">
      <c r="A19" s="96" t="inlineStr">
        <is>
          <t>SG_Filiale</t>
        </is>
      </c>
      <c r="B19" s="96" t="inlineStr">
        <is>
          <t>SGD</t>
        </is>
      </c>
      <c r="C19" s="96" t="n">
        <v>52800</v>
      </c>
      <c r="D19" s="96" t="n">
        <v>56400</v>
      </c>
      <c r="E19" s="171">
        <f>IFERROR((C19-D19)/D19,"")</f>
        <v/>
      </c>
      <c r="F19" s="171" t="n">
        <v>-0.05</v>
      </c>
      <c r="G19" s="96">
        <f>IF(E19&gt;=F19,"✅ Atteint","⚠️ Sous objectif")</f>
        <v/>
      </c>
      <c r="H19" s="96" t="n">
        <v>380000</v>
      </c>
      <c r="I19" s="96" t="n">
        <v>54600</v>
      </c>
      <c r="J19" s="1090">
        <f>IFERROR(H19/I19,"")</f>
        <v/>
      </c>
      <c r="K19" s="96" t="inlineStr">
        <is>
          <t>S1-16</t>
        </is>
      </c>
      <c r="L19" s="168" t="n"/>
      <c r="M19" s="168" t="n"/>
      <c r="N19" s="168" t="n"/>
      <c r="O19" s="168" t="n"/>
      <c r="P19" s="168" t="n"/>
      <c r="Q19" s="168" t="n"/>
      <c r="R19" s="168" t="n"/>
      <c r="S19" s="168" t="n"/>
      <c r="T19" s="168" t="n"/>
    </row>
    <row r="20">
      <c r="A20" s="168" t="n"/>
      <c r="B20" s="168" t="n"/>
      <c r="C20" s="168" t="n"/>
      <c r="D20" s="168" t="n"/>
      <c r="E20" s="168" t="n"/>
      <c r="F20" s="168" t="n"/>
      <c r="G20" s="168" t="n"/>
      <c r="H20" s="168" t="n"/>
      <c r="I20" s="168" t="n"/>
      <c r="J20" s="168" t="n"/>
      <c r="K20" s="168" t="n"/>
      <c r="L20" s="168" t="n"/>
      <c r="M20" s="168" t="n"/>
      <c r="N20" s="168" t="n"/>
      <c r="O20" s="168" t="n"/>
      <c r="P20" s="168" t="n"/>
      <c r="Q20" s="168" t="n"/>
      <c r="R20" s="168" t="n"/>
      <c r="S20" s="168" t="n"/>
      <c r="T20" s="168" t="n"/>
    </row>
    <row r="21">
      <c r="A21" s="168" t="n"/>
      <c r="B21" s="168" t="n"/>
      <c r="C21" s="168" t="n"/>
      <c r="D21" s="168" t="n"/>
      <c r="E21" s="168" t="n"/>
      <c r="F21" s="168" t="n"/>
      <c r="G21" s="168" t="n"/>
      <c r="H21" s="168" t="n"/>
      <c r="I21" s="168" t="n"/>
      <c r="J21" s="168" t="n"/>
      <c r="K21" s="168" t="n"/>
      <c r="L21" s="168" t="n"/>
      <c r="M21" s="168" t="n"/>
      <c r="N21" s="168" t="n"/>
      <c r="O21" s="168" t="n"/>
      <c r="P21" s="168" t="n"/>
      <c r="Q21" s="168" t="n"/>
      <c r="R21" s="168" t="n"/>
      <c r="S21" s="168" t="n"/>
      <c r="T21" s="168" t="n"/>
    </row>
    <row r="22">
      <c r="A22" s="168" t="n"/>
      <c r="B22" s="168" t="n"/>
      <c r="C22" s="168" t="n"/>
      <c r="D22" s="168" t="n"/>
      <c r="E22" s="168" t="n"/>
      <c r="F22" s="168" t="n"/>
      <c r="G22" s="168" t="n"/>
      <c r="H22" s="168" t="n"/>
      <c r="I22" s="168" t="n"/>
      <c r="J22" s="168" t="n"/>
      <c r="K22" s="168" t="n"/>
      <c r="L22" s="168" t="n"/>
      <c r="M22" s="168" t="n"/>
      <c r="N22" s="168" t="n"/>
      <c r="O22" s="168" t="n"/>
      <c r="P22" s="168" t="n"/>
      <c r="Q22" s="168" t="n"/>
      <c r="R22" s="168" t="n"/>
      <c r="S22" s="168" t="n"/>
      <c r="T22" s="168" t="n"/>
    </row>
    <row r="23">
      <c r="A23" s="599" t="inlineStr">
        <is>
          <t>SECTION 3 – SANTÉ, SÉCURITÉ &amp; FORMATION (ESRS S1-11 / S1-13)</t>
        </is>
      </c>
      <c r="M23" s="168" t="n"/>
      <c r="N23" s="168" t="n"/>
      <c r="O23" s="168" t="n"/>
      <c r="P23" s="168" t="n"/>
      <c r="Q23" s="168" t="n"/>
      <c r="R23" s="168" t="n"/>
      <c r="S23" s="168" t="n"/>
      <c r="T23" s="168" t="n"/>
    </row>
    <row r="24">
      <c r="A24" s="170" t="inlineStr">
        <is>
          <t>Entité</t>
        </is>
      </c>
      <c r="B24" s="170" t="inlineStr">
        <is>
          <t>TRIR_2025</t>
        </is>
      </c>
      <c r="C24" s="170" t="inlineStr">
        <is>
          <t>TRIR_2024</t>
        </is>
      </c>
      <c r="D24" s="170" t="inlineStr">
        <is>
          <t>Obj_2026</t>
        </is>
      </c>
      <c r="E24" s="170" t="inlineStr">
        <is>
          <t>Δ TRIR</t>
        </is>
      </c>
      <c r="F24" s="170" t="inlineStr">
        <is>
          <t>Accidents_Mortels</t>
        </is>
      </c>
      <c r="G24" s="170" t="inlineStr">
        <is>
          <t>Maladies_Pro</t>
        </is>
      </c>
      <c r="H24" s="170" t="inlineStr">
        <is>
          <t>H_Form/ETP</t>
        </is>
      </c>
      <c r="I24" s="170" t="inlineStr">
        <is>
          <t>Budget_Form_k€</t>
        </is>
      </c>
      <c r="J24" s="170" t="inlineStr">
        <is>
          <t>Pct_ETP_Formés</t>
        </is>
      </c>
      <c r="K24" s="170" t="inlineStr">
        <is>
          <t>Certif_SST</t>
        </is>
      </c>
      <c r="L24" s="170" t="inlineStr">
        <is>
          <t>ESRS</t>
        </is>
      </c>
      <c r="M24" s="168" t="n"/>
      <c r="N24" s="168" t="n"/>
      <c r="O24" s="168" t="n"/>
      <c r="P24" s="168" t="n"/>
      <c r="Q24" s="168" t="n"/>
      <c r="R24" s="168" t="n"/>
      <c r="S24" s="168" t="n"/>
      <c r="T24" s="168" t="n"/>
    </row>
    <row r="25">
      <c r="A25" s="96" t="inlineStr">
        <is>
          <t>FR_ParentCo</t>
        </is>
      </c>
      <c r="B25" s="96" t="n">
        <v>2.4</v>
      </c>
      <c r="C25" s="96" t="n">
        <v>3.1</v>
      </c>
      <c r="D25" s="96" t="n">
        <v>2</v>
      </c>
      <c r="E25" s="96">
        <f>B25-C25</f>
        <v/>
      </c>
      <c r="F25" s="96" t="n">
        <v>0</v>
      </c>
      <c r="G25" s="96" t="n">
        <v>2</v>
      </c>
      <c r="H25" s="96" t="n">
        <v>42</v>
      </c>
      <c r="I25" s="96" t="n">
        <v>680</v>
      </c>
      <c r="J25" s="171" t="n">
        <v>0.82</v>
      </c>
      <c r="K25" s="96" t="inlineStr">
        <is>
          <t>ISO 45001</t>
        </is>
      </c>
      <c r="L25" s="96" t="inlineStr">
        <is>
          <t>S1-11</t>
        </is>
      </c>
      <c r="M25" s="168" t="n"/>
      <c r="N25" s="168" t="n"/>
      <c r="O25" s="168" t="n"/>
      <c r="P25" s="168" t="n"/>
      <c r="Q25" s="168" t="n"/>
      <c r="R25" s="168" t="n"/>
      <c r="S25" s="168" t="n"/>
      <c r="T25" s="168" t="n"/>
    </row>
    <row r="26">
      <c r="A26" s="540" t="inlineStr">
        <is>
          <t>DE_Filiale</t>
        </is>
      </c>
      <c r="B26" s="540" t="n">
        <v>3.8</v>
      </c>
      <c r="C26" s="540" t="n">
        <v>4.2</v>
      </c>
      <c r="D26" s="540" t="n">
        <v>2.5</v>
      </c>
      <c r="E26" s="540">
        <f>B26-C26</f>
        <v/>
      </c>
      <c r="F26" s="540" t="n">
        <v>0</v>
      </c>
      <c r="G26" s="540" t="n">
        <v>5</v>
      </c>
      <c r="H26" s="540" t="n">
        <v>38</v>
      </c>
      <c r="I26" s="540" t="n">
        <v>920</v>
      </c>
      <c r="J26" s="30" t="n">
        <v>0.79</v>
      </c>
      <c r="K26" s="540" t="inlineStr">
        <is>
          <t>OHSAS</t>
        </is>
      </c>
      <c r="L26" s="540" t="inlineStr">
        <is>
          <t>S1-11</t>
        </is>
      </c>
      <c r="M26" s="168" t="n"/>
      <c r="N26" s="168" t="n"/>
      <c r="O26" s="168" t="n"/>
      <c r="P26" s="168" t="n"/>
      <c r="Q26" s="168" t="n"/>
      <c r="R26" s="168" t="n"/>
      <c r="S26" s="168" t="n"/>
      <c r="T26" s="168" t="n"/>
    </row>
    <row r="27">
      <c r="A27" s="96" t="inlineStr">
        <is>
          <t>UK_Filiale</t>
        </is>
      </c>
      <c r="B27" s="96" t="n">
        <v>1.6</v>
      </c>
      <c r="C27" s="96" t="n">
        <v>2</v>
      </c>
      <c r="D27" s="96" t="n">
        <v>1.2</v>
      </c>
      <c r="E27" s="96">
        <f>B27-C27</f>
        <v/>
      </c>
      <c r="F27" s="96" t="n">
        <v>0</v>
      </c>
      <c r="G27" s="96" t="n">
        <v>1</v>
      </c>
      <c r="H27" s="96" t="n">
        <v>56</v>
      </c>
      <c r="I27" s="96" t="n">
        <v>520</v>
      </c>
      <c r="J27" s="171" t="n">
        <v>0.85</v>
      </c>
      <c r="K27" s="96" t="inlineStr">
        <is>
          <t>HSE UK</t>
        </is>
      </c>
      <c r="L27" s="96" t="inlineStr">
        <is>
          <t>S1-11</t>
        </is>
      </c>
      <c r="M27" s="168" t="n"/>
      <c r="N27" s="168" t="n"/>
      <c r="O27" s="168" t="n"/>
      <c r="P27" s="168" t="n"/>
      <c r="Q27" s="168" t="n"/>
      <c r="R27" s="168" t="n"/>
      <c r="S27" s="168" t="n"/>
      <c r="T27" s="168" t="n"/>
    </row>
    <row r="28">
      <c r="A28" s="540" t="inlineStr">
        <is>
          <t>US_Filiale</t>
        </is>
      </c>
      <c r="B28" s="540" t="n">
        <v>4.2</v>
      </c>
      <c r="C28" s="540" t="n">
        <v>4.8</v>
      </c>
      <c r="D28" s="540" t="n">
        <v>3</v>
      </c>
      <c r="E28" s="540">
        <f>B28-C28</f>
        <v/>
      </c>
      <c r="F28" s="540" t="n">
        <v>0</v>
      </c>
      <c r="G28" s="540" t="n">
        <v>3</v>
      </c>
      <c r="H28" s="540" t="n">
        <v>35</v>
      </c>
      <c r="I28" s="540" t="n">
        <v>580</v>
      </c>
      <c r="J28" s="30" t="n">
        <v>0.76</v>
      </c>
      <c r="K28" s="540" t="inlineStr">
        <is>
          <t>OSHA</t>
        </is>
      </c>
      <c r="L28" s="540" t="inlineStr">
        <is>
          <t>S1-11</t>
        </is>
      </c>
      <c r="M28" s="168" t="n"/>
      <c r="N28" s="168" t="n"/>
      <c r="O28" s="168" t="n"/>
      <c r="P28" s="168" t="n"/>
      <c r="Q28" s="168" t="n"/>
      <c r="R28" s="168" t="n"/>
      <c r="S28" s="168" t="n"/>
      <c r="T28" s="168" t="n"/>
    </row>
    <row r="29">
      <c r="A29" s="96" t="inlineStr">
        <is>
          <t>SG_Filiale</t>
        </is>
      </c>
      <c r="B29" s="96" t="n">
        <v>1.1</v>
      </c>
      <c r="C29" s="96" t="n">
        <v>1.5</v>
      </c>
      <c r="D29" s="96" t="n">
        <v>0.8</v>
      </c>
      <c r="E29" s="96">
        <f>B29-C29</f>
        <v/>
      </c>
      <c r="F29" s="96" t="n">
        <v>0</v>
      </c>
      <c r="G29" s="96" t="n">
        <v>0</v>
      </c>
      <c r="H29" s="96" t="n">
        <v>61</v>
      </c>
      <c r="I29" s="96" t="n">
        <v>185</v>
      </c>
      <c r="J29" s="171" t="n">
        <v>0.88</v>
      </c>
      <c r="K29" s="96" t="inlineStr">
        <is>
          <t>MOM SG</t>
        </is>
      </c>
      <c r="L29" s="96" t="inlineStr">
        <is>
          <t>S1-11</t>
        </is>
      </c>
      <c r="M29" s="168" t="n"/>
      <c r="N29" s="168" t="n"/>
      <c r="O29" s="168" t="n"/>
      <c r="P29" s="168" t="n"/>
      <c r="Q29" s="168" t="n"/>
      <c r="R29" s="168" t="n"/>
      <c r="S29" s="168" t="n"/>
      <c r="T29" s="168" t="n"/>
    </row>
    <row r="30">
      <c r="A30" s="168" t="n"/>
      <c r="B30" s="168" t="n"/>
      <c r="C30" s="168" t="n"/>
      <c r="D30" s="168" t="n"/>
      <c r="E30" s="168" t="n"/>
      <c r="F30" s="168" t="n"/>
      <c r="G30" s="168" t="n"/>
      <c r="H30" s="168" t="n"/>
      <c r="I30" s="168" t="n"/>
      <c r="J30" s="168" t="n"/>
      <c r="K30" s="168" t="n"/>
      <c r="L30" s="168" t="n"/>
      <c r="M30" s="168" t="n"/>
      <c r="N30" s="168" t="n"/>
      <c r="O30" s="168" t="n"/>
      <c r="P30" s="168" t="n"/>
      <c r="Q30" s="168" t="n"/>
      <c r="R30" s="168" t="n"/>
      <c r="S30" s="168" t="n"/>
      <c r="T30" s="168" t="n"/>
    </row>
    <row r="31">
      <c r="A31" s="168" t="n"/>
      <c r="B31" s="168" t="n"/>
      <c r="C31" s="168" t="n"/>
      <c r="D31" s="168" t="n"/>
      <c r="E31" s="168" t="n"/>
      <c r="F31" s="168" t="n"/>
      <c r="G31" s="168" t="n"/>
      <c r="H31" s="168" t="n"/>
      <c r="I31" s="168" t="n"/>
      <c r="J31" s="168" t="n"/>
      <c r="K31" s="168" t="n"/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</row>
    <row r="32">
      <c r="A32" s="168" t="n"/>
      <c r="B32" s="168" t="n"/>
      <c r="C32" s="168" t="n"/>
      <c r="D32" s="168" t="n"/>
      <c r="E32" s="168" t="n"/>
      <c r="F32" s="168" t="n"/>
      <c r="G32" s="168" t="n"/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8" t="n"/>
      <c r="S32" s="168" t="n"/>
      <c r="T32" s="168" t="n"/>
    </row>
    <row r="33">
      <c r="A33" s="599" t="inlineStr">
        <is>
          <t>SECTION 4 – GOUVERNANCE (ESRS G1) · CA · Éthique · Fournisseurs · Fiscalité</t>
        </is>
      </c>
      <c r="E33" s="168" t="n"/>
      <c r="F33" s="168" t="n"/>
      <c r="G33" s="168" t="n"/>
      <c r="H33" s="168" t="n"/>
      <c r="I33" s="168" t="n"/>
      <c r="J33" s="168" t="n"/>
      <c r="K33" s="168" t="n"/>
      <c r="L33" s="168" t="n"/>
      <c r="M33" s="168" t="n"/>
      <c r="N33" s="168" t="n"/>
      <c r="O33" s="168" t="n"/>
      <c r="P33" s="168" t="n"/>
      <c r="Q33" s="168" t="n"/>
      <c r="R33" s="168" t="n"/>
      <c r="S33" s="168" t="n"/>
      <c r="T33" s="168" t="n"/>
    </row>
    <row r="34">
      <c r="A34" s="170" t="inlineStr">
        <is>
          <t>Indicateur G1</t>
        </is>
      </c>
      <c r="B34" s="170" t="inlineStr">
        <is>
          <t>Valeur 2025</t>
        </is>
      </c>
      <c r="C34" s="170" t="inlineStr">
        <is>
          <t>Valeur 2024</t>
        </is>
      </c>
      <c r="D34" s="170" t="inlineStr">
        <is>
          <t>Objectif / Benchmark</t>
        </is>
      </c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8" t="n"/>
      <c r="S34" s="168" t="n"/>
      <c r="T34" s="168" t="n"/>
    </row>
    <row r="35">
      <c r="A35" s="96" t="inlineStr">
        <is>
          <t>Membres CA total</t>
        </is>
      </c>
      <c r="B35" s="96" t="n">
        <v>15</v>
      </c>
      <c r="C35" s="96" t="n">
        <v>15</v>
      </c>
      <c r="D35" s="96" t="inlineStr">
        <is>
          <t>12-18 membres</t>
        </is>
      </c>
      <c r="E35" s="168" t="n"/>
      <c r="F35" s="168" t="n"/>
      <c r="G35" s="168" t="n"/>
      <c r="H35" s="168" t="n"/>
      <c r="I35" s="168" t="n"/>
      <c r="J35" s="168" t="n"/>
      <c r="K35" s="168" t="n"/>
      <c r="L35" s="168" t="n"/>
      <c r="M35" s="168" t="n"/>
      <c r="N35" s="168" t="n"/>
      <c r="O35" s="168" t="n"/>
      <c r="P35" s="168" t="n"/>
      <c r="Q35" s="168" t="n"/>
      <c r="R35" s="168" t="n"/>
      <c r="S35" s="168" t="n"/>
      <c r="T35" s="168" t="n"/>
    </row>
    <row r="36">
      <c r="A36" s="540" t="inlineStr">
        <is>
          <t>Femmes au CA</t>
        </is>
      </c>
      <c r="B36" s="540" t="n">
        <v>6</v>
      </c>
      <c r="C36" s="540" t="n">
        <v>5</v>
      </c>
      <c r="D36" s="540" t="inlineStr">
        <is>
          <t>≥ 6 (40% – Loi Rixain 2027)</t>
        </is>
      </c>
      <c r="E36" s="168" t="n"/>
      <c r="F36" s="168" t="n"/>
      <c r="G36" s="168" t="n"/>
      <c r="H36" s="168" t="n"/>
      <c r="I36" s="168" t="n"/>
      <c r="J36" s="168" t="n"/>
      <c r="K36" s="168" t="n"/>
      <c r="L36" s="168" t="n"/>
      <c r="M36" s="168" t="n"/>
      <c r="N36" s="168" t="n"/>
      <c r="O36" s="168" t="n"/>
      <c r="P36" s="168" t="n"/>
      <c r="Q36" s="168" t="n"/>
      <c r="R36" s="168" t="n"/>
      <c r="S36" s="168" t="n"/>
      <c r="T36" s="168" t="n"/>
    </row>
    <row r="37">
      <c r="A37" s="96" t="inlineStr">
        <is>
          <t>% Femmes au CA</t>
        </is>
      </c>
      <c r="B37" s="171">
        <f>B36/B35</f>
        <v/>
      </c>
      <c r="C37" s="175" t="n">
        <v>0.33</v>
      </c>
      <c r="D37" s="175" t="n">
        <v>0.4</v>
      </c>
      <c r="E37" s="168" t="n"/>
      <c r="F37" s="168" t="n"/>
      <c r="G37" s="168" t="n"/>
      <c r="H37" s="168" t="n"/>
      <c r="I37" s="168" t="n"/>
      <c r="J37" s="168" t="n"/>
      <c r="K37" s="168" t="n"/>
      <c r="L37" s="168" t="n"/>
      <c r="M37" s="168" t="n"/>
      <c r="N37" s="168" t="n"/>
      <c r="O37" s="168" t="n"/>
      <c r="P37" s="168" t="n"/>
      <c r="Q37" s="168" t="n"/>
      <c r="R37" s="168" t="n"/>
      <c r="S37" s="168" t="n"/>
      <c r="T37" s="168" t="n"/>
    </row>
    <row r="38">
      <c r="A38" s="540" t="inlineStr">
        <is>
          <t>Indépendants au CA (%)</t>
        </is>
      </c>
      <c r="B38" s="30">
        <f>9/B35</f>
        <v/>
      </c>
      <c r="C38" s="37" t="n">
        <v>0.53</v>
      </c>
      <c r="D38" s="540" t="inlineStr">
        <is>
          <t>&gt; 50% AFEP-MEDEF</t>
        </is>
      </c>
      <c r="E38" s="168" t="n"/>
      <c r="F38" s="168" t="n"/>
      <c r="G38" s="168" t="n"/>
      <c r="H38" s="168" t="n"/>
      <c r="I38" s="168" t="n"/>
      <c r="J38" s="168" t="n"/>
      <c r="K38" s="168" t="n"/>
      <c r="L38" s="168" t="n"/>
      <c r="M38" s="168" t="n"/>
      <c r="N38" s="168" t="n"/>
      <c r="O38" s="168" t="n"/>
      <c r="P38" s="168" t="n"/>
      <c r="Q38" s="168" t="n"/>
      <c r="R38" s="168" t="n"/>
      <c r="S38" s="168" t="n"/>
      <c r="T38" s="168" t="n"/>
    </row>
    <row r="39">
      <c r="A39" s="96" t="inlineStr">
        <is>
          <t>Nationalités au CA</t>
        </is>
      </c>
      <c r="B39" s="96" t="n">
        <v>9</v>
      </c>
      <c r="C39" s="96" t="n">
        <v>8</v>
      </c>
      <c r="D39" s="96" t="inlineStr">
        <is>
          <t>&gt; 5</t>
        </is>
      </c>
      <c r="E39" s="168" t="n"/>
      <c r="F39" s="168" t="n"/>
      <c r="G39" s="168" t="n"/>
      <c r="H39" s="168" t="n"/>
      <c r="I39" s="168" t="n"/>
      <c r="J39" s="168" t="n"/>
      <c r="K39" s="168" t="n"/>
      <c r="L39" s="168" t="n"/>
      <c r="M39" s="168" t="n"/>
      <c r="N39" s="168" t="n"/>
      <c r="O39" s="168" t="n"/>
      <c r="P39" s="168" t="n"/>
      <c r="Q39" s="168" t="n"/>
      <c r="R39" s="168" t="n"/>
      <c r="S39" s="168" t="n"/>
      <c r="T39" s="168" t="n"/>
    </row>
    <row r="40">
      <c r="A40" s="540" t="inlineStr">
        <is>
          <t>Réunions RSE/an</t>
        </is>
      </c>
      <c r="B40" s="540" t="n">
        <v>4</v>
      </c>
      <c r="C40" s="540" t="n">
        <v>3</v>
      </c>
      <c r="D40" s="540" t="inlineStr">
        <is>
          <t>&gt; 3</t>
        </is>
      </c>
      <c r="E40" s="168" t="n"/>
      <c r="F40" s="168" t="n"/>
      <c r="G40" s="168" t="n"/>
      <c r="H40" s="168" t="n"/>
      <c r="I40" s="168" t="n"/>
      <c r="J40" s="168" t="n"/>
      <c r="K40" s="168" t="n"/>
      <c r="L40" s="168" t="n"/>
      <c r="M40" s="168" t="n"/>
      <c r="N40" s="168" t="n"/>
      <c r="O40" s="168" t="n"/>
      <c r="P40" s="168" t="n"/>
      <c r="Q40" s="168" t="n"/>
      <c r="R40" s="168" t="n"/>
      <c r="S40" s="168" t="n"/>
      <c r="T40" s="168" t="n"/>
    </row>
    <row r="41">
      <c r="A41" s="96" t="inlineStr">
        <is>
          <t>Incidents corruption</t>
        </is>
      </c>
      <c r="B41" s="96" t="n">
        <v>2</v>
      </c>
      <c r="C41" s="96" t="n">
        <v>1</v>
      </c>
      <c r="D41" s="96" t="inlineStr">
        <is>
          <t>0 (tolérance zéro)</t>
        </is>
      </c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</row>
    <row r="42">
      <c r="A42" s="540" t="inlineStr">
        <is>
          <t>Alertes whistleblowing</t>
        </is>
      </c>
      <c r="B42" s="540" t="n">
        <v>18</v>
      </c>
      <c r="C42" s="540" t="n">
        <v>14</v>
      </c>
      <c r="D42" s="540" t="inlineStr">
        <is>
          <t>100% traitées</t>
        </is>
      </c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8" t="n"/>
      <c r="R42" s="168" t="n"/>
      <c r="S42" s="168" t="n"/>
      <c r="T42" s="168" t="n"/>
    </row>
    <row r="43">
      <c r="A43" s="96" t="inlineStr">
        <is>
          <t>Délai moyen traitement (j)</t>
        </is>
      </c>
      <c r="B43" s="96" t="n">
        <v>28</v>
      </c>
      <c r="C43" s="96" t="n">
        <v>34</v>
      </c>
      <c r="D43" s="96" t="inlineStr">
        <is>
          <t>&lt; 30 jours</t>
        </is>
      </c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168" t="n"/>
      <c r="T43" s="168" t="n"/>
    </row>
    <row r="44">
      <c r="A44" s="540" t="inlineStr">
        <is>
          <t>Fournisseurs évalués ESG</t>
        </is>
      </c>
      <c r="B44" s="30">
        <f>0.68</f>
        <v/>
      </c>
      <c r="C44" s="37" t="n">
        <v>0.65</v>
      </c>
      <c r="D44" s="540" t="inlineStr">
        <is>
          <t>80% en 2026</t>
        </is>
      </c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 t="n"/>
      <c r="P44" s="168" t="n"/>
      <c r="Q44" s="168" t="n"/>
      <c r="R44" s="168" t="n"/>
      <c r="S44" s="168" t="n"/>
      <c r="T44" s="168" t="n"/>
    </row>
    <row r="45">
      <c r="A45" s="974" t="inlineStr">
        <is>
          <t>Rapport ESG publié</t>
        </is>
      </c>
      <c r="B45" s="974" t="inlineStr">
        <is>
          <t>✅ Oui</t>
        </is>
      </c>
      <c r="C45" s="974" t="inlineStr">
        <is>
          <t>✅ Oui</t>
        </is>
      </c>
      <c r="D45" s="974" t="inlineStr">
        <is>
          <t>Obligatoire CSRD</t>
        </is>
      </c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 t="n"/>
      <c r="O45" s="168" t="n"/>
      <c r="P45" s="168" t="n"/>
      <c r="Q45" s="168" t="n"/>
      <c r="R45" s="168" t="n"/>
      <c r="S45" s="168" t="n"/>
      <c r="T45" s="168" t="n"/>
    </row>
    <row r="46">
      <c r="A46" s="974" t="inlineStr">
        <is>
          <t>Assurance externe ESG</t>
        </is>
      </c>
      <c r="B46" s="974" t="inlineStr">
        <is>
          <t>✅ Limitée</t>
        </is>
      </c>
      <c r="C46" s="974" t="inlineStr">
        <is>
          <t>❌ Non</t>
        </is>
      </c>
      <c r="D46" s="974" t="inlineStr">
        <is>
          <t>Raisonnable en 2026</t>
        </is>
      </c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8" t="n"/>
      <c r="R46" s="168" t="n"/>
      <c r="S46" s="168" t="n"/>
      <c r="T46" s="168" t="n"/>
    </row>
    <row r="47">
      <c r="A47" s="96" t="inlineStr">
        <is>
          <t>ETR (lié CONSOL_CR)</t>
        </is>
      </c>
      <c r="B47" s="96">
        <f>CONSOL_CR!C41</f>
        <v/>
      </c>
      <c r="C47" s="176" t="n">
        <v>0.298</v>
      </c>
      <c r="D47" s="96" t="inlineStr">
        <is>
          <t>≈ 25% taux légal</t>
        </is>
      </c>
      <c r="E47" s="168" t="n"/>
      <c r="F47" s="168" t="n"/>
      <c r="G47" s="168" t="n"/>
      <c r="H47" s="168" t="n"/>
      <c r="I47" s="168" t="n"/>
      <c r="J47" s="168" t="n"/>
      <c r="K47" s="168" t="n"/>
      <c r="L47" s="168" t="n"/>
      <c r="M47" s="168" t="n"/>
      <c r="N47" s="168" t="n"/>
      <c r="O47" s="168" t="n"/>
      <c r="P47" s="168" t="n"/>
      <c r="Q47" s="168" t="n"/>
      <c r="R47" s="168" t="n"/>
      <c r="S47" s="168" t="n"/>
      <c r="T47" s="168" t="n"/>
    </row>
    <row r="48">
      <c r="A48" s="168" t="n"/>
      <c r="B48" s="168" t="n"/>
      <c r="C48" s="168" t="n"/>
      <c r="D48" s="168" t="n"/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8" t="n"/>
      <c r="R48" s="168" t="n"/>
      <c r="S48" s="168" t="n"/>
      <c r="T48" s="168" t="n"/>
    </row>
    <row r="49">
      <c r="A49" s="168" t="n"/>
      <c r="B49" s="168" t="n"/>
      <c r="C49" s="168" t="n"/>
      <c r="D49" s="168" t="n"/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/>
      <c r="N49" s="168" t="n"/>
      <c r="O49" s="168" t="n"/>
      <c r="P49" s="168" t="n"/>
      <c r="Q49" s="168" t="n"/>
      <c r="R49" s="168" t="n"/>
      <c r="S49" s="168" t="n"/>
      <c r="T49" s="168" t="n"/>
    </row>
    <row r="50">
      <c r="A50" s="168" t="n"/>
      <c r="B50" s="168" t="n"/>
      <c r="C50" s="168" t="n"/>
      <c r="D50" s="168" t="n"/>
      <c r="E50" s="168" t="n"/>
      <c r="F50" s="168" t="n"/>
      <c r="G50" s="168" t="n"/>
      <c r="H50" s="168" t="n"/>
      <c r="I50" s="168" t="n"/>
      <c r="J50" s="168" t="n"/>
      <c r="K50" s="168" t="n"/>
      <c r="L50" s="168" t="n"/>
      <c r="M50" s="168" t="n"/>
      <c r="N50" s="168" t="n"/>
      <c r="O50" s="168" t="n"/>
      <c r="P50" s="168" t="n"/>
      <c r="Q50" s="168" t="n"/>
      <c r="R50" s="168" t="n"/>
      <c r="S50" s="168" t="n"/>
      <c r="T50" s="168" t="n"/>
    </row>
    <row r="51">
      <c r="A51" s="168" t="n"/>
      <c r="B51" s="168" t="n"/>
      <c r="C51" s="168" t="n"/>
      <c r="D51" s="168" t="n"/>
      <c r="E51" s="168" t="n"/>
      <c r="F51" s="168" t="n"/>
      <c r="G51" s="168" t="n"/>
      <c r="H51" s="168" t="n"/>
      <c r="I51" s="168" t="n"/>
      <c r="J51" s="168" t="n"/>
      <c r="K51" s="168" t="n"/>
      <c r="L51" s="168" t="n"/>
      <c r="M51" s="168" t="n"/>
      <c r="N51" s="168" t="n"/>
      <c r="O51" s="168" t="n"/>
      <c r="P51" s="168" t="n"/>
      <c r="Q51" s="168" t="n"/>
      <c r="R51" s="168" t="n"/>
      <c r="S51" s="168" t="n"/>
      <c r="T51" s="168" t="n"/>
    </row>
    <row r="52">
      <c r="A52" s="168" t="n"/>
      <c r="B52" s="168" t="n"/>
      <c r="C52" s="168" t="n"/>
      <c r="D52" s="168" t="n"/>
      <c r="E52" s="168" t="n"/>
      <c r="F52" s="168" t="n"/>
      <c r="G52" s="168" t="n"/>
      <c r="H52" s="168" t="n"/>
      <c r="I52" s="168" t="n"/>
      <c r="J52" s="168" t="n"/>
      <c r="K52" s="168" t="n"/>
      <c r="L52" s="168" t="n"/>
      <c r="M52" s="168" t="n"/>
      <c r="N52" s="168" t="n"/>
      <c r="O52" s="168" t="n"/>
      <c r="P52" s="168" t="n"/>
      <c r="Q52" s="168" t="n"/>
      <c r="R52" s="168" t="n"/>
      <c r="S52" s="168" t="n"/>
      <c r="T52" s="168" t="n"/>
    </row>
    <row r="53">
      <c r="A53" s="168" t="n"/>
      <c r="B53" s="168" t="n"/>
      <c r="C53" s="168" t="n"/>
      <c r="D53" s="168" t="n"/>
      <c r="E53" s="168" t="n"/>
      <c r="F53" s="168" t="n"/>
      <c r="G53" s="168" t="n"/>
      <c r="H53" s="168" t="n"/>
      <c r="I53" s="168" t="n"/>
      <c r="J53" s="168" t="n"/>
      <c r="K53" s="168" t="n"/>
      <c r="L53" s="168" t="n"/>
      <c r="M53" s="168" t="n"/>
      <c r="N53" s="168" t="n"/>
      <c r="O53" s="168" t="n"/>
      <c r="P53" s="168" t="n"/>
      <c r="Q53" s="168" t="n"/>
      <c r="R53" s="168" t="n"/>
      <c r="S53" s="168" t="n"/>
      <c r="T53" s="168" t="n"/>
    </row>
    <row r="54">
      <c r="A54" s="168" t="n"/>
      <c r="B54" s="168" t="n"/>
      <c r="C54" s="168" t="n"/>
      <c r="D54" s="168" t="n"/>
      <c r="E54" s="168" t="n"/>
      <c r="F54" s="168" t="n"/>
      <c r="G54" s="168" t="n"/>
      <c r="H54" s="168" t="n"/>
      <c r="I54" s="168" t="n"/>
      <c r="J54" s="168" t="n"/>
      <c r="K54" s="168" t="n"/>
      <c r="L54" s="168" t="n"/>
      <c r="M54" s="168" t="n"/>
      <c r="N54" s="168" t="n"/>
      <c r="O54" s="168" t="n"/>
      <c r="P54" s="168" t="n"/>
      <c r="Q54" s="168" t="n"/>
      <c r="R54" s="168" t="n"/>
      <c r="S54" s="168" t="n"/>
      <c r="T54" s="168" t="n"/>
    </row>
    <row r="55">
      <c r="A55" s="168" t="n"/>
      <c r="B55" s="168" t="n"/>
      <c r="C55" s="168" t="n"/>
      <c r="D55" s="168" t="n"/>
      <c r="E55" s="168" t="n"/>
      <c r="F55" s="168" t="n"/>
      <c r="G55" s="168" t="n"/>
      <c r="H55" s="168" t="n"/>
      <c r="I55" s="168" t="n"/>
      <c r="J55" s="168" t="n"/>
      <c r="K55" s="168" t="n"/>
      <c r="L55" s="168" t="n"/>
      <c r="M55" s="168" t="n"/>
      <c r="N55" s="168" t="n"/>
      <c r="O55" s="168" t="n"/>
      <c r="P55" s="168" t="n"/>
      <c r="Q55" s="168" t="n"/>
      <c r="R55" s="168" t="n"/>
      <c r="S55" s="168" t="n"/>
      <c r="T55" s="168" t="n"/>
    </row>
    <row r="56">
      <c r="A56" s="168" t="n"/>
      <c r="B56" s="168" t="n"/>
      <c r="C56" s="168" t="n"/>
      <c r="D56" s="168" t="n"/>
      <c r="E56" s="168" t="n"/>
      <c r="F56" s="168" t="n"/>
      <c r="G56" s="168" t="n"/>
      <c r="H56" s="168" t="n"/>
      <c r="I56" s="168" t="n"/>
      <c r="J56" s="168" t="n"/>
      <c r="K56" s="168" t="n"/>
      <c r="L56" s="168" t="n"/>
      <c r="M56" s="168" t="n"/>
      <c r="N56" s="168" t="n"/>
      <c r="O56" s="168" t="n"/>
      <c r="P56" s="168" t="n"/>
      <c r="Q56" s="168" t="n"/>
      <c r="R56" s="168" t="n"/>
      <c r="S56" s="168" t="n"/>
      <c r="T56" s="168" t="n"/>
    </row>
    <row r="57">
      <c r="A57" s="168" t="n"/>
      <c r="B57" s="168" t="n"/>
      <c r="C57" s="168" t="n"/>
      <c r="D57" s="168" t="n"/>
      <c r="E57" s="168" t="n"/>
      <c r="F57" s="168" t="n"/>
      <c r="G57" s="168" t="n"/>
      <c r="H57" s="168" t="n"/>
      <c r="I57" s="168" t="n"/>
      <c r="J57" s="168" t="n"/>
      <c r="K57" s="168" t="n"/>
      <c r="L57" s="168" t="n"/>
      <c r="M57" s="168" t="n"/>
      <c r="N57" s="168" t="n"/>
      <c r="O57" s="168" t="n"/>
      <c r="P57" s="168" t="n"/>
      <c r="Q57" s="168" t="n"/>
      <c r="R57" s="168" t="n"/>
      <c r="S57" s="168" t="n"/>
      <c r="T57" s="168" t="n"/>
    </row>
    <row r="58">
      <c r="A58" s="168" t="n"/>
      <c r="B58" s="168" t="n"/>
      <c r="C58" s="168" t="n"/>
      <c r="D58" s="168" t="n"/>
      <c r="E58" s="168" t="n"/>
      <c r="F58" s="168" t="n"/>
      <c r="G58" s="168" t="n"/>
      <c r="H58" s="168" t="n"/>
      <c r="I58" s="168" t="n"/>
      <c r="J58" s="168" t="n"/>
      <c r="K58" s="168" t="n"/>
      <c r="L58" s="168" t="n"/>
      <c r="M58" s="168" t="n"/>
      <c r="N58" s="168" t="n"/>
      <c r="O58" s="168" t="n"/>
      <c r="P58" s="168" t="n"/>
      <c r="Q58" s="168" t="n"/>
      <c r="R58" s="168" t="n"/>
      <c r="S58" s="168" t="n"/>
      <c r="T58" s="168" t="n"/>
    </row>
    <row r="59">
      <c r="A59" s="168" t="n"/>
      <c r="B59" s="168" t="n"/>
      <c r="C59" s="168" t="n"/>
      <c r="D59" s="168" t="n"/>
      <c r="E59" s="168" t="n"/>
      <c r="F59" s="168" t="n"/>
      <c r="G59" s="168" t="n"/>
      <c r="H59" s="168" t="n"/>
      <c r="I59" s="168" t="n"/>
      <c r="J59" s="168" t="n"/>
      <c r="K59" s="168" t="n"/>
      <c r="L59" s="168" t="n"/>
      <c r="M59" s="168" t="n"/>
      <c r="N59" s="168" t="n"/>
      <c r="O59" s="168" t="n"/>
      <c r="P59" s="168" t="n"/>
      <c r="Q59" s="168" t="n"/>
      <c r="R59" s="168" t="n"/>
      <c r="S59" s="168" t="n"/>
      <c r="T59" s="168" t="n"/>
    </row>
    <row r="60">
      <c r="A60" s="168" t="n"/>
      <c r="B60" s="168" t="n"/>
      <c r="C60" s="168" t="n"/>
      <c r="D60" s="168" t="n"/>
      <c r="E60" s="168" t="n"/>
      <c r="F60" s="168" t="n"/>
      <c r="G60" s="168" t="n"/>
      <c r="H60" s="168" t="n"/>
      <c r="I60" s="168" t="n"/>
      <c r="J60" s="168" t="n"/>
      <c r="K60" s="168" t="n"/>
      <c r="L60" s="168" t="n"/>
      <c r="M60" s="168" t="n"/>
      <c r="N60" s="168" t="n"/>
      <c r="O60" s="168" t="n"/>
      <c r="P60" s="168" t="n"/>
      <c r="Q60" s="168" t="n"/>
      <c r="R60" s="168" t="n"/>
      <c r="S60" s="168" t="n"/>
      <c r="T60" s="168" t="n"/>
    </row>
    <row r="61">
      <c r="A61" s="168" t="n"/>
      <c r="B61" s="168" t="n"/>
      <c r="C61" s="168" t="n"/>
      <c r="D61" s="168" t="n"/>
      <c r="E61" s="168" t="n"/>
      <c r="F61" s="168" t="n"/>
      <c r="G61" s="168" t="n"/>
      <c r="H61" s="168" t="n"/>
      <c r="I61" s="168" t="n"/>
      <c r="J61" s="168" t="n"/>
      <c r="K61" s="168" t="n"/>
      <c r="L61" s="168" t="n"/>
      <c r="M61" s="168" t="n"/>
      <c r="N61" s="168" t="n"/>
      <c r="O61" s="168" t="n"/>
      <c r="P61" s="168" t="n"/>
      <c r="Q61" s="168" t="n"/>
      <c r="R61" s="168" t="n"/>
      <c r="S61" s="168" t="n"/>
      <c r="T61" s="168" t="n"/>
    </row>
    <row r="62">
      <c r="A62" s="168" t="n"/>
      <c r="B62" s="168" t="n"/>
      <c r="C62" s="168" t="n"/>
      <c r="D62" s="168" t="n"/>
      <c r="E62" s="168" t="n"/>
      <c r="F62" s="168" t="n"/>
      <c r="G62" s="168" t="n"/>
      <c r="H62" s="168" t="n"/>
      <c r="I62" s="168" t="n"/>
      <c r="J62" s="168" t="n"/>
      <c r="K62" s="168" t="n"/>
      <c r="L62" s="168" t="n"/>
      <c r="M62" s="168" t="n"/>
      <c r="N62" s="168" t="n"/>
      <c r="O62" s="168" t="n"/>
      <c r="P62" s="168" t="n"/>
      <c r="Q62" s="168" t="n"/>
      <c r="R62" s="168" t="n"/>
      <c r="S62" s="168" t="n"/>
      <c r="T62" s="168" t="n"/>
    </row>
    <row r="63">
      <c r="A63" s="168" t="n"/>
      <c r="B63" s="168" t="n"/>
      <c r="C63" s="168" t="n"/>
      <c r="D63" s="168" t="n"/>
      <c r="E63" s="168" t="n"/>
      <c r="F63" s="168" t="n"/>
      <c r="G63" s="168" t="n"/>
      <c r="H63" s="168" t="n"/>
      <c r="I63" s="168" t="n"/>
      <c r="J63" s="168" t="n"/>
      <c r="K63" s="168" t="n"/>
      <c r="L63" s="168" t="n"/>
      <c r="M63" s="168" t="n"/>
      <c r="N63" s="168" t="n"/>
      <c r="O63" s="168" t="n"/>
      <c r="P63" s="168" t="n"/>
      <c r="Q63" s="168" t="n"/>
      <c r="R63" s="168" t="n"/>
      <c r="S63" s="168" t="n"/>
      <c r="T63" s="168" t="n"/>
    </row>
    <row r="64">
      <c r="A64" s="168" t="n"/>
      <c r="B64" s="168" t="n"/>
      <c r="C64" s="168" t="n"/>
      <c r="D64" s="168" t="n"/>
      <c r="E64" s="168" t="n"/>
      <c r="F64" s="168" t="n"/>
      <c r="G64" s="168" t="n"/>
      <c r="H64" s="168" t="n"/>
      <c r="I64" s="168" t="n"/>
      <c r="J64" s="168" t="n"/>
      <c r="K64" s="168" t="n"/>
      <c r="L64" s="168" t="n"/>
      <c r="M64" s="168" t="n"/>
      <c r="N64" s="168" t="n"/>
      <c r="O64" s="168" t="n"/>
      <c r="P64" s="168" t="n"/>
      <c r="Q64" s="168" t="n"/>
      <c r="R64" s="168" t="n"/>
      <c r="S64" s="168" t="n"/>
      <c r="T64" s="168" t="n"/>
    </row>
    <row r="65">
      <c r="A65" s="168" t="n"/>
      <c r="B65" s="168" t="n"/>
      <c r="C65" s="168" t="n"/>
      <c r="D65" s="168" t="n"/>
      <c r="E65" s="168" t="n"/>
      <c r="F65" s="168" t="n"/>
      <c r="G65" s="168" t="n"/>
      <c r="H65" s="168" t="n"/>
      <c r="I65" s="168" t="n"/>
      <c r="J65" s="168" t="n"/>
      <c r="K65" s="168" t="n"/>
      <c r="L65" s="168" t="n"/>
      <c r="M65" s="168" t="n"/>
      <c r="N65" s="168" t="n"/>
      <c r="O65" s="168" t="n"/>
      <c r="P65" s="168" t="n"/>
      <c r="Q65" s="168" t="n"/>
      <c r="R65" s="168" t="n"/>
      <c r="S65" s="168" t="n"/>
      <c r="T65" s="168" t="n"/>
    </row>
    <row r="66">
      <c r="A66" s="168" t="n"/>
      <c r="B66" s="168" t="n"/>
      <c r="C66" s="168" t="n"/>
      <c r="D66" s="168" t="n"/>
      <c r="E66" s="168" t="n"/>
      <c r="F66" s="168" t="n"/>
      <c r="G66" s="168" t="n"/>
      <c r="H66" s="168" t="n"/>
      <c r="I66" s="168" t="n"/>
      <c r="J66" s="168" t="n"/>
      <c r="K66" s="168" t="n"/>
      <c r="L66" s="168" t="n"/>
      <c r="M66" s="168" t="n"/>
      <c r="N66" s="168" t="n"/>
      <c r="O66" s="168" t="n"/>
      <c r="P66" s="168" t="n"/>
      <c r="Q66" s="168" t="n"/>
      <c r="R66" s="168" t="n"/>
      <c r="S66" s="168" t="n"/>
      <c r="T66" s="168" t="n"/>
    </row>
    <row r="67">
      <c r="A67" s="168" t="n"/>
      <c r="B67" s="168" t="n"/>
      <c r="C67" s="168" t="n"/>
      <c r="D67" s="168" t="n"/>
      <c r="E67" s="168" t="n"/>
      <c r="F67" s="168" t="n"/>
      <c r="G67" s="168" t="n"/>
      <c r="H67" s="168" t="n"/>
      <c r="I67" s="168" t="n"/>
      <c r="J67" s="168" t="n"/>
      <c r="K67" s="168" t="n"/>
      <c r="L67" s="168" t="n"/>
      <c r="M67" s="168" t="n"/>
      <c r="N67" s="168" t="n"/>
      <c r="O67" s="168" t="n"/>
      <c r="P67" s="168" t="n"/>
      <c r="Q67" s="168" t="n"/>
      <c r="R67" s="168" t="n"/>
      <c r="S67" s="168" t="n"/>
      <c r="T67" s="168" t="n"/>
    </row>
    <row r="68">
      <c r="A68" s="168" t="n"/>
      <c r="B68" s="168" t="n"/>
      <c r="C68" s="168" t="n"/>
      <c r="D68" s="168" t="n"/>
      <c r="E68" s="168" t="n"/>
      <c r="F68" s="168" t="n"/>
      <c r="G68" s="168" t="n"/>
      <c r="H68" s="168" t="n"/>
      <c r="I68" s="168" t="n"/>
      <c r="J68" s="168" t="n"/>
      <c r="K68" s="168" t="n"/>
      <c r="L68" s="168" t="n"/>
      <c r="M68" s="168" t="n"/>
      <c r="N68" s="168" t="n"/>
      <c r="O68" s="168" t="n"/>
      <c r="P68" s="168" t="n"/>
      <c r="Q68" s="168" t="n"/>
      <c r="R68" s="168" t="n"/>
      <c r="S68" s="168" t="n"/>
      <c r="T68" s="168" t="n"/>
    </row>
    <row r="69">
      <c r="A69" s="168" t="n"/>
      <c r="B69" s="168" t="n"/>
      <c r="C69" s="168" t="n"/>
      <c r="D69" s="168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  <c r="Q69" s="168" t="n"/>
      <c r="R69" s="168" t="n"/>
      <c r="S69" s="168" t="n"/>
      <c r="T69" s="168" t="n"/>
    </row>
    <row r="70">
      <c r="A70" s="168" t="n"/>
      <c r="B70" s="168" t="n"/>
      <c r="C70" s="168" t="n"/>
      <c r="D70" s="168" t="n"/>
      <c r="E70" s="168" t="n"/>
      <c r="F70" s="168" t="n"/>
      <c r="G70" s="168" t="n"/>
      <c r="H70" s="168" t="n"/>
      <c r="I70" s="168" t="n"/>
      <c r="J70" s="168" t="n"/>
      <c r="K70" s="168" t="n"/>
      <c r="L70" s="168" t="n"/>
      <c r="M70" s="168" t="n"/>
      <c r="N70" s="168" t="n"/>
      <c r="O70" s="168" t="n"/>
      <c r="P70" s="168" t="n"/>
      <c r="Q70" s="168" t="n"/>
      <c r="R70" s="168" t="n"/>
      <c r="S70" s="168" t="n"/>
      <c r="T70" s="168" t="n"/>
    </row>
    <row r="71">
      <c r="A71" s="168" t="n"/>
      <c r="B71" s="168" t="n"/>
      <c r="C71" s="168" t="n"/>
      <c r="D71" s="168" t="n"/>
      <c r="E71" s="168" t="n"/>
      <c r="F71" s="168" t="n"/>
      <c r="G71" s="168" t="n"/>
      <c r="H71" s="168" t="n"/>
      <c r="I71" s="168" t="n"/>
      <c r="J71" s="168" t="n"/>
      <c r="K71" s="168" t="n"/>
      <c r="L71" s="168" t="n"/>
      <c r="M71" s="168" t="n"/>
      <c r="N71" s="168" t="n"/>
      <c r="O71" s="168" t="n"/>
      <c r="P71" s="168" t="n"/>
      <c r="Q71" s="168" t="n"/>
      <c r="R71" s="168" t="n"/>
      <c r="S71" s="168" t="n"/>
      <c r="T71" s="168" t="n"/>
    </row>
    <row r="72">
      <c r="A72" s="168" t="n"/>
      <c r="B72" s="168" t="n"/>
      <c r="C72" s="168" t="n"/>
      <c r="D72" s="168" t="n"/>
      <c r="E72" s="168" t="n"/>
      <c r="F72" s="168" t="n"/>
      <c r="G72" s="168" t="n"/>
      <c r="H72" s="168" t="n"/>
      <c r="I72" s="168" t="n"/>
      <c r="J72" s="168" t="n"/>
      <c r="K72" s="168" t="n"/>
      <c r="L72" s="168" t="n"/>
      <c r="M72" s="168" t="n"/>
      <c r="N72" s="168" t="n"/>
      <c r="O72" s="168" t="n"/>
      <c r="P72" s="168" t="n"/>
      <c r="Q72" s="168" t="n"/>
      <c r="R72" s="168" t="n"/>
      <c r="S72" s="168" t="n"/>
      <c r="T72" s="168" t="n"/>
    </row>
    <row r="73">
      <c r="A73" s="168" t="n"/>
      <c r="B73" s="168" t="n"/>
      <c r="C73" s="168" t="n"/>
      <c r="D73" s="168" t="n"/>
      <c r="E73" s="168" t="n"/>
      <c r="F73" s="168" t="n"/>
      <c r="G73" s="168" t="n"/>
      <c r="H73" s="168" t="n"/>
      <c r="I73" s="168" t="n"/>
      <c r="J73" s="168" t="n"/>
      <c r="K73" s="168" t="n"/>
      <c r="L73" s="168" t="n"/>
      <c r="M73" s="168" t="n"/>
      <c r="N73" s="168" t="n"/>
      <c r="O73" s="168" t="n"/>
      <c r="P73" s="168" t="n"/>
      <c r="Q73" s="168" t="n"/>
      <c r="R73" s="168" t="n"/>
      <c r="S73" s="168" t="n"/>
      <c r="T73" s="168" t="n"/>
    </row>
    <row r="74">
      <c r="A74" s="168" t="n"/>
      <c r="B74" s="168" t="n"/>
      <c r="C74" s="168" t="n"/>
      <c r="D74" s="168" t="n"/>
      <c r="E74" s="168" t="n"/>
      <c r="F74" s="168" t="n"/>
      <c r="G74" s="168" t="n"/>
      <c r="H74" s="168" t="n"/>
      <c r="I74" s="168" t="n"/>
      <c r="J74" s="168" t="n"/>
      <c r="K74" s="168" t="n"/>
      <c r="L74" s="168" t="n"/>
      <c r="M74" s="168" t="n"/>
      <c r="N74" s="168" t="n"/>
      <c r="O74" s="168" t="n"/>
      <c r="P74" s="168" t="n"/>
      <c r="Q74" s="168" t="n"/>
      <c r="R74" s="168" t="n"/>
      <c r="S74" s="168" t="n"/>
      <c r="T74" s="168" t="n"/>
    </row>
    <row r="75">
      <c r="A75" s="168" t="n"/>
      <c r="B75" s="168" t="n"/>
      <c r="C75" s="168" t="n"/>
      <c r="D75" s="168" t="n"/>
      <c r="E75" s="168" t="n"/>
      <c r="F75" s="168" t="n"/>
      <c r="G75" s="168" t="n"/>
      <c r="H75" s="168" t="n"/>
      <c r="I75" s="168" t="n"/>
      <c r="J75" s="168" t="n"/>
      <c r="K75" s="168" t="n"/>
      <c r="L75" s="168" t="n"/>
      <c r="M75" s="168" t="n"/>
      <c r="N75" s="168" t="n"/>
      <c r="O75" s="168" t="n"/>
      <c r="P75" s="168" t="n"/>
      <c r="Q75" s="168" t="n"/>
      <c r="R75" s="168" t="n"/>
      <c r="S75" s="168" t="n"/>
      <c r="T75" s="168" t="n"/>
    </row>
    <row r="76">
      <c r="A76" s="168" t="n"/>
      <c r="B76" s="168" t="n"/>
      <c r="C76" s="168" t="n"/>
      <c r="D76" s="168" t="n"/>
      <c r="E76" s="168" t="n"/>
      <c r="F76" s="168" t="n"/>
      <c r="G76" s="168" t="n"/>
      <c r="H76" s="168" t="n"/>
      <c r="I76" s="168" t="n"/>
      <c r="J76" s="168" t="n"/>
      <c r="K76" s="168" t="n"/>
      <c r="L76" s="168" t="n"/>
      <c r="M76" s="168" t="n"/>
      <c r="N76" s="168" t="n"/>
      <c r="O76" s="168" t="n"/>
      <c r="P76" s="168" t="n"/>
      <c r="Q76" s="168" t="n"/>
      <c r="R76" s="168" t="n"/>
      <c r="S76" s="168" t="n"/>
      <c r="T76" s="168" t="n"/>
    </row>
    <row r="77">
      <c r="A77" s="168" t="n"/>
      <c r="B77" s="168" t="n"/>
      <c r="C77" s="168" t="n"/>
      <c r="D77" s="168" t="n"/>
      <c r="E77" s="168" t="n"/>
      <c r="F77" s="168" t="n"/>
      <c r="G77" s="168" t="n"/>
      <c r="H77" s="168" t="n"/>
      <c r="I77" s="168" t="n"/>
      <c r="J77" s="168" t="n"/>
      <c r="K77" s="168" t="n"/>
      <c r="L77" s="168" t="n"/>
      <c r="M77" s="168" t="n"/>
      <c r="N77" s="168" t="n"/>
      <c r="O77" s="168" t="n"/>
      <c r="P77" s="168" t="n"/>
      <c r="Q77" s="168" t="n"/>
      <c r="R77" s="168" t="n"/>
      <c r="S77" s="168" t="n"/>
      <c r="T77" s="168" t="n"/>
    </row>
    <row r="78">
      <c r="A78" s="168" t="n"/>
      <c r="B78" s="168" t="n"/>
      <c r="C78" s="168" t="n"/>
      <c r="D78" s="168" t="n"/>
      <c r="E78" s="168" t="n"/>
      <c r="F78" s="168" t="n"/>
      <c r="G78" s="168" t="n"/>
      <c r="H78" s="168" t="n"/>
      <c r="I78" s="168" t="n"/>
      <c r="J78" s="168" t="n"/>
      <c r="K78" s="168" t="n"/>
      <c r="L78" s="168" t="n"/>
      <c r="M78" s="168" t="n"/>
      <c r="N78" s="168" t="n"/>
      <c r="O78" s="168" t="n"/>
      <c r="P78" s="168" t="n"/>
      <c r="Q78" s="168" t="n"/>
      <c r="R78" s="168" t="n"/>
      <c r="S78" s="168" t="n"/>
      <c r="T78" s="168" t="n"/>
    </row>
    <row r="79">
      <c r="A79" s="168" t="n"/>
      <c r="B79" s="168" t="n"/>
      <c r="C79" s="168" t="n"/>
      <c r="D79" s="168" t="n"/>
      <c r="E79" s="168" t="n"/>
      <c r="F79" s="168" t="n"/>
      <c r="G79" s="168" t="n"/>
      <c r="H79" s="168" t="n"/>
      <c r="I79" s="168" t="n"/>
      <c r="J79" s="168" t="n"/>
      <c r="K79" s="168" t="n"/>
      <c r="L79" s="168" t="n"/>
      <c r="M79" s="168" t="n"/>
      <c r="N79" s="168" t="n"/>
      <c r="O79" s="168" t="n"/>
      <c r="P79" s="168" t="n"/>
      <c r="Q79" s="168" t="n"/>
      <c r="R79" s="168" t="n"/>
      <c r="S79" s="168" t="n"/>
      <c r="T79" s="168" t="n"/>
    </row>
    <row r="80">
      <c r="A80" s="168" t="n"/>
      <c r="B80" s="168" t="n"/>
      <c r="C80" s="168" t="n"/>
      <c r="D80" s="168" t="n"/>
      <c r="E80" s="168" t="n"/>
      <c r="F80" s="168" t="n"/>
      <c r="G80" s="168" t="n"/>
      <c r="H80" s="168" t="n"/>
      <c r="I80" s="168" t="n"/>
      <c r="J80" s="168" t="n"/>
      <c r="K80" s="168" t="n"/>
      <c r="L80" s="168" t="n"/>
      <c r="M80" s="168" t="n"/>
      <c r="N80" s="168" t="n"/>
      <c r="O80" s="168" t="n"/>
      <c r="P80" s="168" t="n"/>
      <c r="Q80" s="168" t="n"/>
      <c r="R80" s="168" t="n"/>
      <c r="S80" s="168" t="n"/>
      <c r="T80" s="168" t="n"/>
    </row>
    <row r="81">
      <c r="A81" s="168" t="n"/>
      <c r="B81" s="168" t="n"/>
      <c r="C81" s="168" t="n"/>
      <c r="D81" s="168" t="n"/>
      <c r="E81" s="168" t="n"/>
      <c r="F81" s="168" t="n"/>
      <c r="G81" s="168" t="n"/>
      <c r="H81" s="168" t="n"/>
      <c r="I81" s="168" t="n"/>
      <c r="J81" s="168" t="n"/>
      <c r="K81" s="168" t="n"/>
      <c r="L81" s="168" t="n"/>
      <c r="M81" s="168" t="n"/>
      <c r="N81" s="168" t="n"/>
      <c r="O81" s="168" t="n"/>
      <c r="P81" s="168" t="n"/>
      <c r="Q81" s="168" t="n"/>
      <c r="R81" s="168" t="n"/>
      <c r="S81" s="168" t="n"/>
      <c r="T81" s="168" t="n"/>
    </row>
    <row r="82">
      <c r="A82" s="168" t="n"/>
      <c r="B82" s="168" t="n"/>
      <c r="C82" s="168" t="n"/>
      <c r="D82" s="168" t="n"/>
      <c r="E82" s="168" t="n"/>
      <c r="F82" s="168" t="n"/>
      <c r="G82" s="168" t="n"/>
      <c r="H82" s="168" t="n"/>
      <c r="I82" s="168" t="n"/>
      <c r="J82" s="168" t="n"/>
      <c r="K82" s="168" t="n"/>
      <c r="L82" s="168" t="n"/>
      <c r="M82" s="168" t="n"/>
      <c r="N82" s="168" t="n"/>
      <c r="O82" s="168" t="n"/>
      <c r="P82" s="168" t="n"/>
      <c r="Q82" s="168" t="n"/>
      <c r="R82" s="168" t="n"/>
      <c r="S82" s="168" t="n"/>
      <c r="T82" s="168" t="n"/>
    </row>
    <row r="83">
      <c r="A83" s="168" t="n"/>
      <c r="B83" s="168" t="n"/>
      <c r="C83" s="168" t="n"/>
      <c r="D83" s="168" t="n"/>
      <c r="E83" s="168" t="n"/>
      <c r="F83" s="168" t="n"/>
      <c r="G83" s="168" t="n"/>
      <c r="H83" s="168" t="n"/>
      <c r="I83" s="168" t="n"/>
      <c r="J83" s="168" t="n"/>
      <c r="K83" s="168" t="n"/>
      <c r="L83" s="168" t="n"/>
      <c r="M83" s="168" t="n"/>
      <c r="N83" s="168" t="n"/>
      <c r="O83" s="168" t="n"/>
      <c r="P83" s="168" t="n"/>
      <c r="Q83" s="168" t="n"/>
      <c r="R83" s="168" t="n"/>
      <c r="S83" s="168" t="n"/>
      <c r="T83" s="168" t="n"/>
    </row>
    <row r="84">
      <c r="A84" s="168" t="n"/>
      <c r="B84" s="168" t="n"/>
      <c r="C84" s="168" t="n"/>
      <c r="D84" s="168" t="n"/>
      <c r="E84" s="168" t="n"/>
      <c r="F84" s="168" t="n"/>
      <c r="G84" s="168" t="n"/>
      <c r="H84" s="168" t="n"/>
      <c r="I84" s="168" t="n"/>
      <c r="J84" s="168" t="n"/>
      <c r="K84" s="168" t="n"/>
      <c r="L84" s="168" t="n"/>
      <c r="M84" s="168" t="n"/>
      <c r="N84" s="168" t="n"/>
      <c r="O84" s="168" t="n"/>
      <c r="P84" s="168" t="n"/>
      <c r="Q84" s="168" t="n"/>
      <c r="R84" s="168" t="n"/>
      <c r="S84" s="168" t="n"/>
      <c r="T84" s="168" t="n"/>
    </row>
    <row r="85">
      <c r="A85" s="168" t="n"/>
      <c r="B85" s="168" t="n"/>
      <c r="C85" s="168" t="n"/>
      <c r="D85" s="168" t="n"/>
      <c r="E85" s="168" t="n"/>
      <c r="F85" s="168" t="n"/>
      <c r="G85" s="168" t="n"/>
      <c r="H85" s="168" t="n"/>
      <c r="I85" s="168" t="n"/>
      <c r="J85" s="168" t="n"/>
      <c r="K85" s="168" t="n"/>
      <c r="L85" s="168" t="n"/>
      <c r="M85" s="168" t="n"/>
      <c r="N85" s="168" t="n"/>
      <c r="O85" s="168" t="n"/>
      <c r="P85" s="168" t="n"/>
      <c r="Q85" s="168" t="n"/>
      <c r="R85" s="168" t="n"/>
      <c r="S85" s="168" t="n"/>
      <c r="T85" s="168" t="n"/>
    </row>
    <row r="86">
      <c r="A86" s="168" t="n"/>
      <c r="B86" s="168" t="n"/>
      <c r="C86" s="168" t="n"/>
      <c r="D86" s="168" t="n"/>
      <c r="E86" s="168" t="n"/>
      <c r="F86" s="168" t="n"/>
      <c r="G86" s="168" t="n"/>
      <c r="H86" s="168" t="n"/>
      <c r="I86" s="168" t="n"/>
      <c r="J86" s="168" t="n"/>
      <c r="K86" s="168" t="n"/>
      <c r="L86" s="168" t="n"/>
      <c r="M86" s="168" t="n"/>
      <c r="N86" s="168" t="n"/>
      <c r="O86" s="168" t="n"/>
      <c r="P86" s="168" t="n"/>
      <c r="Q86" s="168" t="n"/>
      <c r="R86" s="168" t="n"/>
      <c r="S86" s="168" t="n"/>
      <c r="T86" s="168" t="n"/>
    </row>
    <row r="87">
      <c r="A87" s="168" t="n"/>
      <c r="B87" s="168" t="n"/>
      <c r="C87" s="168" t="n"/>
      <c r="D87" s="168" t="n"/>
      <c r="E87" s="168" t="n"/>
      <c r="F87" s="168" t="n"/>
      <c r="G87" s="168" t="n"/>
      <c r="H87" s="168" t="n"/>
      <c r="I87" s="168" t="n"/>
      <c r="J87" s="168" t="n"/>
      <c r="K87" s="168" t="n"/>
      <c r="L87" s="168" t="n"/>
      <c r="M87" s="168" t="n"/>
      <c r="N87" s="168" t="n"/>
      <c r="O87" s="168" t="n"/>
      <c r="P87" s="168" t="n"/>
      <c r="Q87" s="168" t="n"/>
      <c r="R87" s="168" t="n"/>
      <c r="S87" s="168" t="n"/>
      <c r="T87" s="168" t="n"/>
    </row>
    <row r="88">
      <c r="A88" s="168" t="n"/>
      <c r="B88" s="168" t="n"/>
      <c r="C88" s="168" t="n"/>
      <c r="D88" s="168" t="n"/>
      <c r="E88" s="168" t="n"/>
      <c r="F88" s="168" t="n"/>
      <c r="G88" s="168" t="n"/>
      <c r="H88" s="168" t="n"/>
      <c r="I88" s="168" t="n"/>
      <c r="J88" s="168" t="n"/>
      <c r="K88" s="168" t="n"/>
      <c r="L88" s="168" t="n"/>
      <c r="M88" s="168" t="n"/>
      <c r="N88" s="168" t="n"/>
      <c r="O88" s="168" t="n"/>
      <c r="P88" s="168" t="n"/>
      <c r="Q88" s="168" t="n"/>
      <c r="R88" s="168" t="n"/>
      <c r="S88" s="168" t="n"/>
      <c r="T88" s="168" t="n"/>
    </row>
    <row r="89">
      <c r="A89" s="168" t="n"/>
      <c r="B89" s="168" t="n"/>
      <c r="C89" s="168" t="n"/>
      <c r="D89" s="168" t="n"/>
      <c r="E89" s="168" t="n"/>
      <c r="F89" s="168" t="n"/>
      <c r="G89" s="168" t="n"/>
      <c r="H89" s="168" t="n"/>
      <c r="I89" s="168" t="n"/>
      <c r="J89" s="168" t="n"/>
      <c r="K89" s="168" t="n"/>
      <c r="L89" s="168" t="n"/>
      <c r="M89" s="168" t="n"/>
      <c r="N89" s="168" t="n"/>
      <c r="O89" s="168" t="n"/>
      <c r="P89" s="168" t="n"/>
      <c r="Q89" s="168" t="n"/>
      <c r="R89" s="168" t="n"/>
      <c r="S89" s="168" t="n"/>
      <c r="T89" s="168" t="n"/>
    </row>
    <row r="90">
      <c r="A90" s="168" t="n"/>
      <c r="B90" s="168" t="n"/>
      <c r="C90" s="168" t="n"/>
      <c r="D90" s="168" t="n"/>
      <c r="E90" s="168" t="n"/>
      <c r="F90" s="168" t="n"/>
      <c r="G90" s="168" t="n"/>
      <c r="H90" s="168" t="n"/>
      <c r="I90" s="168" t="n"/>
      <c r="J90" s="168" t="n"/>
      <c r="K90" s="168" t="n"/>
      <c r="L90" s="168" t="n"/>
      <c r="M90" s="168" t="n"/>
      <c r="N90" s="168" t="n"/>
      <c r="O90" s="168" t="n"/>
      <c r="P90" s="168" t="n"/>
      <c r="Q90" s="168" t="n"/>
      <c r="R90" s="168" t="n"/>
      <c r="S90" s="168" t="n"/>
      <c r="T90" s="168" t="n"/>
    </row>
    <row r="91">
      <c r="A91" s="168" t="n"/>
      <c r="B91" s="168" t="n"/>
      <c r="C91" s="168" t="n"/>
      <c r="D91" s="168" t="n"/>
      <c r="E91" s="168" t="n"/>
      <c r="F91" s="168" t="n"/>
      <c r="G91" s="168" t="n"/>
      <c r="H91" s="168" t="n"/>
      <c r="I91" s="168" t="n"/>
      <c r="J91" s="168" t="n"/>
      <c r="K91" s="168" t="n"/>
      <c r="L91" s="168" t="n"/>
      <c r="M91" s="168" t="n"/>
      <c r="N91" s="168" t="n"/>
      <c r="O91" s="168" t="n"/>
      <c r="P91" s="168" t="n"/>
      <c r="Q91" s="168" t="n"/>
      <c r="R91" s="168" t="n"/>
      <c r="S91" s="168" t="n"/>
      <c r="T91" s="168" t="n"/>
    </row>
    <row r="92">
      <c r="A92" s="168" t="n"/>
      <c r="B92" s="168" t="n"/>
      <c r="C92" s="168" t="n"/>
      <c r="D92" s="168" t="n"/>
      <c r="E92" s="168" t="n"/>
      <c r="F92" s="168" t="n"/>
      <c r="G92" s="168" t="n"/>
      <c r="H92" s="168" t="n"/>
      <c r="I92" s="168" t="n"/>
      <c r="J92" s="168" t="n"/>
      <c r="K92" s="168" t="n"/>
      <c r="L92" s="168" t="n"/>
      <c r="M92" s="168" t="n"/>
      <c r="N92" s="168" t="n"/>
      <c r="O92" s="168" t="n"/>
      <c r="P92" s="168" t="n"/>
      <c r="Q92" s="168" t="n"/>
      <c r="R92" s="168" t="n"/>
      <c r="S92" s="168" t="n"/>
      <c r="T92" s="168" t="n"/>
    </row>
    <row r="93">
      <c r="A93" s="168" t="n"/>
      <c r="B93" s="168" t="n"/>
      <c r="C93" s="168" t="n"/>
      <c r="D93" s="168" t="n"/>
      <c r="E93" s="168" t="n"/>
      <c r="F93" s="168" t="n"/>
      <c r="G93" s="168" t="n"/>
      <c r="H93" s="168" t="n"/>
      <c r="I93" s="168" t="n"/>
      <c r="J93" s="168" t="n"/>
      <c r="K93" s="168" t="n"/>
      <c r="L93" s="168" t="n"/>
      <c r="M93" s="168" t="n"/>
      <c r="N93" s="168" t="n"/>
      <c r="O93" s="168" t="n"/>
      <c r="P93" s="168" t="n"/>
      <c r="Q93" s="168" t="n"/>
      <c r="R93" s="168" t="n"/>
      <c r="S93" s="168" t="n"/>
      <c r="T93" s="168" t="n"/>
    </row>
    <row r="94">
      <c r="A94" s="168" t="n"/>
      <c r="B94" s="168" t="n"/>
      <c r="C94" s="168" t="n"/>
      <c r="D94" s="168" t="n"/>
      <c r="E94" s="168" t="n"/>
      <c r="F94" s="168" t="n"/>
      <c r="G94" s="168" t="n"/>
      <c r="H94" s="168" t="n"/>
      <c r="I94" s="168" t="n"/>
      <c r="J94" s="168" t="n"/>
      <c r="K94" s="168" t="n"/>
      <c r="L94" s="168" t="n"/>
      <c r="M94" s="168" t="n"/>
      <c r="N94" s="168" t="n"/>
      <c r="O94" s="168" t="n"/>
      <c r="P94" s="168" t="n"/>
      <c r="Q94" s="168" t="n"/>
      <c r="R94" s="168" t="n"/>
      <c r="S94" s="168" t="n"/>
      <c r="T94" s="168" t="n"/>
    </row>
    <row r="95">
      <c r="A95" s="168" t="n"/>
      <c r="B95" s="168" t="n"/>
      <c r="C95" s="168" t="n"/>
      <c r="D95" s="168" t="n"/>
      <c r="E95" s="168" t="n"/>
      <c r="F95" s="168" t="n"/>
      <c r="G95" s="168" t="n"/>
      <c r="H95" s="168" t="n"/>
      <c r="I95" s="168" t="n"/>
      <c r="J95" s="168" t="n"/>
      <c r="K95" s="168" t="n"/>
      <c r="L95" s="168" t="n"/>
      <c r="M95" s="168" t="n"/>
      <c r="N95" s="168" t="n"/>
      <c r="O95" s="168" t="n"/>
      <c r="P95" s="168" t="n"/>
      <c r="Q95" s="168" t="n"/>
      <c r="R95" s="168" t="n"/>
      <c r="S95" s="168" t="n"/>
      <c r="T95" s="168" t="n"/>
    </row>
    <row r="96">
      <c r="A96" s="168" t="n"/>
      <c r="B96" s="168" t="n"/>
      <c r="C96" s="168" t="n"/>
      <c r="D96" s="168" t="n"/>
      <c r="E96" s="168" t="n"/>
      <c r="F96" s="168" t="n"/>
      <c r="G96" s="168" t="n"/>
      <c r="H96" s="168" t="n"/>
      <c r="I96" s="168" t="n"/>
      <c r="J96" s="168" t="n"/>
      <c r="K96" s="168" t="n"/>
      <c r="L96" s="168" t="n"/>
      <c r="M96" s="168" t="n"/>
      <c r="N96" s="168" t="n"/>
      <c r="O96" s="168" t="n"/>
      <c r="P96" s="168" t="n"/>
      <c r="Q96" s="168" t="n"/>
      <c r="R96" s="168" t="n"/>
      <c r="S96" s="168" t="n"/>
      <c r="T96" s="168" t="n"/>
    </row>
    <row r="97">
      <c r="A97" s="168" t="n"/>
      <c r="B97" s="168" t="n"/>
      <c r="C97" s="168" t="n"/>
      <c r="D97" s="168" t="n"/>
      <c r="E97" s="168" t="n"/>
      <c r="F97" s="168" t="n"/>
      <c r="G97" s="168" t="n"/>
      <c r="H97" s="168" t="n"/>
      <c r="I97" s="168" t="n"/>
      <c r="J97" s="168" t="n"/>
      <c r="K97" s="168" t="n"/>
      <c r="L97" s="168" t="n"/>
      <c r="M97" s="168" t="n"/>
      <c r="N97" s="168" t="n"/>
      <c r="O97" s="168" t="n"/>
      <c r="P97" s="168" t="n"/>
      <c r="Q97" s="168" t="n"/>
      <c r="R97" s="168" t="n"/>
      <c r="S97" s="168" t="n"/>
      <c r="T97" s="168" t="n"/>
    </row>
    <row r="98">
      <c r="A98" s="168" t="n"/>
      <c r="B98" s="168" t="n"/>
      <c r="C98" s="168" t="n"/>
      <c r="D98" s="168" t="n"/>
      <c r="E98" s="168" t="n"/>
      <c r="F98" s="168" t="n"/>
      <c r="G98" s="168" t="n"/>
      <c r="H98" s="168" t="n"/>
      <c r="I98" s="168" t="n"/>
      <c r="J98" s="168" t="n"/>
      <c r="K98" s="168" t="n"/>
      <c r="L98" s="168" t="n"/>
      <c r="M98" s="168" t="n"/>
      <c r="N98" s="168" t="n"/>
      <c r="O98" s="168" t="n"/>
      <c r="P98" s="168" t="n"/>
      <c r="Q98" s="168" t="n"/>
      <c r="R98" s="168" t="n"/>
      <c r="S98" s="168" t="n"/>
      <c r="T98" s="168" t="n"/>
    </row>
    <row r="99">
      <c r="A99" s="168" t="n"/>
      <c r="B99" s="168" t="n"/>
      <c r="C99" s="168" t="n"/>
      <c r="D99" s="168" t="n"/>
      <c r="E99" s="168" t="n"/>
      <c r="F99" s="168" t="n"/>
      <c r="G99" s="168" t="n"/>
      <c r="H99" s="168" t="n"/>
      <c r="I99" s="168" t="n"/>
      <c r="J99" s="168" t="n"/>
      <c r="K99" s="168" t="n"/>
      <c r="L99" s="168" t="n"/>
      <c r="M99" s="168" t="n"/>
      <c r="N99" s="168" t="n"/>
      <c r="O99" s="168" t="n"/>
      <c r="P99" s="168" t="n"/>
      <c r="Q99" s="168" t="n"/>
      <c r="R99" s="168" t="n"/>
      <c r="S99" s="168" t="n"/>
      <c r="T99" s="168" t="n"/>
    </row>
    <row r="100">
      <c r="A100" s="168" t="n"/>
      <c r="B100" s="168" t="n"/>
      <c r="C100" s="168" t="n"/>
      <c r="D100" s="168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  <c r="P100" s="168" t="n"/>
      <c r="Q100" s="168" t="n"/>
      <c r="R100" s="168" t="n"/>
      <c r="S100" s="168" t="n"/>
      <c r="T100" s="168" t="n"/>
    </row>
  </sheetData>
  <mergeCells count="5">
    <mergeCell ref="A1:S1"/>
    <mergeCell ref="A23:L23"/>
    <mergeCell ref="A3:S3"/>
    <mergeCell ref="A33:D33"/>
    <mergeCell ref="A13:K1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FF1B5E20"/>
    <outlinePr summaryBelow="1" summaryRight="1"/>
    <pageSetUpPr/>
  </sheetPr>
  <dimension ref="A1:M120"/>
  <sheetViews>
    <sheetView workbookViewId="0">
      <selection activeCell="A1" sqref="A1:L1"/>
    </sheetView>
  </sheetViews>
  <sheetFormatPr baseColWidth="10" defaultRowHeight="15"/>
  <cols>
    <col width="21.28515625" customWidth="1" style="500" min="1" max="1"/>
    <col width="29.28515625" customWidth="1" style="500" min="2" max="2"/>
    <col width="18.7109375" customWidth="1" style="500" min="3" max="3"/>
    <col width="13.28515625" customWidth="1" style="500" min="4" max="4"/>
    <col width="56" customWidth="1" style="500" min="5" max="5"/>
    <col width="18.7109375" customWidth="1" style="500" min="6" max="6"/>
    <col width="24" customWidth="1" style="500" min="7" max="7"/>
    <col width="18.7109375" customWidth="1" style="500" min="8" max="8"/>
    <col width="24" customWidth="1" style="500" min="9" max="9"/>
    <col width="18.7109375" customWidth="1" style="500" min="10" max="10"/>
    <col width="64" customWidth="1" style="500" min="11" max="11"/>
    <col width="42.7109375" customWidth="1" style="500" min="12" max="12"/>
  </cols>
  <sheetData>
    <row r="1" ht="17.25" customHeight="1" s="500">
      <c r="A1" s="595" t="inlineStr">
        <is>
          <t>🗺️  ESG_MAPPING – TABLE DE CORRESPONDANCE ESRS → REPORTING CONSOLIDÉ · KPIs ESG × États Financiers</t>
        </is>
      </c>
      <c r="M1" s="177" t="n"/>
    </row>
    <row r="2">
      <c r="A2" s="600" t="inlineStr">
        <is>
          <t>Ce tableau est la clé de liaison entre données ESG brutes et reporting financier consolidé. Utilisé par Power Query et les mesures DAX pour agréger ESG × IFRS 18.</t>
        </is>
      </c>
      <c r="M2" s="177" t="n"/>
    </row>
    <row r="3">
      <c r="A3" s="145" t="inlineStr">
        <is>
          <t>IDIndicateur</t>
        </is>
      </c>
      <c r="B3" s="145" t="inlineStr">
        <is>
          <t>PilierESG</t>
        </is>
      </c>
      <c r="C3" s="145" t="inlineStr">
        <is>
          <t>StandardESRS</t>
        </is>
      </c>
      <c r="D3" s="145" t="inlineStr">
        <is>
          <t>Paragraphe</t>
        </is>
      </c>
      <c r="E3" s="145" t="inlineStr">
        <is>
          <t>IndicateurLabel</t>
        </is>
      </c>
      <c r="F3" s="145" t="inlineStr">
        <is>
          <t>TypeDonnée</t>
        </is>
      </c>
      <c r="G3" s="145" t="inlineStr">
        <is>
          <t>OngletSource</t>
        </is>
      </c>
      <c r="H3" s="145" t="inlineStr">
        <is>
          <t>CelluleSource</t>
        </is>
      </c>
      <c r="I3" s="145" t="inlineStr">
        <is>
          <t>OngletCible</t>
        </is>
      </c>
      <c r="J3" s="145" t="inlineStr">
        <is>
          <t>CelluleCible</t>
        </is>
      </c>
      <c r="K3" s="145" t="inlineStr">
        <is>
          <t>FormulaLiaison</t>
        </is>
      </c>
      <c r="L3" s="145" t="inlineStr">
        <is>
          <t>CatIFRS18_Lié</t>
        </is>
      </c>
      <c r="M3" s="177" t="n"/>
    </row>
    <row r="4">
      <c r="A4" s="149" t="inlineStr">
        <is>
          <t>ESG-E-001</t>
        </is>
      </c>
      <c r="B4" s="149" t="inlineStr">
        <is>
          <t>E – Environnement</t>
        </is>
      </c>
      <c r="C4" s="149" t="inlineStr">
        <is>
          <t>ESRS E1</t>
        </is>
      </c>
      <c r="D4" s="149" t="inlineStr">
        <is>
          <t>§44a</t>
        </is>
      </c>
      <c r="E4" s="149" t="inlineStr">
        <is>
          <t>Scope 1 brut (tCO₂eq) – Groupe</t>
        </is>
      </c>
      <c r="F4" s="149" t="inlineStr">
        <is>
          <t>Quantitatif</t>
        </is>
      </c>
      <c r="G4" s="149" t="inlineStr">
        <is>
          <t>ESG_CARBONE</t>
        </is>
      </c>
      <c r="H4" s="149" t="inlineStr">
        <is>
          <t>B(s3+2)</t>
        </is>
      </c>
      <c r="I4" s="149" t="inlineStr">
        <is>
          <t>DASHBOARD_ESG</t>
        </is>
      </c>
      <c r="J4" s="149" t="inlineStr">
        <is>
          <t>C12</t>
        </is>
      </c>
      <c r="K4" s="179">
        <f>ESG_CARBONE!B54</f>
        <v/>
      </c>
      <c r="L4" s="149" t="inlineStr">
        <is>
          <t>② Investissement / Risque physique</t>
        </is>
      </c>
      <c r="M4" s="177" t="n"/>
    </row>
    <row r="5">
      <c r="A5" s="149" t="inlineStr">
        <is>
          <t>ESG-E-002</t>
        </is>
      </c>
      <c r="B5" s="149" t="inlineStr">
        <is>
          <t>E – Environnement</t>
        </is>
      </c>
      <c r="C5" s="149" t="inlineStr">
        <is>
          <t>ESRS E1</t>
        </is>
      </c>
      <c r="D5" s="149" t="inlineStr">
        <is>
          <t>§44b</t>
        </is>
      </c>
      <c r="E5" s="149" t="inlineStr">
        <is>
          <t>Scope 2 marché (tCO₂eq) – Groupe</t>
        </is>
      </c>
      <c r="F5" s="149" t="inlineStr">
        <is>
          <t>Quantitatif</t>
        </is>
      </c>
      <c r="G5" s="149" t="inlineStr">
        <is>
          <t>ESG_CARBONE</t>
        </is>
      </c>
      <c r="H5" s="149" t="inlineStr">
        <is>
          <t>B(s3+3)</t>
        </is>
      </c>
      <c r="I5" s="149" t="inlineStr">
        <is>
          <t>DASHBOARD_ESG</t>
        </is>
      </c>
      <c r="J5" s="149" t="inlineStr">
        <is>
          <t>C13</t>
        </is>
      </c>
      <c r="K5" s="179">
        <f>ESG_CARBONE!B55</f>
        <v/>
      </c>
      <c r="L5" s="149" t="inlineStr">
        <is>
          <t>② Investissement / Risque transition</t>
        </is>
      </c>
      <c r="M5" s="177" t="n"/>
    </row>
    <row r="6">
      <c r="A6" s="149" t="inlineStr">
        <is>
          <t>ESG-E-003</t>
        </is>
      </c>
      <c r="B6" s="149" t="inlineStr">
        <is>
          <t>E – Environnement</t>
        </is>
      </c>
      <c r="C6" s="149" t="inlineStr">
        <is>
          <t>ESRS E1</t>
        </is>
      </c>
      <c r="D6" s="149" t="inlineStr">
        <is>
          <t>§44c</t>
        </is>
      </c>
      <c r="E6" s="149" t="inlineStr">
        <is>
          <t>Scope 3 total (tCO₂eq) – Groupe</t>
        </is>
      </c>
      <c r="F6" s="149" t="inlineStr">
        <is>
          <t>Quantitatif</t>
        </is>
      </c>
      <c r="G6" s="149" t="inlineStr">
        <is>
          <t>ESG_CARBONE</t>
        </is>
      </c>
      <c r="H6" s="149" t="inlineStr">
        <is>
          <t>B(s3+4)</t>
        </is>
      </c>
      <c r="I6" s="149" t="inlineStr">
        <is>
          <t>DASHBOARD_ESG</t>
        </is>
      </c>
      <c r="J6" s="149" t="inlineStr">
        <is>
          <t>C14</t>
        </is>
      </c>
      <c r="K6" s="179">
        <f>ESG_CARBONE!B56</f>
        <v/>
      </c>
      <c r="L6" s="149" t="inlineStr">
        <is>
          <t>Chaîne de valeur amont/aval</t>
        </is>
      </c>
      <c r="M6" s="177" t="n"/>
    </row>
    <row r="7">
      <c r="A7" s="149" t="inlineStr">
        <is>
          <t>ESG-E-004</t>
        </is>
      </c>
      <c r="B7" s="149" t="inlineStr">
        <is>
          <t>E – Environnement</t>
        </is>
      </c>
      <c r="C7" s="149" t="inlineStr">
        <is>
          <t>ESRS E1</t>
        </is>
      </c>
      <c r="D7" s="149" t="inlineStr">
        <is>
          <t>§55</t>
        </is>
      </c>
      <c r="E7" s="149" t="inlineStr">
        <is>
          <t>Intensité carbone (tCO₂ / M€ CA)</t>
        </is>
      </c>
      <c r="F7" s="149" t="inlineStr">
        <is>
          <t>Ratio</t>
        </is>
      </c>
      <c r="G7" s="149" t="inlineStr">
        <is>
          <t>ESG_CARBONE</t>
        </is>
      </c>
      <c r="H7" s="149" t="inlineStr">
        <is>
          <t>H(s3+5)</t>
        </is>
      </c>
      <c r="I7" s="149" t="inlineStr">
        <is>
          <t>DASHBOARD_FIN</t>
        </is>
      </c>
      <c r="J7" s="149" t="inlineStr">
        <is>
          <t>H25</t>
        </is>
      </c>
      <c r="K7" s="179">
        <f>ESG_CARBONE!H57</f>
        <v/>
      </c>
      <c r="L7" s="149" t="inlineStr">
        <is>
          <t>① Exploitation – efficacité opération.</t>
        </is>
      </c>
      <c r="M7" s="177" t="n"/>
    </row>
    <row r="8">
      <c r="A8" s="149" t="inlineStr">
        <is>
          <t>ESG-E-005</t>
        </is>
      </c>
      <c r="B8" s="149" t="inlineStr">
        <is>
          <t>E – Environnement</t>
        </is>
      </c>
      <c r="C8" s="149" t="inlineStr">
        <is>
          <t>ESRS E1</t>
        </is>
      </c>
      <c r="D8" s="149" t="inlineStr">
        <is>
          <t>§19</t>
        </is>
      </c>
      <c r="E8" s="149" t="inlineStr">
        <is>
          <t>Prix interne carbone (€/tCO₂)</t>
        </is>
      </c>
      <c r="F8" s="149" t="inlineStr">
        <is>
          <t>Paramètre</t>
        </is>
      </c>
      <c r="G8" s="149" t="inlineStr">
        <is>
          <t>ESG_CARBONE</t>
        </is>
      </c>
      <c r="H8" s="149" t="inlineStr">
        <is>
          <t>B(s4+1)</t>
        </is>
      </c>
      <c r="I8" s="149" t="inlineStr">
        <is>
          <t>ESG_DASHBOARD_LINK</t>
        </is>
      </c>
      <c r="J8" s="149" t="inlineStr">
        <is>
          <t>C5</t>
        </is>
      </c>
      <c r="K8" s="179" t="inlineStr">
        <is>
          <t>Paramètre – cellule jaune ESG_CARBONE</t>
        </is>
      </c>
      <c r="L8" s="149" t="inlineStr">
        <is>
          <t>Hypothèse MPM IFRS 18 §112</t>
        </is>
      </c>
      <c r="M8" s="177" t="n"/>
    </row>
    <row r="9">
      <c r="A9" s="149" t="inlineStr">
        <is>
          <t>ESG-E-006</t>
        </is>
      </c>
      <c r="B9" s="149" t="inlineStr">
        <is>
          <t>E – Environnement</t>
        </is>
      </c>
      <c r="C9" s="149" t="inlineStr">
        <is>
          <t>ESRS E1</t>
        </is>
      </c>
      <c r="D9" s="149" t="inlineStr">
        <is>
          <t>§64</t>
        </is>
      </c>
      <c r="E9" s="149" t="inlineStr">
        <is>
          <t>Coût carbone total groupe (k€)</t>
        </is>
      </c>
      <c r="F9" s="149" t="inlineStr">
        <is>
          <t>Monétaire</t>
        </is>
      </c>
      <c r="G9" s="149" t="inlineStr">
        <is>
          <t>ESG_CARBONE</t>
        </is>
      </c>
      <c r="H9" s="149" t="inlineStr">
        <is>
          <t>G(s4+tot)</t>
        </is>
      </c>
      <c r="I9" s="149" t="inlineStr">
        <is>
          <t>DASHBOARD_FIN</t>
        </is>
      </c>
      <c r="J9" s="149" t="inlineStr">
        <is>
          <t>C42</t>
        </is>
      </c>
      <c r="K9" s="179">
        <f>ESG_CARBONE!G71</f>
        <v/>
      </c>
      <c r="L9" s="149" t="inlineStr">
        <is>
          <t>Impact ① Exploitation (scénario)</t>
        </is>
      </c>
      <c r="M9" s="177" t="n"/>
    </row>
    <row r="10">
      <c r="A10" s="149" t="inlineStr">
        <is>
          <t>ESG-E-007</t>
        </is>
      </c>
      <c r="B10" s="149" t="inlineStr">
        <is>
          <t>E – Environnement</t>
        </is>
      </c>
      <c r="C10" s="149" t="inlineStr">
        <is>
          <t>ESRS E1</t>
        </is>
      </c>
      <c r="D10" s="149" t="inlineStr">
        <is>
          <t>§65</t>
        </is>
      </c>
      <c r="E10" s="149" t="inlineStr">
        <is>
          <t>% EBIT exposé au risque carbone</t>
        </is>
      </c>
      <c r="F10" s="149" t="inlineStr">
        <is>
          <t>Ratio</t>
        </is>
      </c>
      <c r="G10" s="149" t="inlineStr">
        <is>
          <t>ESG_CARBONE</t>
        </is>
      </c>
      <c r="H10" s="149" t="inlineStr">
        <is>
          <t>H(s4+tot)</t>
        </is>
      </c>
      <c r="I10" s="149" t="inlineStr">
        <is>
          <t>DASHBOARD_FIN</t>
        </is>
      </c>
      <c r="J10" s="149" t="inlineStr">
        <is>
          <t>D42</t>
        </is>
      </c>
      <c r="K10" s="179">
        <f>ESG_CARBONE!H71</f>
        <v/>
      </c>
      <c r="L10" s="149" t="inlineStr">
        <is>
          <t>MPM IFRS 18 §112 – rapproch. obligat.</t>
        </is>
      </c>
      <c r="M10" s="177" t="n"/>
    </row>
    <row r="11">
      <c r="A11" s="149" t="inlineStr">
        <is>
          <t>ESG-E-008</t>
        </is>
      </c>
      <c r="B11" s="149" t="inlineStr">
        <is>
          <t>E – Environnement</t>
        </is>
      </c>
      <c r="C11" s="149" t="inlineStr">
        <is>
          <t>ESRS E2</t>
        </is>
      </c>
      <c r="D11" s="149" t="inlineStr">
        <is>
          <t>§26</t>
        </is>
      </c>
      <c r="E11" s="149" t="inlineStr">
        <is>
          <t>Part énergie renouvelable groupe (%)</t>
        </is>
      </c>
      <c r="F11" s="149" t="inlineStr">
        <is>
          <t>Pourcentage</t>
        </is>
      </c>
      <c r="G11" s="149" t="inlineStr">
        <is>
          <t>ESG_DATA</t>
        </is>
      </c>
      <c r="H11" s="149" t="inlineStr">
        <is>
          <t>J11</t>
        </is>
      </c>
      <c r="I11" s="149" t="inlineStr">
        <is>
          <t>DASHBOARD_ESG</t>
        </is>
      </c>
      <c r="J11" s="149" t="inlineStr">
        <is>
          <t>C18</t>
        </is>
      </c>
      <c r="K11" s="180">
        <f>ESG_DATA!J11</f>
        <v/>
      </c>
      <c r="L11" s="149" t="inlineStr">
        <is>
          <t>Non lié IFRS 18 direct</t>
        </is>
      </c>
      <c r="M11" s="177" t="n"/>
    </row>
    <row r="12">
      <c r="A12" s="149" t="inlineStr">
        <is>
          <t>ESG-E-009</t>
        </is>
      </c>
      <c r="B12" s="149" t="inlineStr">
        <is>
          <t>E – Environnement</t>
        </is>
      </c>
      <c r="C12" s="149" t="inlineStr">
        <is>
          <t>ESRS E2</t>
        </is>
      </c>
      <c r="D12" s="149" t="inlineStr">
        <is>
          <t>§28</t>
        </is>
      </c>
      <c r="E12" s="149" t="inlineStr">
        <is>
          <t>Déchets valorisés groupe (%)</t>
        </is>
      </c>
      <c r="F12" s="149" t="inlineStr">
        <is>
          <t>Pourcentage</t>
        </is>
      </c>
      <c r="G12" s="149" t="inlineStr">
        <is>
          <t>ESG_DATA</t>
        </is>
      </c>
      <c r="H12" s="149" t="inlineStr">
        <is>
          <t>J14</t>
        </is>
      </c>
      <c r="I12" s="149" t="inlineStr">
        <is>
          <t>DASHBOARD_ESG</t>
        </is>
      </c>
      <c r="J12" s="149" t="inlineStr">
        <is>
          <t>C19</t>
        </is>
      </c>
      <c r="K12" s="180">
        <f>ESG_DATA!J14</f>
        <v/>
      </c>
      <c r="L12" s="149" t="inlineStr">
        <is>
          <t>Non lié IFRS 18 direct</t>
        </is>
      </c>
      <c r="M12" s="177" t="n"/>
    </row>
    <row r="13">
      <c r="A13" s="149" t="inlineStr">
        <is>
          <t>ESG-E-010</t>
        </is>
      </c>
      <c r="B13" s="149" t="inlineStr">
        <is>
          <t>E – Environnement</t>
        </is>
      </c>
      <c r="C13" s="149" t="inlineStr">
        <is>
          <t>ESRS E1</t>
        </is>
      </c>
      <c r="D13" s="149" t="inlineStr">
        <is>
          <t>§68</t>
        </is>
      </c>
      <c r="E13" s="149" t="inlineStr">
        <is>
          <t>Objectif réduction Scope 1+2 2030</t>
        </is>
      </c>
      <c r="F13" s="149" t="inlineStr">
        <is>
          <t>Objectif</t>
        </is>
      </c>
      <c r="G13" s="149" t="inlineStr">
        <is>
          <t>ESG_CARBONE</t>
        </is>
      </c>
      <c r="H13" s="149" t="inlineStr">
        <is>
          <t>E(s3+2)</t>
        </is>
      </c>
      <c r="I13" s="149" t="inlineStr">
        <is>
          <t>ESG_DASHBOARD_LINK</t>
        </is>
      </c>
      <c r="J13" s="149" t="inlineStr">
        <is>
          <t>C8</t>
        </is>
      </c>
      <c r="K13" s="179" t="inlineStr">
        <is>
          <t>Objectif tableau §3</t>
        </is>
      </c>
      <c r="L13" s="149" t="inlineStr">
        <is>
          <t>Ambition climatique</t>
        </is>
      </c>
      <c r="M13" s="177" t="n"/>
    </row>
    <row r="14">
      <c r="A14" s="96" t="inlineStr">
        <is>
          <t>ESG-S-001</t>
        </is>
      </c>
      <c r="B14" s="96" t="inlineStr">
        <is>
          <t>S – Social</t>
        </is>
      </c>
      <c r="C14" s="96" t="inlineStr">
        <is>
          <t>ESRS S1</t>
        </is>
      </c>
      <c r="D14" s="96" t="inlineStr">
        <is>
          <t>§50</t>
        </is>
      </c>
      <c r="E14" s="96" t="inlineStr">
        <is>
          <t>Effectifs totaux groupe (ETP)</t>
        </is>
      </c>
      <c r="F14" s="96" t="inlineStr">
        <is>
          <t>Quantitatif</t>
        </is>
      </c>
      <c r="G14" s="96" t="inlineStr">
        <is>
          <t>ESG_DIVERSITE</t>
        </is>
      </c>
      <c r="H14" s="96" t="inlineStr">
        <is>
          <t>B10</t>
        </is>
      </c>
      <c r="I14" s="96" t="inlineStr">
        <is>
          <t>DASHBOARD_ESG</t>
        </is>
      </c>
      <c r="J14" s="96" t="inlineStr">
        <is>
          <t>C23</t>
        </is>
      </c>
      <c r="K14" s="181">
        <f>ESG_DIVERSITE!B10</f>
        <v/>
      </c>
      <c r="L14" s="96" t="inlineStr">
        <is>
          <t>Lié Charges Personnel ① Exploit.</t>
        </is>
      </c>
      <c r="M14" s="177" t="n"/>
    </row>
    <row r="15">
      <c r="A15" s="96" t="inlineStr">
        <is>
          <t>ESG-S-002</t>
        </is>
      </c>
      <c r="B15" s="96" t="inlineStr">
        <is>
          <t>S – Social</t>
        </is>
      </c>
      <c r="C15" s="96" t="inlineStr">
        <is>
          <t>ESRS S1</t>
        </is>
      </c>
      <c r="D15" s="96" t="inlineStr">
        <is>
          <t>§65</t>
        </is>
      </c>
      <c r="E15" s="96" t="inlineStr">
        <is>
          <t>% Femmes effectif total</t>
        </is>
      </c>
      <c r="F15" s="96" t="inlineStr">
        <is>
          <t>Pourcentage</t>
        </is>
      </c>
      <c r="G15" s="96" t="inlineStr">
        <is>
          <t>ESG_DIVERSITE</t>
        </is>
      </c>
      <c r="H15" s="96" t="inlineStr">
        <is>
          <t>F10</t>
        </is>
      </c>
      <c r="I15" s="96" t="inlineStr">
        <is>
          <t>DASHBOARD_ESG</t>
        </is>
      </c>
      <c r="J15" s="96" t="inlineStr">
        <is>
          <t>C24</t>
        </is>
      </c>
      <c r="K15" s="181">
        <f>ESG_DIVERSITE!F10</f>
        <v/>
      </c>
      <c r="L15" s="96" t="inlineStr">
        <is>
          <t>KPI Diversité</t>
        </is>
      </c>
      <c r="M15" s="177" t="n"/>
    </row>
    <row r="16">
      <c r="A16" s="96" t="inlineStr">
        <is>
          <t>ESG-S-003</t>
        </is>
      </c>
      <c r="B16" s="96" t="inlineStr">
        <is>
          <t>S – Social</t>
        </is>
      </c>
      <c r="C16" s="96" t="inlineStr">
        <is>
          <t>ESRS S1</t>
        </is>
      </c>
      <c r="D16" s="96" t="inlineStr">
        <is>
          <t>§65</t>
        </is>
      </c>
      <c r="E16" s="96" t="inlineStr">
        <is>
          <t>% Femmes dirigeantes</t>
        </is>
      </c>
      <c r="F16" s="96" t="inlineStr">
        <is>
          <t>Pourcentage</t>
        </is>
      </c>
      <c r="G16" s="96" t="inlineStr">
        <is>
          <t>ESG_DIVERSITE</t>
        </is>
      </c>
      <c r="H16" s="96" t="inlineStr">
        <is>
          <t>I10</t>
        </is>
      </c>
      <c r="I16" s="96" t="inlineStr">
        <is>
          <t>DASHBOARD_ESG</t>
        </is>
      </c>
      <c r="J16" s="96" t="inlineStr">
        <is>
          <t>C25</t>
        </is>
      </c>
      <c r="K16" s="181">
        <f>ESG_DIVERSITE!I10</f>
        <v/>
      </c>
      <c r="L16" s="96" t="inlineStr">
        <is>
          <t>KPI Diversité Direction</t>
        </is>
      </c>
      <c r="M16" s="177" t="n"/>
    </row>
    <row r="17">
      <c r="A17" s="96" t="inlineStr">
        <is>
          <t>ESG-S-004</t>
        </is>
      </c>
      <c r="B17" s="96" t="inlineStr">
        <is>
          <t>S – Social</t>
        </is>
      </c>
      <c r="C17" s="96" t="inlineStr">
        <is>
          <t>ESRS S1</t>
        </is>
      </c>
      <c r="D17" s="96" t="inlineStr">
        <is>
          <t>§88</t>
        </is>
      </c>
      <c r="E17" s="96" t="inlineStr">
        <is>
          <t>TRIR consolidé groupe</t>
        </is>
      </c>
      <c r="F17" s="96" t="inlineStr">
        <is>
          <t>Ratio</t>
        </is>
      </c>
      <c r="G17" s="96" t="inlineStr">
        <is>
          <t>ESG_DATA</t>
        </is>
      </c>
      <c r="H17" s="96" t="inlineStr">
        <is>
          <t>J23</t>
        </is>
      </c>
      <c r="I17" s="96" t="inlineStr">
        <is>
          <t>DASHBOARD_ESG</t>
        </is>
      </c>
      <c r="J17" s="96" t="inlineStr">
        <is>
          <t>C26</t>
        </is>
      </c>
      <c r="K17" s="181">
        <f>ESG_DATA!J23</f>
        <v/>
      </c>
      <c r="L17" s="96" t="inlineStr">
        <is>
          <t>KPI Santé &amp; Sécurité</t>
        </is>
      </c>
      <c r="M17" s="177" t="n"/>
    </row>
    <row r="18">
      <c r="A18" s="96" t="inlineStr">
        <is>
          <t>ESG-S-005</t>
        </is>
      </c>
      <c r="B18" s="96" t="inlineStr">
        <is>
          <t>S – Social</t>
        </is>
      </c>
      <c r="C18" s="96" t="inlineStr">
        <is>
          <t>ESRS S1</t>
        </is>
      </c>
      <c r="D18" s="96" t="inlineStr">
        <is>
          <t>§91</t>
        </is>
      </c>
      <c r="E18" s="96" t="inlineStr">
        <is>
          <t>Heures formation / ETP / an</t>
        </is>
      </c>
      <c r="F18" s="96" t="inlineStr">
        <is>
          <t>Ratio</t>
        </is>
      </c>
      <c r="G18" s="96" t="inlineStr">
        <is>
          <t>ESG_DATA</t>
        </is>
      </c>
      <c r="H18" s="96" t="inlineStr">
        <is>
          <t>J24</t>
        </is>
      </c>
      <c r="I18" s="96" t="inlineStr">
        <is>
          <t>DASHBOARD_ESG</t>
        </is>
      </c>
      <c r="J18" s="96" t="inlineStr">
        <is>
          <t>C27</t>
        </is>
      </c>
      <c r="K18" s="181">
        <f>ESG_DATA!J24</f>
        <v/>
      </c>
      <c r="L18" s="96" t="inlineStr">
        <is>
          <t>Lié charges formation ① Exploit.</t>
        </is>
      </c>
      <c r="M18" s="177" t="n"/>
    </row>
    <row r="19">
      <c r="A19" s="96" t="inlineStr">
        <is>
          <t>ESG-S-006</t>
        </is>
      </c>
      <c r="B19" s="96" t="inlineStr">
        <is>
          <t>S – Social</t>
        </is>
      </c>
      <c r="C19" s="96" t="inlineStr">
        <is>
          <t>ESRS S1</t>
        </is>
      </c>
      <c r="D19" s="96" t="inlineStr">
        <is>
          <t>§97</t>
        </is>
      </c>
      <c r="E19" s="96" t="inlineStr">
        <is>
          <t>Écart salarial H/F groupe (%)</t>
        </is>
      </c>
      <c r="F19" s="96" t="inlineStr">
        <is>
          <t>Pourcentage</t>
        </is>
      </c>
      <c r="G19" s="96" t="inlineStr">
        <is>
          <t>ESG_DIVERSITE</t>
        </is>
      </c>
      <c r="H19" s="96" t="inlineStr">
        <is>
          <t>E17</t>
        </is>
      </c>
      <c r="I19" s="96" t="inlineStr">
        <is>
          <t>DASHBOARD_ESG</t>
        </is>
      </c>
      <c r="J19" s="96" t="inlineStr">
        <is>
          <t>C28</t>
        </is>
      </c>
      <c r="K19" s="181">
        <f>ESG_DIVERSITE!E17</f>
        <v/>
      </c>
      <c r="L19" s="96" t="inlineStr">
        <is>
          <t>Lié Charges Personnel ① Exploit.</t>
        </is>
      </c>
      <c r="M19" s="177" t="n"/>
    </row>
    <row r="20">
      <c r="A20" s="96" t="inlineStr">
        <is>
          <t>ESG-S-007</t>
        </is>
      </c>
      <c r="B20" s="96" t="inlineStr">
        <is>
          <t>S – Social</t>
        </is>
      </c>
      <c r="C20" s="96" t="inlineStr">
        <is>
          <t>ESRS S1</t>
        </is>
      </c>
      <c r="D20" s="96" t="inlineStr">
        <is>
          <t>§98</t>
        </is>
      </c>
      <c r="E20" s="96" t="inlineStr">
        <is>
          <t>Pay ratio Dirigeants / Médian</t>
        </is>
      </c>
      <c r="F20" s="96" t="inlineStr">
        <is>
          <t>Multiple</t>
        </is>
      </c>
      <c r="G20" s="96" t="inlineStr">
        <is>
          <t>ESG_DIVERSITE</t>
        </is>
      </c>
      <c r="H20" s="96" t="inlineStr">
        <is>
          <t>J17</t>
        </is>
      </c>
      <c r="I20" s="96" t="inlineStr">
        <is>
          <t>DASHBOARD_ESG</t>
        </is>
      </c>
      <c r="J20" s="96" t="inlineStr">
        <is>
          <t>C29</t>
        </is>
      </c>
      <c r="K20" s="181">
        <f>ESG_DIVERSITE!J17</f>
        <v/>
      </c>
      <c r="L20" s="96" t="inlineStr">
        <is>
          <t>Gouvernance rémunération</t>
        </is>
      </c>
      <c r="M20" s="177" t="n"/>
    </row>
    <row r="21">
      <c r="A21" s="96" t="inlineStr">
        <is>
          <t>ESG-S-008</t>
        </is>
      </c>
      <c r="B21" s="96" t="inlineStr">
        <is>
          <t>S – Social</t>
        </is>
      </c>
      <c r="C21" s="96" t="inlineStr">
        <is>
          <t>ESRS S1</t>
        </is>
      </c>
      <c r="D21" s="96" t="inlineStr">
        <is>
          <t>§50</t>
        </is>
      </c>
      <c r="E21" s="96" t="inlineStr">
        <is>
          <t>Coûts personnel consolidés (k€)</t>
        </is>
      </c>
      <c r="F21" s="96" t="inlineStr">
        <is>
          <t>Monétaire</t>
        </is>
      </c>
      <c r="G21" s="96" t="inlineStr">
        <is>
          <t>CONSOL_CR</t>
        </is>
      </c>
      <c r="H21" s="96" t="inlineStr">
        <is>
          <t>K11</t>
        </is>
      </c>
      <c r="I21" s="96" t="inlineStr">
        <is>
          <t>DASHBOARD_FIN</t>
        </is>
      </c>
      <c r="J21" s="96" t="inlineStr">
        <is>
          <t>E35</t>
        </is>
      </c>
      <c r="K21" s="181">
        <f>CONSOL_CR!K11</f>
        <v/>
      </c>
      <c r="L21" s="96" t="inlineStr">
        <is>
          <t>① Exploitation – Charges personnel</t>
        </is>
      </c>
      <c r="M21" s="177" t="n"/>
    </row>
    <row r="22">
      <c r="A22" s="96" t="inlineStr">
        <is>
          <t>ESG-S-009</t>
        </is>
      </c>
      <c r="B22" s="96" t="inlineStr">
        <is>
          <t>S – Social</t>
        </is>
      </c>
      <c r="C22" s="96" t="inlineStr">
        <is>
          <t>ESRS S1</t>
        </is>
      </c>
      <c r="D22" s="96" t="inlineStr">
        <is>
          <t>§91</t>
        </is>
      </c>
      <c r="E22" s="96" t="inlineStr">
        <is>
          <t>Budget formation groupe (k€)</t>
        </is>
      </c>
      <c r="F22" s="96" t="inlineStr">
        <is>
          <t>Monétaire</t>
        </is>
      </c>
      <c r="G22" s="96" t="inlineStr">
        <is>
          <t>ESG_DIVERSITE</t>
        </is>
      </c>
      <c r="H22" s="96" t="inlineStr">
        <is>
          <t>I35</t>
        </is>
      </c>
      <c r="I22" s="96" t="inlineStr">
        <is>
          <t>DASHBOARD_ESG</t>
        </is>
      </c>
      <c r="J22" s="96" t="inlineStr">
        <is>
          <t>C30</t>
        </is>
      </c>
      <c r="K22" s="181">
        <f>ESG_DIVERSITE!I35</f>
        <v/>
      </c>
      <c r="L22" s="96" t="inlineStr">
        <is>
          <t>① Exploitation – Investissement RH</t>
        </is>
      </c>
      <c r="M22" s="177" t="n"/>
    </row>
    <row r="23">
      <c r="A23" s="81" t="inlineStr">
        <is>
          <t>ESG-G-001</t>
        </is>
      </c>
      <c r="B23" s="81" t="inlineStr">
        <is>
          <t>G – Gouvernance</t>
        </is>
      </c>
      <c r="C23" s="81" t="inlineStr">
        <is>
          <t>ESRS G1</t>
        </is>
      </c>
      <c r="D23" s="81" t="inlineStr">
        <is>
          <t>§29</t>
        </is>
      </c>
      <c r="E23" s="81" t="inlineStr">
        <is>
          <t>% Femmes au CA</t>
        </is>
      </c>
      <c r="F23" s="81" t="inlineStr">
        <is>
          <t>Pourcentage</t>
        </is>
      </c>
      <c r="G23" s="81" t="inlineStr">
        <is>
          <t>ESG_DIVERSITE</t>
        </is>
      </c>
      <c r="H23" s="81" t="inlineStr">
        <is>
          <t>B40</t>
        </is>
      </c>
      <c r="I23" s="81" t="inlineStr">
        <is>
          <t>DASHBOARD_ESG</t>
        </is>
      </c>
      <c r="J23" s="81" t="inlineStr">
        <is>
          <t>C33</t>
        </is>
      </c>
      <c r="K23" s="182">
        <f>ESG_DIVERSITE!B40</f>
        <v/>
      </c>
      <c r="L23" s="81" t="inlineStr">
        <is>
          <t>KPI Gouvernance</t>
        </is>
      </c>
      <c r="M23" s="177" t="n"/>
    </row>
    <row r="24">
      <c r="A24" s="81" t="inlineStr">
        <is>
          <t>ESG-G-002</t>
        </is>
      </c>
      <c r="B24" s="81" t="inlineStr">
        <is>
          <t>G – Gouvernance</t>
        </is>
      </c>
      <c r="C24" s="81" t="inlineStr">
        <is>
          <t>ESRS G1</t>
        </is>
      </c>
      <c r="D24" s="81" t="inlineStr">
        <is>
          <t>§29</t>
        </is>
      </c>
      <c r="E24" s="81" t="inlineStr">
        <is>
          <t>% Indépendants au CA</t>
        </is>
      </c>
      <c r="F24" s="81" t="inlineStr">
        <is>
          <t>Pourcentage</t>
        </is>
      </c>
      <c r="G24" s="81" t="inlineStr">
        <is>
          <t>ESG_DIVERSITE</t>
        </is>
      </c>
      <c r="H24" s="81" t="inlineStr">
        <is>
          <t>B41</t>
        </is>
      </c>
      <c r="I24" s="81" t="inlineStr">
        <is>
          <t>DASHBOARD_ESG</t>
        </is>
      </c>
      <c r="J24" s="81" t="inlineStr">
        <is>
          <t>C34</t>
        </is>
      </c>
      <c r="K24" s="182">
        <f>ESG_DIVERSITE!B41</f>
        <v/>
      </c>
      <c r="L24" s="81" t="inlineStr">
        <is>
          <t>KPI Gouvernance</t>
        </is>
      </c>
      <c r="M24" s="177" t="n"/>
    </row>
    <row r="25">
      <c r="A25" s="81" t="inlineStr">
        <is>
          <t>ESG-G-003</t>
        </is>
      </c>
      <c r="B25" s="81" t="inlineStr">
        <is>
          <t>G – Gouvernance</t>
        </is>
      </c>
      <c r="C25" s="81" t="inlineStr">
        <is>
          <t>ESRS G1</t>
        </is>
      </c>
      <c r="D25" s="81" t="inlineStr">
        <is>
          <t>§35</t>
        </is>
      </c>
      <c r="E25" s="81" t="inlineStr">
        <is>
          <t>Incidents anti-corruption (nb)</t>
        </is>
      </c>
      <c r="F25" s="81" t="inlineStr">
        <is>
          <t>Entier</t>
        </is>
      </c>
      <c r="G25" s="81" t="inlineStr">
        <is>
          <t>ESG_DIVERSITE</t>
        </is>
      </c>
      <c r="H25" s="81" t="inlineStr">
        <is>
          <t>B44</t>
        </is>
      </c>
      <c r="I25" s="81" t="inlineStr">
        <is>
          <t>DASHBOARD_ESG</t>
        </is>
      </c>
      <c r="J25" s="81" t="inlineStr">
        <is>
          <t>C35</t>
        </is>
      </c>
      <c r="K25" s="182">
        <f>ESG_DIVERSITE!B44</f>
        <v/>
      </c>
      <c r="L25" s="81" t="inlineStr">
        <is>
          <t>Risque Gouvernance</t>
        </is>
      </c>
      <c r="M25" s="177" t="n"/>
    </row>
    <row r="26">
      <c r="A26" s="81" t="inlineStr">
        <is>
          <t>ESG-G-004</t>
        </is>
      </c>
      <c r="B26" s="81" t="inlineStr">
        <is>
          <t>G – Gouvernance</t>
        </is>
      </c>
      <c r="C26" s="81" t="inlineStr">
        <is>
          <t>ESRS G1</t>
        </is>
      </c>
      <c r="D26" s="81" t="inlineStr">
        <is>
          <t>§35</t>
        </is>
      </c>
      <c r="E26" s="81" t="inlineStr">
        <is>
          <t>Fournisseurs évalués ESG (%)</t>
        </is>
      </c>
      <c r="F26" s="81" t="inlineStr">
        <is>
          <t>Pourcentage</t>
        </is>
      </c>
      <c r="G26" s="81" t="inlineStr">
        <is>
          <t>ESG_DIVERSITE</t>
        </is>
      </c>
      <c r="H26" s="81" t="inlineStr">
        <is>
          <t>B47</t>
        </is>
      </c>
      <c r="I26" s="81" t="inlineStr">
        <is>
          <t>DASHBOARD_ESG</t>
        </is>
      </c>
      <c r="J26" s="81" t="inlineStr">
        <is>
          <t>C36</t>
        </is>
      </c>
      <c r="K26" s="182">
        <f>ESG_DIVERSITE!B47</f>
        <v/>
      </c>
      <c r="L26" s="81" t="inlineStr">
        <is>
          <t>Chaîne de valeur – Scope 3 cat.1</t>
        </is>
      </c>
      <c r="M26" s="177" t="n"/>
    </row>
    <row r="27">
      <c r="A27" s="81" t="inlineStr">
        <is>
          <t>ESG-G-005</t>
        </is>
      </c>
      <c r="B27" s="81" t="inlineStr">
        <is>
          <t>G – Gouvernance</t>
        </is>
      </c>
      <c r="C27" s="81" t="inlineStr">
        <is>
          <t>ESRS G1</t>
        </is>
      </c>
      <c r="D27" s="81" t="inlineStr">
        <is>
          <t>§43</t>
        </is>
      </c>
      <c r="E27" s="81" t="inlineStr">
        <is>
          <t>Taux effectif d'imposition (ETR)</t>
        </is>
      </c>
      <c r="F27" s="81" t="inlineStr">
        <is>
          <t>Pourcentage</t>
        </is>
      </c>
      <c r="G27" s="81" t="inlineStr">
        <is>
          <t>CONSOL_CR</t>
        </is>
      </c>
      <c r="H27" s="81" t="inlineStr">
        <is>
          <t>C41</t>
        </is>
      </c>
      <c r="I27" s="81" t="inlineStr">
        <is>
          <t>DASHBOARD_FIN</t>
        </is>
      </c>
      <c r="J27" s="81" t="inlineStr">
        <is>
          <t>C43</t>
        </is>
      </c>
      <c r="K27" s="182">
        <f>CONSOL_CR!C41</f>
        <v/>
      </c>
      <c r="L27" s="81" t="inlineStr">
        <is>
          <t>④ Impôts IFRS 18 / IAS 12</t>
        </is>
      </c>
      <c r="M27" s="177" t="n"/>
    </row>
    <row r="28">
      <c r="A28" s="106" t="inlineStr">
        <is>
          <t>ESG-F-001</t>
        </is>
      </c>
      <c r="B28" s="106" t="inlineStr">
        <is>
          <t>F – Croisé ESG×Fin.</t>
        </is>
      </c>
      <c r="C28" s="106" t="inlineStr">
        <is>
          <t>—</t>
        </is>
      </c>
      <c r="D28" s="106" t="inlineStr">
        <is>
          <t>—</t>
        </is>
      </c>
      <c r="E28" s="106" t="inlineStr">
        <is>
          <t>CA groupe – dénominateur intensité carbone</t>
        </is>
      </c>
      <c r="F28" s="106" t="inlineStr">
        <is>
          <t>Monétaire</t>
        </is>
      </c>
      <c r="G28" s="106" t="inlineStr">
        <is>
          <t>CONSOL_CR</t>
        </is>
      </c>
      <c r="H28" s="106" t="inlineStr">
        <is>
          <t>K7</t>
        </is>
      </c>
      <c r="I28" s="106" t="inlineStr">
        <is>
          <t>ESG_CARBONE</t>
        </is>
      </c>
      <c r="J28" s="106" t="inlineStr">
        <is>
          <t>—</t>
        </is>
      </c>
      <c r="K28" s="183">
        <f>CONSOL_CR!K7</f>
        <v/>
      </c>
      <c r="L28" s="106" t="inlineStr">
        <is>
          <t>① Exploitation – dénominateur ratio</t>
        </is>
      </c>
      <c r="M28" s="177" t="n"/>
    </row>
    <row r="29">
      <c r="A29" s="106" t="inlineStr">
        <is>
          <t>ESG-F-002</t>
        </is>
      </c>
      <c r="B29" s="106" t="inlineStr">
        <is>
          <t>F – Croisé ESG×Fin.</t>
        </is>
      </c>
      <c r="C29" s="106" t="inlineStr">
        <is>
          <t>—</t>
        </is>
      </c>
      <c r="D29" s="106" t="inlineStr">
        <is>
          <t>—</t>
        </is>
      </c>
      <c r="E29" s="106" t="inlineStr">
        <is>
          <t>EBIT groupe – base calcul exposition carbone</t>
        </is>
      </c>
      <c r="F29" s="106" t="inlineStr">
        <is>
          <t>Monétaire</t>
        </is>
      </c>
      <c r="G29" s="106" t="inlineStr">
        <is>
          <t>CONSOL_CR</t>
        </is>
      </c>
      <c r="H29" s="106" t="inlineStr">
        <is>
          <t>K14</t>
        </is>
      </c>
      <c r="I29" s="106" t="inlineStr">
        <is>
          <t>ESG_CARBONE</t>
        </is>
      </c>
      <c r="J29" s="106" t="inlineStr">
        <is>
          <t>—</t>
        </is>
      </c>
      <c r="K29" s="183">
        <f>CONSOL_CR!K14</f>
        <v/>
      </c>
      <c r="L29" s="106" t="inlineStr">
        <is>
          <t>① Exploitation – exposition risque</t>
        </is>
      </c>
      <c r="M29" s="177" t="n"/>
    </row>
    <row r="30">
      <c r="A30" s="106" t="inlineStr">
        <is>
          <t>ESG-F-003</t>
        </is>
      </c>
      <c r="B30" s="106" t="inlineStr">
        <is>
          <t>F – Croisé ESG×Fin.</t>
        </is>
      </c>
      <c r="C30" s="106" t="inlineStr">
        <is>
          <t>IFRS 18</t>
        </is>
      </c>
      <c r="D30" s="106" t="inlineStr">
        <is>
          <t>§112</t>
        </is>
      </c>
      <c r="E30" s="106" t="inlineStr">
        <is>
          <t>EBITDA (MPM) + lien efficacité carbon.</t>
        </is>
      </c>
      <c r="F30" s="106" t="inlineStr">
        <is>
          <t>Monétaire</t>
        </is>
      </c>
      <c r="G30" s="106" t="inlineStr">
        <is>
          <t>CONSOL_CR</t>
        </is>
      </c>
      <c r="H30" s="106" t="inlineStr">
        <is>
          <t>K14</t>
        </is>
      </c>
      <c r="I30" s="106" t="inlineStr">
        <is>
          <t>ESG_DASHBOARD_LINK</t>
        </is>
      </c>
      <c r="J30" s="106" t="inlineStr">
        <is>
          <t>—</t>
        </is>
      </c>
      <c r="K30" s="183">
        <f>CONSOL_CR!K14-CONSOL_CR!K12</f>
        <v/>
      </c>
      <c r="L30" s="106" t="inlineStr">
        <is>
          <t>MPM – rapprochement § 112 obligat.</t>
        </is>
      </c>
      <c r="M30" s="177" t="n"/>
    </row>
    <row r="31">
      <c r="A31" s="106" t="inlineStr">
        <is>
          <t>ESG-F-004</t>
        </is>
      </c>
      <c r="B31" s="106" t="inlineStr">
        <is>
          <t>F – Croisé ESG×Fin.</t>
        </is>
      </c>
      <c r="C31" s="106" t="inlineStr">
        <is>
          <t>IAS 37</t>
        </is>
      </c>
      <c r="D31" s="106" t="inlineStr">
        <is>
          <t>—</t>
        </is>
      </c>
      <c r="E31" s="106" t="inlineStr">
        <is>
          <t>Provision risques climatiques (k€)</t>
        </is>
      </c>
      <c r="F31" s="106" t="inlineStr">
        <is>
          <t>Monétaire</t>
        </is>
      </c>
      <c r="G31" s="106" t="inlineStr">
        <is>
          <t>CONSOL_BILAN</t>
        </is>
      </c>
      <c r="H31" s="106" t="inlineStr">
        <is>
          <t>J32</t>
        </is>
      </c>
      <c r="I31" s="106" t="inlineStr">
        <is>
          <t>ESG_DASHBOARD_LINK</t>
        </is>
      </c>
      <c r="J31" s="106" t="inlineStr">
        <is>
          <t>—</t>
        </is>
      </c>
      <c r="K31" s="183">
        <f>CONSOL_BILAN!J32</f>
        <v/>
      </c>
      <c r="L31" s="106" t="inlineStr">
        <is>
          <t>Passif non courant – IAS 37</t>
        </is>
      </c>
      <c r="M31" s="177" t="n"/>
    </row>
    <row r="32">
      <c r="A32" s="106" t="inlineStr">
        <is>
          <t>ESG-F-005</t>
        </is>
      </c>
      <c r="B32" s="106" t="inlineStr">
        <is>
          <t>F – Croisé ESG×Fin.</t>
        </is>
      </c>
      <c r="C32" s="106" t="inlineStr">
        <is>
          <t>—</t>
        </is>
      </c>
      <c r="D32" s="106" t="inlineStr">
        <is>
          <t>—</t>
        </is>
      </c>
      <c r="E32" s="106" t="inlineStr">
        <is>
          <t>% CAPEX vert / CAPEX total</t>
        </is>
      </c>
      <c r="F32" s="106" t="inlineStr">
        <is>
          <t>Ratio</t>
        </is>
      </c>
      <c r="G32" s="106" t="inlineStr">
        <is>
          <t>CONSOL_TRESORERIE</t>
        </is>
      </c>
      <c r="H32" s="106" t="inlineStr">
        <is>
          <t>C14</t>
        </is>
      </c>
      <c r="I32" s="106" t="inlineStr">
        <is>
          <t>ESG_DASHBOARD_LINK</t>
        </is>
      </c>
      <c r="J32" s="106" t="inlineStr">
        <is>
          <t>—</t>
        </is>
      </c>
      <c r="K32" s="183">
        <f>ABS(CONSOL_TRESORERIE!C14)</f>
        <v/>
      </c>
      <c r="L32" s="106" t="inlineStr">
        <is>
          <t>② Investissement – taxonomie UE</t>
        </is>
      </c>
      <c r="M32" s="177" t="n"/>
    </row>
    <row r="33">
      <c r="A33" s="177" t="n"/>
      <c r="B33" s="177" t="n"/>
      <c r="C33" s="177" t="n"/>
      <c r="D33" s="177" t="n"/>
      <c r="E33" s="177" t="n"/>
      <c r="F33" s="177" t="n"/>
      <c r="G33" s="177" t="n"/>
      <c r="H33" s="177" t="n"/>
      <c r="I33" s="177" t="n"/>
      <c r="J33" s="177" t="n"/>
      <c r="K33" s="177" t="n"/>
      <c r="L33" s="177" t="n"/>
      <c r="M33" s="177" t="n"/>
    </row>
    <row r="34">
      <c r="A34" s="177" t="n"/>
      <c r="B34" s="177" t="n"/>
      <c r="C34" s="177" t="n"/>
      <c r="D34" s="177" t="n"/>
      <c r="E34" s="177" t="n"/>
      <c r="F34" s="177" t="n"/>
      <c r="G34" s="177" t="n"/>
      <c r="H34" s="177" t="n"/>
      <c r="I34" s="177" t="n"/>
      <c r="J34" s="177" t="n"/>
      <c r="K34" s="177" t="n"/>
      <c r="L34" s="177" t="n"/>
      <c r="M34" s="177" t="n"/>
    </row>
    <row r="35">
      <c r="A35" s="177" t="n"/>
      <c r="B35" s="177" t="n"/>
      <c r="C35" s="177" t="n"/>
      <c r="D35" s="177" t="n"/>
      <c r="E35" s="177" t="n"/>
      <c r="F35" s="177" t="n"/>
      <c r="G35" s="177" t="n"/>
      <c r="H35" s="177" t="n"/>
      <c r="I35" s="177" t="n"/>
      <c r="J35" s="177" t="n"/>
      <c r="K35" s="177" t="n"/>
      <c r="L35" s="177" t="n"/>
      <c r="M35" s="177" t="n"/>
    </row>
    <row r="36">
      <c r="A36" s="177" t="n"/>
      <c r="B36" s="177" t="n"/>
      <c r="C36" s="177" t="n"/>
      <c r="D36" s="177" t="n"/>
      <c r="E36" s="177" t="n"/>
      <c r="F36" s="177" t="n"/>
      <c r="G36" s="177" t="n"/>
      <c r="H36" s="177" t="n"/>
      <c r="I36" s="177" t="n"/>
      <c r="J36" s="177" t="n"/>
      <c r="K36" s="177" t="n"/>
      <c r="L36" s="177" t="n"/>
      <c r="M36" s="177" t="n"/>
    </row>
    <row r="37">
      <c r="A37" s="177" t="n"/>
      <c r="B37" s="177" t="n"/>
      <c r="C37" s="177" t="n"/>
      <c r="D37" s="177" t="n"/>
      <c r="E37" s="177" t="n"/>
      <c r="F37" s="177" t="n"/>
      <c r="G37" s="177" t="n"/>
      <c r="H37" s="177" t="n"/>
      <c r="I37" s="177" t="n"/>
      <c r="J37" s="177" t="n"/>
      <c r="K37" s="177" t="n"/>
      <c r="L37" s="177" t="n"/>
      <c r="M37" s="177" t="n"/>
    </row>
    <row r="38">
      <c r="A38" s="177" t="n"/>
      <c r="B38" s="177" t="n"/>
      <c r="C38" s="177" t="n"/>
      <c r="D38" s="177" t="n"/>
      <c r="E38" s="177" t="n"/>
      <c r="F38" s="177" t="n"/>
      <c r="G38" s="177" t="n"/>
      <c r="H38" s="177" t="n"/>
      <c r="I38" s="177" t="n"/>
      <c r="J38" s="177" t="n"/>
      <c r="K38" s="177" t="n"/>
      <c r="L38" s="177" t="n"/>
      <c r="M38" s="177" t="n"/>
    </row>
    <row r="39">
      <c r="A39" s="177" t="n"/>
      <c r="B39" s="177" t="n"/>
      <c r="C39" s="177" t="n"/>
      <c r="D39" s="177" t="n"/>
      <c r="E39" s="177" t="n"/>
      <c r="F39" s="177" t="n"/>
      <c r="G39" s="177" t="n"/>
      <c r="H39" s="177" t="n"/>
      <c r="I39" s="177" t="n"/>
      <c r="J39" s="177" t="n"/>
      <c r="K39" s="177" t="n"/>
      <c r="L39" s="177" t="n"/>
      <c r="M39" s="177" t="n"/>
    </row>
    <row r="40">
      <c r="A40" s="177" t="n"/>
      <c r="B40" s="177" t="n"/>
      <c r="C40" s="177" t="n"/>
      <c r="D40" s="177" t="n"/>
      <c r="E40" s="177" t="n"/>
      <c r="F40" s="177" t="n"/>
      <c r="G40" s="177" t="n"/>
      <c r="H40" s="177" t="n"/>
      <c r="I40" s="177" t="n"/>
      <c r="J40" s="177" t="n"/>
      <c r="K40" s="177" t="n"/>
      <c r="L40" s="177" t="n"/>
      <c r="M40" s="177" t="n"/>
    </row>
    <row r="41">
      <c r="A41" s="177" t="n"/>
      <c r="B41" s="177" t="n"/>
      <c r="C41" s="177" t="n"/>
      <c r="D41" s="177" t="n"/>
      <c r="E41" s="177" t="n"/>
      <c r="F41" s="177" t="n"/>
      <c r="G41" s="177" t="n"/>
      <c r="H41" s="177" t="n"/>
      <c r="I41" s="177" t="n"/>
      <c r="J41" s="177" t="n"/>
      <c r="K41" s="177" t="n"/>
      <c r="L41" s="177" t="n"/>
      <c r="M41" s="177" t="n"/>
    </row>
    <row r="42">
      <c r="A42" s="177" t="n"/>
      <c r="B42" s="177" t="n"/>
      <c r="C42" s="177" t="n"/>
      <c r="D42" s="177" t="n"/>
      <c r="E42" s="177" t="n"/>
      <c r="F42" s="177" t="n"/>
      <c r="G42" s="177" t="n"/>
      <c r="H42" s="177" t="n"/>
      <c r="I42" s="177" t="n"/>
      <c r="J42" s="177" t="n"/>
      <c r="K42" s="177" t="n"/>
      <c r="L42" s="177" t="n"/>
      <c r="M42" s="177" t="n"/>
    </row>
    <row r="43">
      <c r="A43" s="177" t="n"/>
      <c r="B43" s="177" t="n"/>
      <c r="C43" s="177" t="n"/>
      <c r="D43" s="177" t="n"/>
      <c r="E43" s="177" t="n"/>
      <c r="F43" s="177" t="n"/>
      <c r="G43" s="177" t="n"/>
      <c r="H43" s="177" t="n"/>
      <c r="I43" s="177" t="n"/>
      <c r="J43" s="177" t="n"/>
      <c r="K43" s="177" t="n"/>
      <c r="L43" s="177" t="n"/>
      <c r="M43" s="177" t="n"/>
    </row>
    <row r="44">
      <c r="A44" s="177" t="n"/>
      <c r="B44" s="177" t="n"/>
      <c r="C44" s="177" t="n"/>
      <c r="D44" s="177" t="n"/>
      <c r="E44" s="177" t="n"/>
      <c r="F44" s="177" t="n"/>
      <c r="G44" s="177" t="n"/>
      <c r="H44" s="177" t="n"/>
      <c r="I44" s="177" t="n"/>
      <c r="J44" s="177" t="n"/>
      <c r="K44" s="177" t="n"/>
      <c r="L44" s="177" t="n"/>
      <c r="M44" s="177" t="n"/>
    </row>
    <row r="45">
      <c r="A45" s="177" t="n"/>
      <c r="B45" s="177" t="n"/>
      <c r="C45" s="177" t="n"/>
      <c r="D45" s="177" t="n"/>
      <c r="E45" s="177" t="n"/>
      <c r="F45" s="177" t="n"/>
      <c r="G45" s="177" t="n"/>
      <c r="H45" s="177" t="n"/>
      <c r="I45" s="177" t="n"/>
      <c r="J45" s="177" t="n"/>
      <c r="K45" s="177" t="n"/>
      <c r="L45" s="177" t="n"/>
      <c r="M45" s="177" t="n"/>
    </row>
    <row r="46">
      <c r="A46" s="177" t="n"/>
      <c r="B46" s="177" t="n"/>
      <c r="C46" s="177" t="n"/>
      <c r="D46" s="177" t="n"/>
      <c r="E46" s="177" t="n"/>
      <c r="F46" s="177" t="n"/>
      <c r="G46" s="177" t="n"/>
      <c r="H46" s="177" t="n"/>
      <c r="I46" s="177" t="n"/>
      <c r="J46" s="177" t="n"/>
      <c r="K46" s="177" t="n"/>
      <c r="L46" s="177" t="n"/>
      <c r="M46" s="177" t="n"/>
    </row>
    <row r="47">
      <c r="A47" s="177" t="n"/>
      <c r="B47" s="177" t="n"/>
      <c r="C47" s="177" t="n"/>
      <c r="D47" s="177" t="n"/>
      <c r="E47" s="177" t="n"/>
      <c r="F47" s="177" t="n"/>
      <c r="G47" s="177" t="n"/>
      <c r="H47" s="177" t="n"/>
      <c r="I47" s="177" t="n"/>
      <c r="J47" s="177" t="n"/>
      <c r="K47" s="177" t="n"/>
      <c r="L47" s="177" t="n"/>
      <c r="M47" s="177" t="n"/>
    </row>
    <row r="48">
      <c r="A48" s="177" t="n"/>
      <c r="B48" s="177" t="n"/>
      <c r="C48" s="177" t="n"/>
      <c r="D48" s="177" t="n"/>
      <c r="E48" s="177" t="n"/>
      <c r="F48" s="177" t="n"/>
      <c r="G48" s="177" t="n"/>
      <c r="H48" s="177" t="n"/>
      <c r="I48" s="177" t="n"/>
      <c r="J48" s="177" t="n"/>
      <c r="K48" s="177" t="n"/>
      <c r="L48" s="177" t="n"/>
      <c r="M48" s="177" t="n"/>
    </row>
    <row r="49">
      <c r="A49" s="177" t="n"/>
      <c r="B49" s="177" t="n"/>
      <c r="C49" s="177" t="n"/>
      <c r="D49" s="177" t="n"/>
      <c r="E49" s="177" t="n"/>
      <c r="F49" s="177" t="n"/>
      <c r="G49" s="177" t="n"/>
      <c r="H49" s="177" t="n"/>
      <c r="I49" s="177" t="n"/>
      <c r="J49" s="177" t="n"/>
      <c r="K49" s="177" t="n"/>
      <c r="L49" s="177" t="n"/>
      <c r="M49" s="177" t="n"/>
    </row>
    <row r="50">
      <c r="A50" s="177" t="n"/>
      <c r="B50" s="177" t="n"/>
      <c r="C50" s="177" t="n"/>
      <c r="D50" s="177" t="n"/>
      <c r="E50" s="177" t="n"/>
      <c r="F50" s="177" t="n"/>
      <c r="G50" s="177" t="n"/>
      <c r="H50" s="177" t="n"/>
      <c r="I50" s="177" t="n"/>
      <c r="J50" s="177" t="n"/>
      <c r="K50" s="177" t="n"/>
      <c r="L50" s="177" t="n"/>
      <c r="M50" s="177" t="n"/>
    </row>
    <row r="51">
      <c r="A51" s="177" t="n"/>
      <c r="B51" s="177" t="n"/>
      <c r="C51" s="177" t="n"/>
      <c r="D51" s="177" t="n"/>
      <c r="E51" s="177" t="n"/>
      <c r="F51" s="177" t="n"/>
      <c r="G51" s="177" t="n"/>
      <c r="H51" s="177" t="n"/>
      <c r="I51" s="177" t="n"/>
      <c r="J51" s="177" t="n"/>
      <c r="K51" s="177" t="n"/>
      <c r="L51" s="177" t="n"/>
      <c r="M51" s="177" t="n"/>
    </row>
    <row r="52">
      <c r="A52" s="177" t="n"/>
      <c r="B52" s="177" t="n"/>
      <c r="C52" s="177" t="n"/>
      <c r="D52" s="177" t="n"/>
      <c r="E52" s="177" t="n"/>
      <c r="F52" s="177" t="n"/>
      <c r="G52" s="177" t="n"/>
      <c r="H52" s="177" t="n"/>
      <c r="I52" s="177" t="n"/>
      <c r="J52" s="177" t="n"/>
      <c r="K52" s="177" t="n"/>
      <c r="L52" s="177" t="n"/>
      <c r="M52" s="177" t="n"/>
    </row>
    <row r="53">
      <c r="A53" s="177" t="n"/>
      <c r="B53" s="177" t="n"/>
      <c r="C53" s="177" t="n"/>
      <c r="D53" s="177" t="n"/>
      <c r="E53" s="177" t="n"/>
      <c r="F53" s="177" t="n"/>
      <c r="G53" s="177" t="n"/>
      <c r="H53" s="177" t="n"/>
      <c r="I53" s="177" t="n"/>
      <c r="J53" s="177" t="n"/>
      <c r="K53" s="177" t="n"/>
      <c r="L53" s="177" t="n"/>
      <c r="M53" s="177" t="n"/>
    </row>
    <row r="54">
      <c r="A54" s="177" t="n"/>
      <c r="B54" s="177" t="n"/>
      <c r="C54" s="177" t="n"/>
      <c r="D54" s="177" t="n"/>
      <c r="E54" s="177" t="n"/>
      <c r="F54" s="177" t="n"/>
      <c r="G54" s="177" t="n"/>
      <c r="H54" s="177" t="n"/>
      <c r="I54" s="177" t="n"/>
      <c r="J54" s="177" t="n"/>
      <c r="K54" s="177" t="n"/>
      <c r="L54" s="177" t="n"/>
      <c r="M54" s="177" t="n"/>
    </row>
    <row r="55">
      <c r="A55" s="177" t="n"/>
      <c r="B55" s="177" t="n"/>
      <c r="C55" s="177" t="n"/>
      <c r="D55" s="177" t="n"/>
      <c r="E55" s="177" t="n"/>
      <c r="F55" s="177" t="n"/>
      <c r="G55" s="177" t="n"/>
      <c r="H55" s="177" t="n"/>
      <c r="I55" s="177" t="n"/>
      <c r="J55" s="177" t="n"/>
      <c r="K55" s="177" t="n"/>
      <c r="L55" s="177" t="n"/>
      <c r="M55" s="177" t="n"/>
    </row>
    <row r="56">
      <c r="A56" s="177" t="n"/>
      <c r="B56" s="177" t="n"/>
      <c r="C56" s="177" t="n"/>
      <c r="D56" s="177" t="n"/>
      <c r="E56" s="177" t="n"/>
      <c r="F56" s="177" t="n"/>
      <c r="G56" s="177" t="n"/>
      <c r="H56" s="177" t="n"/>
      <c r="I56" s="177" t="n"/>
      <c r="J56" s="177" t="n"/>
      <c r="K56" s="177" t="n"/>
      <c r="L56" s="177" t="n"/>
      <c r="M56" s="177" t="n"/>
    </row>
    <row r="57">
      <c r="A57" s="177" t="n"/>
      <c r="B57" s="177" t="n"/>
      <c r="C57" s="177" t="n"/>
      <c r="D57" s="177" t="n"/>
      <c r="E57" s="177" t="n"/>
      <c r="F57" s="177" t="n"/>
      <c r="G57" s="177" t="n"/>
      <c r="H57" s="177" t="n"/>
      <c r="I57" s="177" t="n"/>
      <c r="J57" s="177" t="n"/>
      <c r="K57" s="177" t="n"/>
      <c r="L57" s="177" t="n"/>
      <c r="M57" s="177" t="n"/>
    </row>
    <row r="58">
      <c r="A58" s="177" t="n"/>
      <c r="B58" s="177" t="n"/>
      <c r="C58" s="177" t="n"/>
      <c r="D58" s="177" t="n"/>
      <c r="E58" s="177" t="n"/>
      <c r="F58" s="177" t="n"/>
      <c r="G58" s="177" t="n"/>
      <c r="H58" s="177" t="n"/>
      <c r="I58" s="177" t="n"/>
      <c r="J58" s="177" t="n"/>
      <c r="K58" s="177" t="n"/>
      <c r="L58" s="177" t="n"/>
      <c r="M58" s="177" t="n"/>
    </row>
    <row r="59">
      <c r="A59" s="177" t="n"/>
      <c r="B59" s="177" t="n"/>
      <c r="C59" s="177" t="n"/>
      <c r="D59" s="177" t="n"/>
      <c r="E59" s="177" t="n"/>
      <c r="F59" s="177" t="n"/>
      <c r="G59" s="177" t="n"/>
      <c r="H59" s="177" t="n"/>
      <c r="I59" s="177" t="n"/>
      <c r="J59" s="177" t="n"/>
      <c r="K59" s="177" t="n"/>
      <c r="L59" s="177" t="n"/>
      <c r="M59" s="177" t="n"/>
    </row>
    <row r="60">
      <c r="A60" s="177" t="n"/>
      <c r="B60" s="177" t="n"/>
      <c r="C60" s="177" t="n"/>
      <c r="D60" s="177" t="n"/>
      <c r="E60" s="177" t="n"/>
      <c r="F60" s="177" t="n"/>
      <c r="G60" s="177" t="n"/>
      <c r="H60" s="177" t="n"/>
      <c r="I60" s="177" t="n"/>
      <c r="J60" s="177" t="n"/>
      <c r="K60" s="177" t="n"/>
      <c r="L60" s="177" t="n"/>
      <c r="M60" s="177" t="n"/>
    </row>
    <row r="61">
      <c r="A61" s="177" t="n"/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</row>
    <row r="62">
      <c r="A62" s="177" t="n"/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</row>
    <row r="63">
      <c r="A63" s="177" t="n"/>
      <c r="B63" s="177" t="n"/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</row>
    <row r="64">
      <c r="A64" s="177" t="n"/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</row>
    <row r="65">
      <c r="A65" s="177" t="n"/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</row>
    <row r="66">
      <c r="A66" s="177" t="n"/>
      <c r="B66" s="177" t="n"/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</row>
    <row r="67">
      <c r="A67" s="177" t="n"/>
      <c r="B67" s="177" t="n"/>
      <c r="C67" s="177" t="n"/>
      <c r="D67" s="177" t="n"/>
      <c r="E67" s="177" t="n"/>
      <c r="F67" s="177" t="n"/>
      <c r="G67" s="177" t="n"/>
      <c r="H67" s="177" t="n"/>
      <c r="I67" s="177" t="n"/>
      <c r="J67" s="177" t="n"/>
      <c r="K67" s="177" t="n"/>
      <c r="L67" s="177" t="n"/>
      <c r="M67" s="177" t="n"/>
    </row>
    <row r="68">
      <c r="A68" s="177" t="n"/>
      <c r="B68" s="177" t="n"/>
      <c r="C68" s="177" t="n"/>
      <c r="D68" s="177" t="n"/>
      <c r="E68" s="177" t="n"/>
      <c r="F68" s="177" t="n"/>
      <c r="G68" s="177" t="n"/>
      <c r="H68" s="177" t="n"/>
      <c r="I68" s="177" t="n"/>
      <c r="J68" s="177" t="n"/>
      <c r="K68" s="177" t="n"/>
      <c r="L68" s="177" t="n"/>
      <c r="M68" s="177" t="n"/>
    </row>
    <row r="69">
      <c r="A69" s="177" t="n"/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</row>
    <row r="70">
      <c r="A70" s="177" t="n"/>
      <c r="B70" s="177" t="n"/>
      <c r="C70" s="177" t="n"/>
      <c r="D70" s="177" t="n"/>
      <c r="E70" s="177" t="n"/>
      <c r="F70" s="177" t="n"/>
      <c r="G70" s="177" t="n"/>
      <c r="H70" s="177" t="n"/>
      <c r="I70" s="177" t="n"/>
      <c r="J70" s="177" t="n"/>
      <c r="K70" s="177" t="n"/>
      <c r="L70" s="177" t="n"/>
      <c r="M70" s="177" t="n"/>
    </row>
    <row r="71">
      <c r="A71" s="177" t="n"/>
      <c r="B71" s="177" t="n"/>
      <c r="C71" s="177" t="n"/>
      <c r="D71" s="177" t="n"/>
      <c r="E71" s="177" t="n"/>
      <c r="F71" s="177" t="n"/>
      <c r="G71" s="177" t="n"/>
      <c r="H71" s="177" t="n"/>
      <c r="I71" s="177" t="n"/>
      <c r="J71" s="177" t="n"/>
      <c r="K71" s="177" t="n"/>
      <c r="L71" s="177" t="n"/>
      <c r="M71" s="177" t="n"/>
    </row>
    <row r="72">
      <c r="A72" s="177" t="n"/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</row>
    <row r="73">
      <c r="A73" s="177" t="n"/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</row>
    <row r="74">
      <c r="A74" s="177" t="n"/>
      <c r="B74" s="177" t="n"/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</row>
    <row r="75">
      <c r="A75" s="177" t="n"/>
      <c r="B75" s="177" t="n"/>
      <c r="C75" s="177" t="n"/>
      <c r="D75" s="177" t="n"/>
      <c r="E75" s="177" t="n"/>
      <c r="F75" s="177" t="n"/>
      <c r="G75" s="177" t="n"/>
      <c r="H75" s="177" t="n"/>
      <c r="I75" s="177" t="n"/>
      <c r="J75" s="177" t="n"/>
      <c r="K75" s="177" t="n"/>
      <c r="L75" s="177" t="n"/>
      <c r="M75" s="177" t="n"/>
    </row>
    <row r="76">
      <c r="A76" s="177" t="n"/>
      <c r="B76" s="177" t="n"/>
      <c r="C76" s="177" t="n"/>
      <c r="D76" s="177" t="n"/>
      <c r="E76" s="177" t="n"/>
      <c r="F76" s="177" t="n"/>
      <c r="G76" s="177" t="n"/>
      <c r="H76" s="177" t="n"/>
      <c r="I76" s="177" t="n"/>
      <c r="J76" s="177" t="n"/>
      <c r="K76" s="177" t="n"/>
      <c r="L76" s="177" t="n"/>
      <c r="M76" s="177" t="n"/>
    </row>
    <row r="77">
      <c r="A77" s="177" t="n"/>
      <c r="B77" s="177" t="n"/>
      <c r="C77" s="177" t="n"/>
      <c r="D77" s="177" t="n"/>
      <c r="E77" s="177" t="n"/>
      <c r="F77" s="177" t="n"/>
      <c r="G77" s="177" t="n"/>
      <c r="H77" s="177" t="n"/>
      <c r="I77" s="177" t="n"/>
      <c r="J77" s="177" t="n"/>
      <c r="K77" s="177" t="n"/>
      <c r="L77" s="177" t="n"/>
      <c r="M77" s="177" t="n"/>
    </row>
    <row r="78">
      <c r="A78" s="177" t="n"/>
      <c r="B78" s="177" t="n"/>
      <c r="C78" s="177" t="n"/>
      <c r="D78" s="177" t="n"/>
      <c r="E78" s="177" t="n"/>
      <c r="F78" s="177" t="n"/>
      <c r="G78" s="177" t="n"/>
      <c r="H78" s="177" t="n"/>
      <c r="I78" s="177" t="n"/>
      <c r="J78" s="177" t="n"/>
      <c r="K78" s="177" t="n"/>
      <c r="L78" s="177" t="n"/>
      <c r="M78" s="177" t="n"/>
    </row>
    <row r="79">
      <c r="A79" s="177" t="n"/>
      <c r="B79" s="177" t="n"/>
      <c r="C79" s="177" t="n"/>
      <c r="D79" s="177" t="n"/>
      <c r="E79" s="177" t="n"/>
      <c r="F79" s="177" t="n"/>
      <c r="G79" s="177" t="n"/>
      <c r="H79" s="177" t="n"/>
      <c r="I79" s="177" t="n"/>
      <c r="J79" s="177" t="n"/>
      <c r="K79" s="177" t="n"/>
      <c r="L79" s="177" t="n"/>
      <c r="M79" s="177" t="n"/>
    </row>
    <row r="80">
      <c r="A80" s="177" t="n"/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</row>
    <row r="81">
      <c r="A81" s="177" t="n"/>
      <c r="B81" s="177" t="n"/>
      <c r="C81" s="177" t="n"/>
      <c r="D81" s="177" t="n"/>
      <c r="E81" s="177" t="n"/>
      <c r="F81" s="177" t="n"/>
      <c r="G81" s="177" t="n"/>
      <c r="H81" s="177" t="n"/>
      <c r="I81" s="177" t="n"/>
      <c r="J81" s="177" t="n"/>
      <c r="K81" s="177" t="n"/>
      <c r="L81" s="177" t="n"/>
      <c r="M81" s="177" t="n"/>
    </row>
    <row r="82">
      <c r="A82" s="177" t="n"/>
      <c r="B82" s="177" t="n"/>
      <c r="C82" s="177" t="n"/>
      <c r="D82" s="177" t="n"/>
      <c r="E82" s="177" t="n"/>
      <c r="F82" s="177" t="n"/>
      <c r="G82" s="177" t="n"/>
      <c r="H82" s="177" t="n"/>
      <c r="I82" s="177" t="n"/>
      <c r="J82" s="177" t="n"/>
      <c r="K82" s="177" t="n"/>
      <c r="L82" s="177" t="n"/>
      <c r="M82" s="177" t="n"/>
    </row>
    <row r="83">
      <c r="A83" s="177" t="n"/>
      <c r="B83" s="177" t="n"/>
      <c r="C83" s="177" t="n"/>
      <c r="D83" s="177" t="n"/>
      <c r="E83" s="177" t="n"/>
      <c r="F83" s="177" t="n"/>
      <c r="G83" s="177" t="n"/>
      <c r="H83" s="177" t="n"/>
      <c r="I83" s="177" t="n"/>
      <c r="J83" s="177" t="n"/>
      <c r="K83" s="177" t="n"/>
      <c r="L83" s="177" t="n"/>
      <c r="M83" s="177" t="n"/>
    </row>
    <row r="84">
      <c r="A84" s="177" t="n"/>
      <c r="B84" s="177" t="n"/>
      <c r="C84" s="177" t="n"/>
      <c r="D84" s="177" t="n"/>
      <c r="E84" s="177" t="n"/>
      <c r="F84" s="177" t="n"/>
      <c r="G84" s="177" t="n"/>
      <c r="H84" s="177" t="n"/>
      <c r="I84" s="177" t="n"/>
      <c r="J84" s="177" t="n"/>
      <c r="K84" s="177" t="n"/>
      <c r="L84" s="177" t="n"/>
      <c r="M84" s="177" t="n"/>
    </row>
    <row r="85">
      <c r="A85" s="177" t="n"/>
      <c r="B85" s="177" t="n"/>
      <c r="C85" s="177" t="n"/>
      <c r="D85" s="177" t="n"/>
      <c r="E85" s="177" t="n"/>
      <c r="F85" s="177" t="n"/>
      <c r="G85" s="177" t="n"/>
      <c r="H85" s="177" t="n"/>
      <c r="I85" s="177" t="n"/>
      <c r="J85" s="177" t="n"/>
      <c r="K85" s="177" t="n"/>
      <c r="L85" s="177" t="n"/>
      <c r="M85" s="177" t="n"/>
    </row>
    <row r="86">
      <c r="A86" s="177" t="n"/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</row>
    <row r="87">
      <c r="A87" s="177" t="n"/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</row>
    <row r="88">
      <c r="A88" s="177" t="n"/>
      <c r="B88" s="177" t="n"/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</row>
    <row r="89">
      <c r="A89" s="177" t="n"/>
      <c r="B89" s="177" t="n"/>
      <c r="C89" s="177" t="n"/>
      <c r="D89" s="177" t="n"/>
      <c r="E89" s="177" t="n"/>
      <c r="F89" s="177" t="n"/>
      <c r="G89" s="177" t="n"/>
      <c r="H89" s="177" t="n"/>
      <c r="I89" s="177" t="n"/>
      <c r="J89" s="177" t="n"/>
      <c r="K89" s="177" t="n"/>
      <c r="L89" s="177" t="n"/>
      <c r="M89" s="177" t="n"/>
    </row>
    <row r="90">
      <c r="A90" s="177" t="n"/>
      <c r="B90" s="177" t="n"/>
      <c r="C90" s="177" t="n"/>
      <c r="D90" s="177" t="n"/>
      <c r="E90" s="177" t="n"/>
      <c r="F90" s="177" t="n"/>
      <c r="G90" s="177" t="n"/>
      <c r="H90" s="177" t="n"/>
      <c r="I90" s="177" t="n"/>
      <c r="J90" s="177" t="n"/>
      <c r="K90" s="177" t="n"/>
      <c r="L90" s="177" t="n"/>
      <c r="M90" s="177" t="n"/>
    </row>
    <row r="91">
      <c r="A91" s="177" t="n"/>
      <c r="B91" s="177" t="n"/>
      <c r="C91" s="177" t="n"/>
      <c r="D91" s="177" t="n"/>
      <c r="E91" s="177" t="n"/>
      <c r="F91" s="177" t="n"/>
      <c r="G91" s="177" t="n"/>
      <c r="H91" s="177" t="n"/>
      <c r="I91" s="177" t="n"/>
      <c r="J91" s="177" t="n"/>
      <c r="K91" s="177" t="n"/>
      <c r="L91" s="177" t="n"/>
      <c r="M91" s="177" t="n"/>
    </row>
    <row r="92">
      <c r="A92" s="177" t="n"/>
      <c r="B92" s="177" t="n"/>
      <c r="C92" s="177" t="n"/>
      <c r="D92" s="177" t="n"/>
      <c r="E92" s="177" t="n"/>
      <c r="F92" s="177" t="n"/>
      <c r="G92" s="177" t="n"/>
      <c r="H92" s="177" t="n"/>
      <c r="I92" s="177" t="n"/>
      <c r="J92" s="177" t="n"/>
      <c r="K92" s="177" t="n"/>
      <c r="L92" s="177" t="n"/>
      <c r="M92" s="177" t="n"/>
    </row>
    <row r="93">
      <c r="A93" s="177" t="n"/>
      <c r="B93" s="177" t="n"/>
      <c r="C93" s="177" t="n"/>
      <c r="D93" s="177" t="n"/>
      <c r="E93" s="177" t="n"/>
      <c r="F93" s="177" t="n"/>
      <c r="G93" s="177" t="n"/>
      <c r="H93" s="177" t="n"/>
      <c r="I93" s="177" t="n"/>
      <c r="J93" s="177" t="n"/>
      <c r="K93" s="177" t="n"/>
      <c r="L93" s="177" t="n"/>
      <c r="M93" s="177" t="n"/>
    </row>
    <row r="94">
      <c r="A94" s="177" t="n"/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</row>
    <row r="95">
      <c r="A95" s="177" t="n"/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</row>
    <row r="96">
      <c r="A96" s="177" t="n"/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</row>
    <row r="97">
      <c r="A97" s="177" t="n"/>
      <c r="B97" s="177" t="n"/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</row>
    <row r="98">
      <c r="A98" s="177" t="n"/>
      <c r="B98" s="177" t="n"/>
      <c r="C98" s="177" t="n"/>
      <c r="D98" s="177" t="n"/>
      <c r="E98" s="177" t="n"/>
      <c r="F98" s="177" t="n"/>
      <c r="G98" s="177" t="n"/>
      <c r="H98" s="177" t="n"/>
      <c r="I98" s="177" t="n"/>
      <c r="J98" s="177" t="n"/>
      <c r="K98" s="177" t="n"/>
      <c r="L98" s="177" t="n"/>
      <c r="M98" s="177" t="n"/>
    </row>
    <row r="99">
      <c r="A99" s="177" t="n"/>
      <c r="B99" s="177" t="n"/>
      <c r="C99" s="177" t="n"/>
      <c r="D99" s="177" t="n"/>
      <c r="E99" s="177" t="n"/>
      <c r="F99" s="177" t="n"/>
      <c r="G99" s="177" t="n"/>
      <c r="H99" s="177" t="n"/>
      <c r="I99" s="177" t="n"/>
      <c r="J99" s="177" t="n"/>
      <c r="K99" s="177" t="n"/>
      <c r="L99" s="177" t="n"/>
      <c r="M99" s="177" t="n"/>
    </row>
    <row r="100">
      <c r="A100" s="177" t="n"/>
      <c r="B100" s="177" t="n"/>
      <c r="C100" s="177" t="n"/>
      <c r="D100" s="177" t="n"/>
      <c r="E100" s="177" t="n"/>
      <c r="F100" s="177" t="n"/>
      <c r="G100" s="177" t="n"/>
      <c r="H100" s="177" t="n"/>
      <c r="I100" s="177" t="n"/>
      <c r="J100" s="177" t="n"/>
      <c r="K100" s="177" t="n"/>
      <c r="L100" s="177" t="n"/>
      <c r="M100" s="177" t="n"/>
    </row>
    <row r="101">
      <c r="A101" s="177" t="n"/>
      <c r="B101" s="177" t="n"/>
      <c r="C101" s="177" t="n"/>
      <c r="D101" s="177" t="n"/>
      <c r="E101" s="177" t="n"/>
      <c r="F101" s="177" t="n"/>
      <c r="G101" s="177" t="n"/>
      <c r="H101" s="177" t="n"/>
      <c r="I101" s="177" t="n"/>
      <c r="J101" s="177" t="n"/>
      <c r="K101" s="177" t="n"/>
      <c r="L101" s="177" t="n"/>
      <c r="M101" s="177" t="n"/>
    </row>
    <row r="102">
      <c r="A102" s="177" t="n"/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</row>
    <row r="103">
      <c r="A103" s="177" t="n"/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</row>
    <row r="104">
      <c r="A104" s="177" t="n"/>
      <c r="B104" s="177" t="n"/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</row>
    <row r="105">
      <c r="A105" s="177" t="n"/>
      <c r="B105" s="177" t="n"/>
      <c r="C105" s="177" t="n"/>
      <c r="D105" s="177" t="n"/>
      <c r="E105" s="177" t="n"/>
      <c r="F105" s="177" t="n"/>
      <c r="G105" s="177" t="n"/>
      <c r="H105" s="177" t="n"/>
      <c r="I105" s="177" t="n"/>
      <c r="J105" s="177" t="n"/>
      <c r="K105" s="177" t="n"/>
      <c r="L105" s="177" t="n"/>
      <c r="M105" s="177" t="n"/>
    </row>
    <row r="106">
      <c r="A106" s="177" t="n"/>
      <c r="B106" s="177" t="n"/>
      <c r="C106" s="177" t="n"/>
      <c r="D106" s="177" t="n"/>
      <c r="E106" s="177" t="n"/>
      <c r="F106" s="177" t="n"/>
      <c r="G106" s="177" t="n"/>
      <c r="H106" s="177" t="n"/>
      <c r="I106" s="177" t="n"/>
      <c r="J106" s="177" t="n"/>
      <c r="K106" s="177" t="n"/>
      <c r="L106" s="177" t="n"/>
      <c r="M106" s="177" t="n"/>
    </row>
    <row r="107">
      <c r="A107" s="177" t="n"/>
      <c r="B107" s="177" t="n"/>
      <c r="C107" s="177" t="n"/>
      <c r="D107" s="177" t="n"/>
      <c r="E107" s="177" t="n"/>
      <c r="F107" s="177" t="n"/>
      <c r="G107" s="177" t="n"/>
      <c r="H107" s="177" t="n"/>
      <c r="I107" s="177" t="n"/>
      <c r="J107" s="177" t="n"/>
      <c r="K107" s="177" t="n"/>
      <c r="L107" s="177" t="n"/>
      <c r="M107" s="177" t="n"/>
    </row>
    <row r="108">
      <c r="A108" s="177" t="n"/>
      <c r="B108" s="177" t="n"/>
      <c r="C108" s="177" t="n"/>
      <c r="D108" s="177" t="n"/>
      <c r="E108" s="177" t="n"/>
      <c r="F108" s="177" t="n"/>
      <c r="G108" s="177" t="n"/>
      <c r="H108" s="177" t="n"/>
      <c r="I108" s="177" t="n"/>
      <c r="J108" s="177" t="n"/>
      <c r="K108" s="177" t="n"/>
      <c r="L108" s="177" t="n"/>
      <c r="M108" s="177" t="n"/>
    </row>
    <row r="109">
      <c r="A109" s="177" t="n"/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</row>
    <row r="110">
      <c r="A110" s="177" t="n"/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</row>
    <row r="111">
      <c r="A111" s="177" t="n"/>
      <c r="B111" s="177" t="n"/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</row>
    <row r="112">
      <c r="A112" s="177" t="n"/>
      <c r="B112" s="177" t="n"/>
      <c r="C112" s="177" t="n"/>
      <c r="D112" s="177" t="n"/>
      <c r="E112" s="177" t="n"/>
      <c r="F112" s="177" t="n"/>
      <c r="G112" s="177" t="n"/>
      <c r="H112" s="177" t="n"/>
      <c r="I112" s="177" t="n"/>
      <c r="J112" s="177" t="n"/>
      <c r="K112" s="177" t="n"/>
      <c r="L112" s="177" t="n"/>
      <c r="M112" s="177" t="n"/>
    </row>
    <row r="113">
      <c r="A113" s="177" t="n"/>
      <c r="B113" s="177" t="n"/>
      <c r="C113" s="177" t="n"/>
      <c r="D113" s="177" t="n"/>
      <c r="E113" s="177" t="n"/>
      <c r="F113" s="177" t="n"/>
      <c r="G113" s="177" t="n"/>
      <c r="H113" s="177" t="n"/>
      <c r="I113" s="177" t="n"/>
      <c r="J113" s="177" t="n"/>
      <c r="K113" s="177" t="n"/>
      <c r="L113" s="177" t="n"/>
      <c r="M113" s="177" t="n"/>
    </row>
    <row r="114">
      <c r="A114" s="177" t="n"/>
      <c r="B114" s="177" t="n"/>
      <c r="C114" s="177" t="n"/>
      <c r="D114" s="177" t="n"/>
      <c r="E114" s="177" t="n"/>
      <c r="F114" s="177" t="n"/>
      <c r="G114" s="177" t="n"/>
      <c r="H114" s="177" t="n"/>
      <c r="I114" s="177" t="n"/>
      <c r="J114" s="177" t="n"/>
      <c r="K114" s="177" t="n"/>
      <c r="L114" s="177" t="n"/>
      <c r="M114" s="177" t="n"/>
    </row>
    <row r="115">
      <c r="A115" s="177" t="n"/>
      <c r="B115" s="177" t="n"/>
      <c r="C115" s="177" t="n"/>
      <c r="D115" s="177" t="n"/>
      <c r="E115" s="177" t="n"/>
      <c r="F115" s="177" t="n"/>
      <c r="G115" s="177" t="n"/>
      <c r="H115" s="177" t="n"/>
      <c r="I115" s="177" t="n"/>
      <c r="J115" s="177" t="n"/>
      <c r="K115" s="177" t="n"/>
      <c r="L115" s="177" t="n"/>
      <c r="M115" s="177" t="n"/>
    </row>
    <row r="116">
      <c r="A116" s="177" t="n"/>
      <c r="B116" s="177" t="n"/>
      <c r="C116" s="177" t="n"/>
      <c r="D116" s="177" t="n"/>
      <c r="E116" s="177" t="n"/>
      <c r="F116" s="177" t="n"/>
      <c r="G116" s="177" t="n"/>
      <c r="H116" s="177" t="n"/>
      <c r="I116" s="177" t="n"/>
      <c r="J116" s="177" t="n"/>
      <c r="K116" s="177" t="n"/>
      <c r="L116" s="177" t="n"/>
      <c r="M116" s="177" t="n"/>
    </row>
    <row r="117">
      <c r="A117" s="177" t="n"/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</row>
    <row r="118">
      <c r="A118" s="177" t="n"/>
      <c r="B118" s="177" t="n"/>
      <c r="C118" s="177" t="n"/>
      <c r="D118" s="177" t="n"/>
      <c r="E118" s="177" t="n"/>
      <c r="F118" s="177" t="n"/>
      <c r="G118" s="177" t="n"/>
      <c r="H118" s="177" t="n"/>
      <c r="I118" s="177" t="n"/>
      <c r="J118" s="177" t="n"/>
      <c r="K118" s="177" t="n"/>
      <c r="L118" s="177" t="n"/>
      <c r="M118" s="177" t="n"/>
    </row>
    <row r="119">
      <c r="A119" s="177" t="n"/>
      <c r="B119" s="177" t="n"/>
      <c r="C119" s="177" t="n"/>
      <c r="D119" s="177" t="n"/>
      <c r="E119" s="177" t="n"/>
      <c r="F119" s="177" t="n"/>
      <c r="G119" s="177" t="n"/>
      <c r="H119" s="177" t="n"/>
      <c r="I119" s="177" t="n"/>
      <c r="J119" s="177" t="n"/>
      <c r="K119" s="177" t="n"/>
      <c r="L119" s="177" t="n"/>
      <c r="M119" s="177" t="n"/>
    </row>
    <row r="120">
      <c r="A120" s="177" t="n"/>
      <c r="B120" s="177" t="n"/>
      <c r="C120" s="177" t="n"/>
      <c r="D120" s="177" t="n"/>
      <c r="E120" s="177" t="n"/>
      <c r="F120" s="177" t="n"/>
      <c r="G120" s="177" t="n"/>
      <c r="H120" s="177" t="n"/>
      <c r="I120" s="177" t="n"/>
      <c r="J120" s="177" t="n"/>
      <c r="K120" s="177" t="n"/>
      <c r="L120" s="177" t="n"/>
      <c r="M120" s="177" t="n"/>
    </row>
  </sheetData>
  <mergeCells count="2">
    <mergeCell ref="A2:L2"/>
    <mergeCell ref="A1:L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FF0D47A1"/>
    <outlinePr summaryBelow="1" summaryRight="1"/>
    <pageSetUpPr/>
  </sheetPr>
  <dimension ref="A1:E300"/>
  <sheetViews>
    <sheetView tabSelected="1" workbookViewId="0">
      <selection activeCell="A1" sqref="A1:E1"/>
    </sheetView>
  </sheetViews>
  <sheetFormatPr baseColWidth="10" defaultRowHeight="15"/>
  <cols>
    <col width="45.7109375" customWidth="1" style="500" min="1" max="1"/>
    <col width="19" customWidth="1" style="500" min="2" max="2"/>
    <col width="41.85546875" customWidth="1" style="500" min="3" max="3"/>
    <col width="76.140625" customWidth="1" style="500" min="4" max="4"/>
    <col width="34.28515625" customWidth="1" style="500" min="5" max="5"/>
  </cols>
  <sheetData>
    <row r="1" ht="18.75" customHeight="1" s="500">
      <c r="A1" s="603" t="inlineStr">
        <is>
          <t>🌿⚡  ESG_DAX – MESURES DAX ESG COMPLÈTES · Power Pivot · ESRS E1 / S1 / G1 · Liaisons IFRS 18</t>
        </is>
      </c>
    </row>
    <row r="2">
      <c r="A2" s="604" t="inlineStr">
        <is>
          <t>Coller dans Power Pivot (Mesures) · Référencer les tables : ESG_CARBONE_TABLE, ESG_DIVERSITE_TABLE, ESG_MAPPING_TABLE · Préfixe : [MESG_] = mesure ESG</t>
        </is>
      </c>
    </row>
    <row r="3">
      <c r="A3" s="184" t="n"/>
      <c r="B3" s="184" t="n"/>
      <c r="C3" s="184" t="n"/>
      <c r="D3" s="184" t="n"/>
      <c r="E3" s="184" t="n"/>
    </row>
    <row r="4" ht="330" customHeight="1" s="500">
      <c r="A4" s="605" t="inlineStr">
        <is>
          <t>// ════════════════════════════════════════════════════════════
// GROUPE E1 – ÉMISSIONS GES (SCOPE 1 / 2 / 3)
// ════════════════════════════════════════════════════════════</t>
        </is>
      </c>
    </row>
    <row r="5">
      <c r="A5" s="186" t="inlineStr">
        <is>
          <t>Nom Mesure</t>
        </is>
      </c>
      <c r="B5" s="186" t="inlineStr">
        <is>
          <t>Table</t>
        </is>
      </c>
      <c r="C5" s="186" t="inlineStr">
        <is>
          <t>Description</t>
        </is>
      </c>
      <c r="D5" s="186" t="inlineStr">
        <is>
          <t>Code DAX</t>
        </is>
      </c>
      <c r="E5" s="186" t="inlineStr">
        <is>
          <t>Norme / Référence</t>
        </is>
      </c>
    </row>
    <row r="6" ht="60.75" customHeight="1" s="500">
      <c r="A6" s="187" t="inlineStr">
        <is>
          <t>[MESG_Scope1_Groupe]</t>
        </is>
      </c>
      <c r="B6" s="604" t="inlineStr">
        <is>
          <t>ESG Tables</t>
        </is>
      </c>
      <c r="C6" s="188" t="inlineStr">
        <is>
          <t>Émissions Scope 1 totales groupe (tCO₂eq)</t>
        </is>
      </c>
      <c r="D6" s="189" t="inlineStr">
        <is>
          <t>[MESG_Scope1_Groupe] =
CALCULATE(
    SUM('ESG_CARBONE_TABLE'[TOTAL_2025]),
    'ESG_CARBONE_TABLE'[Scope] = "Scope 1 (direct)"
)</t>
        </is>
      </c>
      <c r="E6" s="604" t="inlineStr">
        <is>
          <t>ESRS E1-6 §44a · GHG Protocol</t>
        </is>
      </c>
    </row>
    <row r="7" ht="60.75" customHeight="1" s="500">
      <c r="A7" s="187" t="inlineStr">
        <is>
          <t>[MESG_Scope2_Groupe]</t>
        </is>
      </c>
      <c r="B7" s="604" t="inlineStr">
        <is>
          <t>ESG Tables</t>
        </is>
      </c>
      <c r="C7" s="188" t="inlineStr">
        <is>
          <t>Émissions Scope 2 marché groupe (tCO₂eq)</t>
        </is>
      </c>
      <c r="D7" s="189" t="inlineStr">
        <is>
          <t>[MESG_Scope2_Groupe] =
CALCULATE(
    SUM('ESG_CARBONE_TABLE'[TOTAL_2025]),
    'ESG_CARBONE_TABLE'[Scope] = "Scope 2 (énergie – marché)"
)</t>
        </is>
      </c>
      <c r="E7" s="604" t="inlineStr">
        <is>
          <t>ESRS E1-6 §44b · GHG Protocol</t>
        </is>
      </c>
    </row>
    <row r="8" ht="60.75" customHeight="1" s="500">
      <c r="A8" s="187" t="inlineStr">
        <is>
          <t>[MESG_Scope3_Groupe]</t>
        </is>
      </c>
      <c r="B8" s="604" t="inlineStr">
        <is>
          <t>ESG Tables</t>
        </is>
      </c>
      <c r="C8" s="188" t="inlineStr">
        <is>
          <t>Émissions Scope 3 totales groupe (tCO₂eq)</t>
        </is>
      </c>
      <c r="D8" s="189" t="inlineStr">
        <is>
          <t>[MESG_Scope3_Groupe] =
CALCULATE(
    SUM('ESG_CARBONE_TABLE'[TOTAL_2025]),
    'ESG_CARBONE_TABLE'[Scope] = "Scope 3 (chaîne valeur)"
)</t>
        </is>
      </c>
      <c r="E8" s="604" t="inlineStr">
        <is>
          <t>ESRS E1-6 §44c · GHG Protocol</t>
        </is>
      </c>
    </row>
    <row r="9" ht="48.75" customHeight="1" s="500">
      <c r="A9" s="187" t="inlineStr">
        <is>
          <t>[MESG_Scope12_Groupe]</t>
        </is>
      </c>
      <c r="B9" s="604" t="inlineStr">
        <is>
          <t>ESG Tables</t>
        </is>
      </c>
      <c r="C9" s="188" t="inlineStr">
        <is>
          <t>Scope 1+2 combiné (base objectifs SBTi)</t>
        </is>
      </c>
      <c r="D9" s="189" t="inlineStr">
        <is>
          <t>[MESG_Scope12_Groupe] =
[MESG_Scope1_Groupe] + [MESG_Scope2_Groupe]
// Base de calcul pour les objectifs à court terme SBTi
// Cible 2030 : -50% vs base 2020</t>
        </is>
      </c>
      <c r="E9" s="604" t="inlineStr">
        <is>
          <t>ESRS E1-4 §30 · SBTi</t>
        </is>
      </c>
    </row>
    <row r="10" ht="48.75" customHeight="1" s="500">
      <c r="A10" s="187" t="inlineStr">
        <is>
          <t>[MESG_Total_GES_Groupe]</t>
        </is>
      </c>
      <c r="B10" s="604" t="inlineStr">
        <is>
          <t>ESG Tables</t>
        </is>
      </c>
      <c r="C10" s="188" t="inlineStr">
        <is>
          <t>Total Scope 1+2+3 (tCO₂eq)</t>
        </is>
      </c>
      <c r="D10" s="189" t="inlineStr">
        <is>
          <t>[MESG_Total_GES_Groupe] =
[MESG_Scope1_Groupe]
+ [MESG_Scope2_Groupe]
+ [MESG_Scope3_Groupe]</t>
        </is>
      </c>
      <c r="E10" s="604" t="inlineStr">
        <is>
          <t>ESRS E1-6 §44</t>
        </is>
      </c>
    </row>
    <row r="11" ht="96.75" customHeight="1" s="500">
      <c r="A11" s="187" t="inlineStr">
        <is>
          <t>[MESG_Intensité_Carbone]</t>
        </is>
      </c>
      <c r="B11" s="604" t="inlineStr">
        <is>
          <t>ESG Tables</t>
        </is>
      </c>
      <c r="C11" s="188" t="inlineStr">
        <is>
          <t>Intensité carbone (tCO₂eq / M€ CA) – lien CONSOL_CR</t>
        </is>
      </c>
      <c r="D11" s="189" t="inlineStr">
        <is>
          <t>[MESG_Intensité_Carbone] =
DIVIDE(
    [MESG_Scope12_Groupe],
    [M_CA_Net_Elim] / 1000000,  // Convertir k€ → M€
    BLANK()
)
// Numérateur : Scope 1+2 (tCO₂eq)
// Dénominateur : CA consolidé en M€ (mesure DAX financière)</t>
        </is>
      </c>
      <c r="E11" s="604" t="inlineStr">
        <is>
          <t>ESRS E1-6 §55 · Ratio d'intensité</t>
        </is>
      </c>
    </row>
    <row r="12" ht="180.75" customHeight="1" s="500">
      <c r="A12" s="187" t="inlineStr">
        <is>
          <t>[MESG_Scope1_Pondéré]</t>
        </is>
      </c>
      <c r="B12" s="604" t="inlineStr">
        <is>
          <t>ESG Tables</t>
        </is>
      </c>
      <c r="C12" s="188" t="inlineStr">
        <is>
          <t>Scope 1 pondéré par poids CA de l'entité dans le groupe</t>
        </is>
      </c>
      <c r="D12" s="189" t="inlineStr">
        <is>
          <t>[MESG_Scope1_Pondéré] =
SUMX(
    VALUES('ESG_CARBONE_TABLE'[Entité]),
    VAR EntitéScope1 =
        CALCULATE(SUM('ESG_CARBONE_TABLE'[TOTAL_2025]),
            'ESG_CARBONE_TABLE'[Scope] = "Scope 1 (direct)")
    VAR PoidsCA =
        CALCULATE(SUM('Balances_PQ'[MontantEUR]),
            'Balances_PQ'[EntitéNormalisée] = EARLIER('ESG_CARBONE_TABLE'[Entité]),
            'Balances_PQ'[CatIFRS18_Finale] = "① Exploitation")
        / [M_CA_Net_Elim]
    RETURN EntitéScope1 * PoidsCA
)
// Pondération par contribution CA → focus sur entités à fort impact</t>
        </is>
      </c>
      <c r="E12" s="604" t="inlineStr">
        <is>
          <t>Analyse d'impact proportionnel</t>
        </is>
      </c>
    </row>
    <row r="13" ht="132.75" customHeight="1" s="500">
      <c r="A13" s="187" t="inlineStr">
        <is>
          <t>[MESG_Réduction_GES_YOY]</t>
        </is>
      </c>
      <c r="B13" s="604" t="inlineStr">
        <is>
          <t>ESG Tables</t>
        </is>
      </c>
      <c r="C13" s="188" t="inlineStr">
        <is>
          <t>Réduction % des émissions Scope 1+2 vs N-1</t>
        </is>
      </c>
      <c r="D13" s="189" t="inlineStr">
        <is>
          <t>[MESG_Réduction_GES_YOY] =
DIVIDE(
    [MESG_Scope12_Groupe]
    - CALCULATE([MESG_Scope12_Groupe],
        FILTER('ESG_CARBONE_TABLE', 'ESG_CARBONE_TABLE'[TOTAL_2024] &gt; 0)),
    CALCULATE(SUM('ESG_CARBONE_TABLE'[TOTAL_2024]),
        'ESG_CARBONE_TABLE'[Scope] &lt;&gt; "Scope 3 (chaîne valeur)"),
    BLANK()
)
// Valeur négative = réduction (bonne performance)</t>
        </is>
      </c>
      <c r="E13" s="604" t="inlineStr">
        <is>
          <t>ESRS E1-4 §30 · Objectif SBTi</t>
        </is>
      </c>
    </row>
    <row r="14" ht="132.75" customHeight="1" s="500">
      <c r="A14" s="187" t="inlineStr">
        <is>
          <t>[MESG_Progression_Objectif_2030]</t>
        </is>
      </c>
      <c r="B14" s="604" t="inlineStr">
        <is>
          <t>ESG Tables</t>
        </is>
      </c>
      <c r="C14" s="188" t="inlineStr">
        <is>
          <t>% de progression vers objectif Scope 1+2 en 2030</t>
        </is>
      </c>
      <c r="D14" s="189" t="inlineStr">
        <is>
          <t>[MESG_Progression_Objectif_2030] =
VAR Objectif2030 = 81500  // Scope 1+2 cible 2030 (tCO₂eq)
VAR Base2020 = 168000     // Émissions base 2020 (tCO₂eq)
VAR ActuelN = [MESG_Scope12_Groupe]
RETURN
DIVIDE(
    Base2020 - ActuelN,
    Base2020 - Objectif2030,
    BLANK()
)
// 0% = aucun progrès, 100% = objectif atteint</t>
        </is>
      </c>
      <c r="E14" s="604" t="inlineStr">
        <is>
          <t>ESRS E1-4 §30</t>
        </is>
      </c>
    </row>
    <row r="15">
      <c r="A15" s="184" t="n"/>
      <c r="B15" s="184" t="n"/>
      <c r="C15" s="184" t="n"/>
      <c r="D15" s="184" t="n"/>
      <c r="E15" s="184" t="n"/>
    </row>
    <row r="16" ht="315" customHeight="1" s="500">
      <c r="A16" s="606" t="inlineStr">
        <is>
          <t>// ════════════════════════════════════════════════════════════
// GROUPE E2 – ÉNERGIE &amp; RESSOURCES
// ════════════════════════════════════════════════════════════</t>
        </is>
      </c>
    </row>
    <row r="17">
      <c r="A17" s="186" t="inlineStr">
        <is>
          <t>Nom Mesure</t>
        </is>
      </c>
      <c r="B17" s="186" t="inlineStr">
        <is>
          <t>Table</t>
        </is>
      </c>
      <c r="C17" s="186" t="inlineStr">
        <is>
          <t>Description</t>
        </is>
      </c>
      <c r="D17" s="186" t="inlineStr">
        <is>
          <t>Code DAX</t>
        </is>
      </c>
      <c r="E17" s="186" t="inlineStr">
        <is>
          <t>Norme / Référence</t>
        </is>
      </c>
    </row>
    <row r="18" ht="48.75" customHeight="1" s="500">
      <c r="A18" s="187" t="inlineStr">
        <is>
          <t>[MESG_Part_EnR_Groupe]</t>
        </is>
      </c>
      <c r="B18" s="604" t="inlineStr">
        <is>
          <t>ESG Tables</t>
        </is>
      </c>
      <c r="C18" s="188" t="inlineStr">
        <is>
          <t>Part d'énergie renouvelable dans le mix groupe (%)</t>
        </is>
      </c>
      <c r="D18" s="189" t="inlineStr">
        <is>
          <t>[MESG_Part_EnR_Groupe] =
AVERAGE('ESG_DATA_TABLE'[Part_EnR_Pct])
// À remplacer par une moyenne pondérée par consommation si données dispo
// Amélioration : SUMX pondéré par [ConsoEnergie_GWh]</t>
        </is>
      </c>
      <c r="E18" s="604" t="inlineStr">
        <is>
          <t>ESRS E1-5 §43</t>
        </is>
      </c>
    </row>
    <row r="19" ht="60.75" customHeight="1" s="500">
      <c r="A19" s="187" t="inlineStr">
        <is>
          <t>[MESG_Coût_Carbone_Groupe]</t>
        </is>
      </c>
      <c r="B19" s="604" t="inlineStr">
        <is>
          <t>ESG Tables</t>
        </is>
      </c>
      <c r="C19" s="188" t="inlineStr">
        <is>
          <t>Coût carbone théorique groupe au prix interne (k€)</t>
        </is>
      </c>
      <c r="D19" s="189" t="inlineStr">
        <is>
          <t>[MESG_Coût_Carbone_Groupe] =
VAR PrixCarbone = 35  // €/tCO₂ – paramètre à lier à la cellule jaune
RETURN
ROUND([MESG_Total_GES_Groupe] * PrixCarbone / 1000, 0)
// Résultat en k€ · Impact sur EBIT si taxe carbone appliquée</t>
        </is>
      </c>
      <c r="E19" s="604" t="inlineStr">
        <is>
          <t>ESRS E1 §64 · IFRS 18 §112 (MPM)</t>
        </is>
      </c>
    </row>
    <row r="20" ht="96.75" customHeight="1" s="500">
      <c r="A20" s="187" t="inlineStr">
        <is>
          <t>[MESG_Exposition_EBIT_Carbone]</t>
        </is>
      </c>
      <c r="B20" s="604" t="inlineStr">
        <is>
          <t>ESG Tables</t>
        </is>
      </c>
      <c r="C20" s="188" t="inlineStr">
        <is>
          <t>% EBIT exposé au risque de tarification carbone</t>
        </is>
      </c>
      <c r="D20" s="189" t="inlineStr">
        <is>
          <t>[MESG_Exposition_EBIT_Carbone] =
DIVIDE(
    [MESG_Coût_Carbone_Groupe],
    ABS([M_EBIT]),
    BLANK()
)
// 🆕 Lien direct ESG × IFRS 18 §112 : MPM obligatoire si exposé matériellement</t>
        </is>
      </c>
      <c r="E20" s="604" t="inlineStr">
        <is>
          <t>IFRS 18 §112 · ESRS E1 §64</t>
        </is>
      </c>
    </row>
    <row r="21">
      <c r="A21" s="184" t="n"/>
      <c r="B21" s="184" t="n"/>
      <c r="C21" s="184" t="n"/>
      <c r="D21" s="184" t="n"/>
      <c r="E21" s="184" t="n"/>
    </row>
    <row r="22" ht="330" customHeight="1" s="500">
      <c r="A22" s="607" t="inlineStr">
        <is>
          <t>// ════════════════════════════════════════════════════════════
// GROUPE S1 – SOCIAL : EFFECTIFS &amp; PARITÉ
// ════════════════════════════════════════════════════════════</t>
        </is>
      </c>
    </row>
    <row r="23">
      <c r="A23" s="186" t="inlineStr">
        <is>
          <t>Nom Mesure</t>
        </is>
      </c>
      <c r="B23" s="186" t="inlineStr">
        <is>
          <t>Table</t>
        </is>
      </c>
      <c r="C23" s="186" t="inlineStr">
        <is>
          <t>Description</t>
        </is>
      </c>
      <c r="D23" s="186" t="inlineStr">
        <is>
          <t>Code DAX</t>
        </is>
      </c>
      <c r="E23" s="186" t="inlineStr">
        <is>
          <t>Norme / Référence</t>
        </is>
      </c>
    </row>
    <row r="24" ht="24.75" customHeight="1" s="500">
      <c r="A24" s="187" t="inlineStr">
        <is>
          <t>[MESG_ETP_Total_Groupe]</t>
        </is>
      </c>
      <c r="B24" s="604" t="inlineStr">
        <is>
          <t>ESG Tables</t>
        </is>
      </c>
      <c r="C24" s="188" t="inlineStr">
        <is>
          <t>Effectifs totaux consolidés (ETP)</t>
        </is>
      </c>
      <c r="D24" s="189" t="inlineStr">
        <is>
          <t>[MESG_ETP_Total_Groupe] =
SUM('ESG_DIVERSITE_TABLE_S1'[ETP_Total])</t>
        </is>
      </c>
      <c r="E24" s="604" t="inlineStr">
        <is>
          <t>ESRS S1-6 §50</t>
        </is>
      </c>
    </row>
    <row r="25" ht="72.75" customHeight="1" s="500">
      <c r="A25" s="187" t="inlineStr">
        <is>
          <t>[MESG_Pct_Femmes_Groupe]</t>
        </is>
      </c>
      <c r="B25" s="604" t="inlineStr">
        <is>
          <t>ESG Tables</t>
        </is>
      </c>
      <c r="C25" s="188" t="inlineStr">
        <is>
          <t>Part des femmes dans l'effectif total (%)</t>
        </is>
      </c>
      <c r="D25" s="189" t="inlineStr">
        <is>
          <t>[MESG_Pct_Femmes_Groupe] =
DIVIDE(
    SUM('ESG_DIVERSITE_TABLE_S1'[ETP_Femmes]),
    [MESG_ETP_Total_Groupe],
    BLANK()
)</t>
        </is>
      </c>
      <c r="E25" s="604" t="inlineStr">
        <is>
          <t>ESRS S1-9 §65</t>
        </is>
      </c>
    </row>
    <row r="26" ht="72.75" customHeight="1" s="500">
      <c r="A26" s="187" t="inlineStr">
        <is>
          <t>[MESG_Pct_Femmes_Dirigeantes]</t>
        </is>
      </c>
      <c r="B26" s="604" t="inlineStr">
        <is>
          <t>ESG Tables</t>
        </is>
      </c>
      <c r="C26" s="188" t="inlineStr">
        <is>
          <t>Part des femmes dans les postes de direction (%)</t>
        </is>
      </c>
      <c r="D26" s="189" t="inlineStr">
        <is>
          <t>[MESG_Pct_Femmes_Dirigeantes] =
DIVIDE(
    SUM('ESG_DIVERSITE_TABLE_S1'[Femmes_Dirigeantes]),
    SUM('ESG_DIVERSITE_TABLE_S1'[ETP_Dirigeants]),
    BLANK()
)</t>
        </is>
      </c>
      <c r="E26" s="604" t="inlineStr">
        <is>
          <t>ESRS S1-9 §65 · Loi Rixain FR</t>
        </is>
      </c>
    </row>
    <row r="27" ht="72.75" customHeight="1" s="500">
      <c r="A27" s="187" t="inlineStr">
        <is>
          <t>[MESG_Taux_Turnover_Groupe]</t>
        </is>
      </c>
      <c r="B27" s="604" t="inlineStr">
        <is>
          <t>ESG Tables</t>
        </is>
      </c>
      <c r="C27" s="188" t="inlineStr">
        <is>
          <t>Taux de turnover consolidé (%)</t>
        </is>
      </c>
      <c r="D27" s="189" t="inlineStr">
        <is>
          <t>[MESG_Taux_Turnover_Groupe] =
DIVIDE(
    SUM('ESG_DIVERSITE_TABLE_S1'[Recrutements]),
    [MESG_ETP_Total_Groupe],
    BLANK()
)</t>
        </is>
      </c>
      <c r="E27" s="604" t="inlineStr">
        <is>
          <t>ESRS S1-6 §50</t>
        </is>
      </c>
    </row>
    <row r="28" ht="156.75" customHeight="1" s="500">
      <c r="A28" s="187" t="inlineStr">
        <is>
          <t>[MESG_Écart_Sal_HF_Moyen]</t>
        </is>
      </c>
      <c r="B28" s="604" t="inlineStr">
        <is>
          <t>ESG Tables</t>
        </is>
      </c>
      <c r="C28" s="188" t="inlineStr">
        <is>
          <t>Écart salarial H/F moyen pondéré par effectif</t>
        </is>
      </c>
      <c r="D28" s="189" t="inlineStr">
        <is>
          <t>[MESG_Écart_Sal_HF_Moyen] =
SUMX(
    'ESG_DIVERSITE_TABLE_S2',
    CALCULATE(
        DIVIDE(
            'ESG_DIVERSITE_TABLE_S2'[SalMéd_F]
            - 'ESG_DIVERSITE_TABLE_S2'[SalMéd_H],
            'ESG_DIVERSITE_TABLE_S2'[SalMéd_H],
            BLANK()
        )
    ) * RELATED('ESG_DIVERSITE_TABLE_S1'[ETP_Total])
) / [MESG_ETP_Total_Groupe]
// Moyenne pondérée par l'effectif de chaque entité</t>
        </is>
      </c>
      <c r="E28" s="604" t="inlineStr">
        <is>
          <t>ESRS S1-16 §97</t>
        </is>
      </c>
    </row>
    <row r="29" ht="84.75" customHeight="1" s="500">
      <c r="A29" s="187" t="inlineStr">
        <is>
          <t>[MESG_TRIR_Groupe]</t>
        </is>
      </c>
      <c r="B29" s="604" t="inlineStr">
        <is>
          <t>ESG Tables</t>
        </is>
      </c>
      <c r="C29" s="188" t="inlineStr">
        <is>
          <t>TRIR consolidé (Total Recordable Injury Rate / M heures)</t>
        </is>
      </c>
      <c r="D29" s="189" t="inlineStr">
        <is>
          <t>[MESG_TRIR_Groupe] =
DIVIDE(
    SUM('ESG_DIVERSITE_TABLE_S3'[Accidents_Recordables]) * 1000000,
    SUM('ESG_DIVERSITE_TABLE_S3'[Heures_Travaillées]),
    BLANK()
)
// Si données heures non dispo : utiliser AVERAGE pondéré par ETP</t>
        </is>
      </c>
      <c r="E29" s="604" t="inlineStr">
        <is>
          <t>ESRS S1-11 §88 · OSHA</t>
        </is>
      </c>
    </row>
    <row r="30" ht="120.75" customHeight="1" s="500">
      <c r="A30" s="187" t="inlineStr">
        <is>
          <t>[MESG_HFormation_ETP]</t>
        </is>
      </c>
      <c r="B30" s="604" t="inlineStr">
        <is>
          <t>ESG Tables</t>
        </is>
      </c>
      <c r="C30" s="188" t="inlineStr">
        <is>
          <t>Heures de formation par ETP et par an</t>
        </is>
      </c>
      <c r="D30" s="189" t="inlineStr">
        <is>
          <t>[MESG_HFormation_ETP] =
DIVIDE(
    SUMX('ESG_DIVERSITE_TABLE_S3',
        'ESG_DIVERSITE_TABLE_S3'[H_Form_ETP]
        * RELATED('ESG_DIVERSITE_TABLE_S1'[ETP_Total])
    ),
    [MESG_ETP_Total_Groupe],
    BLANK()
)
// Moyenne pondérée par effectif</t>
        </is>
      </c>
      <c r="E30" s="604" t="inlineStr">
        <is>
          <t>ESRS S1-13 §91</t>
        </is>
      </c>
    </row>
    <row r="31" ht="108.75" customHeight="1" s="500">
      <c r="A31" s="187" t="inlineStr">
        <is>
          <t>[MESG_ChargesPersonnel_ETP]</t>
        </is>
      </c>
      <c r="B31" s="604" t="inlineStr">
        <is>
          <t>ESG Tables</t>
        </is>
      </c>
      <c r="C31" s="188" t="inlineStr">
        <is>
          <t>Charges de personnel par ETP (k€ / ETP) – lien IFRS 18</t>
        </is>
      </c>
      <c r="D31" s="189" t="inlineStr">
        <is>
          <t>[MESG_ChargesPersonnel_ETP] =
DIVIDE(
    ABS([M_CA_Groupe] * 0.22),  // Proxy : 22% du CA = charges personnel
    // Remplacer par : ABS(CALCULATE(SUM('Balances_PQ'[MontantEUR]),
    //   'Balances_PQ'[PosteGroupeIFRS18]="Charges de personnel")),
    [MESG_ETP_Total_Groupe],
    BLANK()
)
// Indicateur d'efficacité RH · Lié ① Exploitation IFRS 18</t>
        </is>
      </c>
      <c r="E31" s="604" t="inlineStr">
        <is>
          <t>ESRS S1 · IFRS 18 §55</t>
        </is>
      </c>
    </row>
    <row r="32">
      <c r="A32" s="184" t="n"/>
      <c r="B32" s="184" t="n"/>
      <c r="C32" s="184" t="n"/>
      <c r="D32" s="184" t="n"/>
      <c r="E32" s="184" t="n"/>
    </row>
    <row r="33" ht="315" customHeight="1" s="500">
      <c r="A33" s="608" t="inlineStr">
        <is>
          <t>// ════════════════════════════════════════════════════════════
// GROUPE G1 – GOUVERNANCE
// ════════════════════════════════════════════════════════════</t>
        </is>
      </c>
    </row>
    <row r="34">
      <c r="A34" s="186" t="inlineStr">
        <is>
          <t>Nom Mesure</t>
        </is>
      </c>
      <c r="B34" s="186" t="inlineStr">
        <is>
          <t>Table</t>
        </is>
      </c>
      <c r="C34" s="186" t="inlineStr">
        <is>
          <t>Description</t>
        </is>
      </c>
      <c r="D34" s="186" t="inlineStr">
        <is>
          <t>Code DAX</t>
        </is>
      </c>
      <c r="E34" s="186" t="inlineStr">
        <is>
          <t>Norme / Référence</t>
        </is>
      </c>
    </row>
    <row r="35" ht="84.75" customHeight="1" s="500">
      <c r="A35" s="187" t="inlineStr">
        <is>
          <t>[MESG_Pct_Femmes_CA]</t>
        </is>
      </c>
      <c r="B35" s="604" t="inlineStr">
        <is>
          <t>ESG Tables</t>
        </is>
      </c>
      <c r="C35" s="188" t="inlineStr">
        <is>
          <t>Part des femmes au Conseil d'Administration (%)</t>
        </is>
      </c>
      <c r="D35" s="189" t="inlineStr">
        <is>
          <t>[MESG_Pct_Femmes_CA] =
DIVIDE(
    MAX('ESG_DIVERSITE_TABLE_G1'[Femmes_CA]),
    MAX('ESG_DIVERSITE_TABLE_G1'[Membres_CA]),
    BLANK()
)
// Objectif réglementaire FR : 40% dès 2027 (Loi Rixain)</t>
        </is>
      </c>
      <c r="E35" s="604" t="inlineStr">
        <is>
          <t>ESRS G1-1 §29</t>
        </is>
      </c>
    </row>
    <row r="36" ht="24.75" customHeight="1" s="500">
      <c r="A36" s="187" t="inlineStr">
        <is>
          <t>[MESG_Pct_Fournisseurs_ESG]</t>
        </is>
      </c>
      <c r="B36" s="604" t="inlineStr">
        <is>
          <t>ESG Tables</t>
        </is>
      </c>
      <c r="C36" s="188" t="inlineStr">
        <is>
          <t>% fournisseurs évalués ESG (par volume achats)</t>
        </is>
      </c>
      <c r="D36" s="189" t="inlineStr">
        <is>
          <t>[MESG_Pct_Fournisseurs_ESG] =
MAX('ESG_DIVERSITE_TABLE_G1'[Fournisseurs_Évalués_Pct])</t>
        </is>
      </c>
      <c r="E36" s="604" t="inlineStr">
        <is>
          <t>ESRS G1-2 §35</t>
        </is>
      </c>
    </row>
    <row r="37" ht="60.75" customHeight="1" s="500">
      <c r="A37" s="187" t="inlineStr">
        <is>
          <t>[MESG_ETR_vs_Légal]</t>
        </is>
      </c>
      <c r="B37" s="604" t="inlineStr">
        <is>
          <t>ESG Tables</t>
        </is>
      </c>
      <c r="C37" s="188" t="inlineStr">
        <is>
          <t>Écart ETR effectif vs taux légal nominal FR (25%)</t>
        </is>
      </c>
      <c r="D37" s="189" t="inlineStr">
        <is>
          <t>[MESG_ETR_vs_Légal] =
[M_TauxIS_Effectif] - 0.25
// Négatif = optimisation fiscale
// Positif = surcharge (crédits d'impôt, hybrides)
// ESRS G1 : divulgation exigée si écart &gt; 5pts</t>
        </is>
      </c>
      <c r="E37" s="604" t="inlineStr">
        <is>
          <t>ESRS G1 §43 · IAS 12 §81(c)</t>
        </is>
      </c>
    </row>
    <row r="38">
      <c r="A38" s="184" t="n"/>
      <c r="B38" s="184" t="n"/>
      <c r="C38" s="184" t="n"/>
      <c r="D38" s="184" t="n"/>
      <c r="E38" s="184" t="n"/>
    </row>
    <row r="39" ht="360" customHeight="1" s="500">
      <c r="A39" s="601" t="inlineStr">
        <is>
          <t>// ════════════════════════════════════════════════════════════
// GROUPE MESG_CROSS – MESURES CROISÉES ESG × FINANCIER
// ════════════════════════════════════════════════════════════</t>
        </is>
      </c>
    </row>
    <row r="40">
      <c r="A40" s="186" t="inlineStr">
        <is>
          <t>Nom Mesure</t>
        </is>
      </c>
      <c r="B40" s="186" t="inlineStr">
        <is>
          <t>Table</t>
        </is>
      </c>
      <c r="C40" s="186" t="inlineStr">
        <is>
          <t>Description</t>
        </is>
      </c>
      <c r="D40" s="186" t="inlineStr">
        <is>
          <t>Code DAX</t>
        </is>
      </c>
      <c r="E40" s="186" t="inlineStr">
        <is>
          <t>Norme / Référence</t>
        </is>
      </c>
    </row>
    <row r="41" ht="180.75" customHeight="1" s="500">
      <c r="A41" s="187" t="inlineStr">
        <is>
          <t>[MESG_Score_E_Synthèse]</t>
        </is>
      </c>
      <c r="B41" s="604" t="inlineStr">
        <is>
          <t>ESG Tables</t>
        </is>
      </c>
      <c r="C41" s="188" t="inlineStr">
        <is>
          <t>Score Environnement synthétique (0-100) – pondération 5 KPIs</t>
        </is>
      </c>
      <c r="D41" s="189" t="inlineStr">
        <is>
          <t>[MESG_Score_E_Synthèse] =
VAR Pts_Scope12 =
    MIN(1, 1 - DIVIDE(
        [MESG_Scope12_Groupe] - 81500,
        168000 - 81500, 0)) * 30  // 30 pts max (poids fort)
VAR Pts_EnR =
    [MESG_Part_EnR_Groupe] * 20  // 20 pts max
VAR Pts_Intensité =
    MAX(0, MIN(1, 1 - DIVIDE(
        [MESG_Intensité_Carbone] - 60, 140 - 60, 0))) * 25  // 25 pts
VAR Pts_Déchets =
    AVERAGE('ESG_DATA_TABLE'[Pct_Valorisation_Déchets]) * 15  // 15 pts
VAR Pts_Eau = 10  // 10 pts fixe (à enrichir avec données eau)
RETURN ROUND(Pts_Scope12 + Pts_EnR + Pts_Intensité + Pts_Déchets + Pts_Eau, 1)</t>
        </is>
      </c>
      <c r="E41" s="604" t="inlineStr">
        <is>
          <t>Score propriétaire – Benchmarkable CSRD</t>
        </is>
      </c>
    </row>
    <row r="42" ht="156.75" customHeight="1" s="500">
      <c r="A42" s="187" t="inlineStr">
        <is>
          <t>[MESG_Score_S_Synthèse]</t>
        </is>
      </c>
      <c r="B42" s="604" t="inlineStr">
        <is>
          <t>ESG Tables</t>
        </is>
      </c>
      <c r="C42" s="188" t="inlineStr">
        <is>
          <t>Score Social synthétique (0-100) – pondération 5 KPIs</t>
        </is>
      </c>
      <c r="D42" s="189" t="inlineStr">
        <is>
          <t>[MESG_Score_S_Synthèse] =
VAR Pts_Parité =
    MIN(1, [MESG_Pct_Femmes_Groupe] / 0.50) * 20
VAR Pts_ParitéDir =
    MIN(1, [MESG_Pct_Femmes_Dirigeantes] / 0.45) * 20
VAR Pts_TRIR =
    MAX(0, MIN(1, 1 - DIVIDE([MESG_TRIR_Groupe] - 1, 5 - 1, 0))) * 25
VAR Pts_Formation =
    MIN(1, [MESG_HFormation_ETP] / 60) * 20
VAR Pts_ÉcartSal =
    MAX(0, MIN(1, 1 - ABS([MESG_Écart_Sal_HF_Moyen]) / 0.20)) * 15
RETURN ROUND(Pts_Parité + Pts_ParitéDir + Pts_TRIR + Pts_Formation + Pts_ÉcartSal, 1)</t>
        </is>
      </c>
      <c r="E42" s="604" t="inlineStr">
        <is>
          <t>Score propriétaire – ESRS S1</t>
        </is>
      </c>
    </row>
    <row r="43" ht="156.75" customHeight="1" s="500">
      <c r="A43" s="187" t="inlineStr">
        <is>
          <t>[MESG_Score_G_Synthèse]</t>
        </is>
      </c>
      <c r="B43" s="604" t="inlineStr">
        <is>
          <t>ESG Tables</t>
        </is>
      </c>
      <c r="C43" s="188" t="inlineStr">
        <is>
          <t>Score Gouvernance synthétique (0-100)</t>
        </is>
      </c>
      <c r="D43" s="189" t="inlineStr">
        <is>
          <t>[MESG_Score_G_Synthèse] =
VAR Pts_ParitéCA =
    MIN(1, [MESG_Pct_Femmes_CA] / 0.40) * 30
VAR Pts_Indép =
    MIN(1, MAX('ESG_DIVERSITE_TABLE_G1'[Pct_Indépendants]) / 0.60) * 20
VAR Pts_Corruption =
    IF(MAX('ESG_DIVERSITE_TABLE_G1'[Incidents_Corruption]) = 0, 25, 10)
VAR Pts_Fournisseurs =
    MIN(1, [MESG_Pct_Fournisseurs_ESG] / 0.80) * 15
VAR Pts_ETR =
    IF(ABS([MESG_ETR_vs_Légal]) &lt; 0.05, 10, 5)
RETURN ROUND(Pts_ParitéCA + Pts_Indép + Pts_Corruption + Pts_Fournisseurs + Pts_ETR, 1)</t>
        </is>
      </c>
      <c r="E43" s="604" t="inlineStr">
        <is>
          <t>Score propriétaire – ESRS G1</t>
        </is>
      </c>
    </row>
    <row r="44" ht="72.75" customHeight="1" s="500">
      <c r="A44" s="187" t="inlineStr">
        <is>
          <t>[MESG_Score_ESG_Global]</t>
        </is>
      </c>
      <c r="B44" s="604" t="inlineStr">
        <is>
          <t>ESG Tables</t>
        </is>
      </c>
      <c r="C44" s="188" t="inlineStr">
        <is>
          <t>Score ESG global pondéré (E:40% · S:35% · G:25%)</t>
        </is>
      </c>
      <c r="D44" s="189" t="inlineStr">
        <is>
          <t>[MESG_Score_ESG_Global] =
[MESG_Score_E_Synthèse] * 0.40
+ [MESG_Score_S_Synthèse] * 0.35
+ [MESG_Score_G_Synthèse] * 0.25
// Pondérations CSRD : E &gt; S &gt; G (matérialité double)
// Recalibrer les poids selon secteur (ESRS SSRF)</t>
        </is>
      </c>
      <c r="E44" s="604" t="inlineStr">
        <is>
          <t>ESRS SSRF · Double matérialité</t>
        </is>
      </c>
    </row>
    <row r="45" ht="60.75" customHeight="1" s="500">
      <c r="A45" s="187" t="inlineStr">
        <is>
          <t>[MESG_ESG_vs_Benchmark]</t>
        </is>
      </c>
      <c r="B45" s="604" t="inlineStr">
        <is>
          <t>ESG Tables</t>
        </is>
      </c>
      <c r="C45" s="188" t="inlineStr">
        <is>
          <t>Score ESG vs benchmark sectoriel (65/100)</t>
        </is>
      </c>
      <c r="D45" s="189" t="inlineStr">
        <is>
          <t>[MESG_ESG_vs_Benchmark] =
VAR Benchmark = 65  // Score sectoriel moyen – à mettre à jour
RETURN [MESG_Score_ESG_Global] - Benchmark
// Positif = meilleur que le secteur
// Négatif = sous la moyenne sectorielle</t>
        </is>
      </c>
      <c r="E45" s="604" t="inlineStr">
        <is>
          <t>Positionnement CSRD</t>
        </is>
      </c>
    </row>
    <row r="46" ht="156.75" customHeight="1" s="500">
      <c r="A46" s="187" t="inlineStr">
        <is>
          <t>[MESG_CAPEX_Vert_Pct]</t>
        </is>
      </c>
      <c r="B46" s="604" t="inlineStr">
        <is>
          <t>ESG Tables</t>
        </is>
      </c>
      <c r="C46" s="188" t="inlineStr">
        <is>
          <t>% CAPEX alloués à la transition environnementale</t>
        </is>
      </c>
      <c r="D46" s="189" t="inlineStr">
        <is>
          <t>[MESG_CAPEX_Vert_Pct] =
// Renseigner CAPEXVert_kEUR dans la table des projets d'investissement
// Proxy = part investissements énergie renouvelable + efficiency
DIVIDE(
    CALCULATE(
        ABS(SUM('Balances_PQ'[MontantEUR])),
        'Balances_PQ'[PosteGroupeIFRS18] = "PP&amp;E",
        'Balances_PQ'[NormeRef] = "Taxonomie UE"  // Tagger les investissements
    ),
    ABS([M_FCF_Exploitation]),
    BLANK()
)</t>
        </is>
      </c>
      <c r="E46" s="604" t="inlineStr">
        <is>
          <t>ESRS E1 · Taxonomie UE art. 8</t>
        </is>
      </c>
    </row>
    <row r="47">
      <c r="A47" s="184" t="n"/>
      <c r="B47" s="184" t="n"/>
      <c r="C47" s="184" t="n"/>
      <c r="D47" s="184" t="n"/>
      <c r="E47" s="184" t="n"/>
    </row>
    <row r="48" ht="375" customHeight="1" s="500">
      <c r="A48" s="602" t="inlineStr">
        <is>
          <t>// ════════════════════════════════════════════════════════════
// GROUPE MESG_TABLE – TABLE DE SYNTHÈSE POUR DASHBOARDS
// ════════════════════════════════════════════════════════════</t>
        </is>
      </c>
    </row>
    <row r="49">
      <c r="A49" s="186" t="inlineStr">
        <is>
          <t>Nom Mesure</t>
        </is>
      </c>
      <c r="B49" s="186" t="inlineStr">
        <is>
          <t>Table</t>
        </is>
      </c>
      <c r="C49" s="186" t="inlineStr">
        <is>
          <t>Description</t>
        </is>
      </c>
      <c r="D49" s="186" t="inlineStr">
        <is>
          <t>Code DAX</t>
        </is>
      </c>
      <c r="E49" s="186" t="inlineStr">
        <is>
          <t>Norme / Référence</t>
        </is>
      </c>
    </row>
    <row r="50" ht="120.75" customHeight="1" s="500">
      <c r="A50" s="187" t="inlineStr">
        <is>
          <t>[MESG_KPI_Table_E]</t>
        </is>
      </c>
      <c r="B50" s="604" t="inlineStr">
        <is>
          <t>ESG Tables</t>
        </is>
      </c>
      <c r="C50" s="188" t="inlineStr">
        <is>
          <t>Table virtuelle KPIs Environnement pour visuels Power BI / Excel</t>
        </is>
      </c>
      <c r="D50" s="189" t="inlineStr">
        <is>
          <t>// Utilisez SUMMARIZECOLUMNS pour créer une table de KPIs ESG
// Exemple dans Power BI :
//   KPI_ESG_E =
//   ROW("Scope12", [MESG_Scope12_Groupe],
//       "Intensité", [MESG_Intensité_Carbone],
//       "Part_EnR", [MESG_Part_EnR_Groupe],
//       "Score_E", [MESG_Score_E_Synthèse])
//
// Dans Excel Power Pivot, utiliser CUBEVALUE() pour extraire chaque mesure</t>
        </is>
      </c>
      <c r="E50" s="604" t="inlineStr">
        <is>
          <t>Power BI / Tableau / Excel Cube</t>
        </is>
      </c>
    </row>
    <row r="51">
      <c r="A51" s="184" t="n"/>
      <c r="B51" s="184" t="n"/>
      <c r="C51" s="184" t="n"/>
      <c r="D51" s="184" t="n"/>
      <c r="E51" s="184" t="n"/>
    </row>
    <row r="52">
      <c r="A52" s="184" t="n"/>
      <c r="B52" s="184" t="n"/>
      <c r="C52" s="184" t="n"/>
      <c r="D52" s="184" t="n"/>
      <c r="E52" s="184" t="n"/>
    </row>
    <row r="53">
      <c r="A53" s="184" t="n"/>
      <c r="B53" s="184" t="n"/>
      <c r="C53" s="184" t="n"/>
      <c r="D53" s="184" t="n"/>
      <c r="E53" s="184" t="n"/>
    </row>
    <row r="54">
      <c r="A54" s="184" t="n"/>
      <c r="B54" s="184" t="n"/>
      <c r="C54" s="184" t="n"/>
      <c r="D54" s="184" t="n"/>
      <c r="E54" s="184" t="n"/>
    </row>
    <row r="55">
      <c r="A55" s="184" t="n"/>
      <c r="B55" s="184" t="n"/>
      <c r="C55" s="184" t="n"/>
      <c r="D55" s="184" t="n"/>
      <c r="E55" s="184" t="n"/>
    </row>
    <row r="56">
      <c r="A56" s="184" t="n"/>
      <c r="B56" s="184" t="n"/>
      <c r="C56" s="184" t="n"/>
      <c r="D56" s="184" t="n"/>
      <c r="E56" s="184" t="n"/>
    </row>
    <row r="57">
      <c r="A57" s="184" t="n"/>
      <c r="B57" s="184" t="n"/>
      <c r="C57" s="184" t="n"/>
      <c r="D57" s="184" t="n"/>
      <c r="E57" s="184" t="n"/>
    </row>
    <row r="58">
      <c r="A58" s="184" t="n"/>
      <c r="B58" s="184" t="n"/>
      <c r="C58" s="184" t="n"/>
      <c r="D58" s="184" t="n"/>
      <c r="E58" s="184" t="n"/>
    </row>
    <row r="59">
      <c r="A59" s="184" t="n"/>
      <c r="B59" s="184" t="n"/>
      <c r="C59" s="184" t="n"/>
      <c r="D59" s="184" t="n"/>
      <c r="E59" s="184" t="n"/>
    </row>
    <row r="60">
      <c r="A60" s="184" t="n"/>
      <c r="B60" s="184" t="n"/>
      <c r="C60" s="184" t="n"/>
      <c r="D60" s="184" t="n"/>
      <c r="E60" s="184" t="n"/>
    </row>
    <row r="61">
      <c r="A61" s="184" t="n"/>
      <c r="B61" s="184" t="n"/>
      <c r="C61" s="184" t="n"/>
      <c r="D61" s="184" t="n"/>
      <c r="E61" s="184" t="n"/>
    </row>
    <row r="62">
      <c r="A62" s="184" t="n"/>
      <c r="B62" s="184" t="n"/>
      <c r="C62" s="184" t="n"/>
      <c r="D62" s="184" t="n"/>
      <c r="E62" s="184" t="n"/>
    </row>
    <row r="63">
      <c r="A63" s="184" t="n"/>
      <c r="B63" s="184" t="n"/>
      <c r="C63" s="184" t="n"/>
      <c r="D63" s="184" t="n"/>
      <c r="E63" s="184" t="n"/>
    </row>
    <row r="64">
      <c r="A64" s="184" t="n"/>
      <c r="B64" s="184" t="n"/>
      <c r="C64" s="184" t="n"/>
      <c r="D64" s="184" t="n"/>
      <c r="E64" s="184" t="n"/>
    </row>
    <row r="65">
      <c r="A65" s="184" t="n"/>
      <c r="B65" s="184" t="n"/>
      <c r="C65" s="184" t="n"/>
      <c r="D65" s="184" t="n"/>
      <c r="E65" s="184" t="n"/>
    </row>
    <row r="66">
      <c r="A66" s="184" t="n"/>
      <c r="B66" s="184" t="n"/>
      <c r="C66" s="184" t="n"/>
      <c r="D66" s="184" t="n"/>
      <c r="E66" s="184" t="n"/>
    </row>
    <row r="67">
      <c r="A67" s="184" t="n"/>
      <c r="B67" s="184" t="n"/>
      <c r="C67" s="184" t="n"/>
      <c r="D67" s="184" t="n"/>
      <c r="E67" s="184" t="n"/>
    </row>
    <row r="68">
      <c r="A68" s="184" t="n"/>
      <c r="B68" s="184" t="n"/>
      <c r="C68" s="184" t="n"/>
      <c r="D68" s="184" t="n"/>
      <c r="E68" s="184" t="n"/>
    </row>
    <row r="69">
      <c r="A69" s="184" t="n"/>
      <c r="B69" s="184" t="n"/>
      <c r="C69" s="184" t="n"/>
      <c r="D69" s="184" t="n"/>
      <c r="E69" s="184" t="n"/>
    </row>
    <row r="70">
      <c r="A70" s="184" t="n"/>
      <c r="B70" s="184" t="n"/>
      <c r="C70" s="184" t="n"/>
      <c r="D70" s="184" t="n"/>
      <c r="E70" s="184" t="n"/>
    </row>
    <row r="71">
      <c r="A71" s="184" t="n"/>
      <c r="B71" s="184" t="n"/>
      <c r="C71" s="184" t="n"/>
      <c r="D71" s="184" t="n"/>
      <c r="E71" s="184" t="n"/>
    </row>
    <row r="72">
      <c r="A72" s="184" t="n"/>
      <c r="B72" s="184" t="n"/>
      <c r="C72" s="184" t="n"/>
      <c r="D72" s="184" t="n"/>
      <c r="E72" s="184" t="n"/>
    </row>
    <row r="73">
      <c r="A73" s="184" t="n"/>
      <c r="B73" s="184" t="n"/>
      <c r="C73" s="184" t="n"/>
      <c r="D73" s="184" t="n"/>
      <c r="E73" s="184" t="n"/>
    </row>
    <row r="74">
      <c r="A74" s="184" t="n"/>
      <c r="B74" s="184" t="n"/>
      <c r="C74" s="184" t="n"/>
      <c r="D74" s="184" t="n"/>
      <c r="E74" s="184" t="n"/>
    </row>
    <row r="75">
      <c r="A75" s="184" t="n"/>
      <c r="B75" s="184" t="n"/>
      <c r="C75" s="184" t="n"/>
      <c r="D75" s="184" t="n"/>
      <c r="E75" s="184" t="n"/>
    </row>
    <row r="76">
      <c r="A76" s="184" t="n"/>
      <c r="B76" s="184" t="n"/>
      <c r="C76" s="184" t="n"/>
      <c r="D76" s="184" t="n"/>
      <c r="E76" s="184" t="n"/>
    </row>
    <row r="77">
      <c r="A77" s="184" t="n"/>
      <c r="B77" s="184" t="n"/>
      <c r="C77" s="184" t="n"/>
      <c r="D77" s="184" t="n"/>
      <c r="E77" s="184" t="n"/>
    </row>
    <row r="78">
      <c r="A78" s="184" t="n"/>
      <c r="B78" s="184" t="n"/>
      <c r="C78" s="184" t="n"/>
      <c r="D78" s="184" t="n"/>
      <c r="E78" s="184" t="n"/>
    </row>
    <row r="79">
      <c r="A79" s="184" t="n"/>
      <c r="B79" s="184" t="n"/>
      <c r="C79" s="184" t="n"/>
      <c r="D79" s="184" t="n"/>
      <c r="E79" s="184" t="n"/>
    </row>
    <row r="80">
      <c r="A80" s="184" t="n"/>
      <c r="B80" s="184" t="n"/>
      <c r="C80" s="184" t="n"/>
      <c r="D80" s="184" t="n"/>
      <c r="E80" s="184" t="n"/>
    </row>
    <row r="81">
      <c r="A81" s="184" t="n"/>
      <c r="B81" s="184" t="n"/>
      <c r="C81" s="184" t="n"/>
      <c r="D81" s="184" t="n"/>
      <c r="E81" s="184" t="n"/>
    </row>
    <row r="82">
      <c r="A82" s="184" t="n"/>
      <c r="B82" s="184" t="n"/>
      <c r="C82" s="184" t="n"/>
      <c r="D82" s="184" t="n"/>
      <c r="E82" s="184" t="n"/>
    </row>
    <row r="83">
      <c r="A83" s="184" t="n"/>
      <c r="B83" s="184" t="n"/>
      <c r="C83" s="184" t="n"/>
      <c r="D83" s="184" t="n"/>
      <c r="E83" s="184" t="n"/>
    </row>
    <row r="84">
      <c r="A84" s="184" t="n"/>
      <c r="B84" s="184" t="n"/>
      <c r="C84" s="184" t="n"/>
      <c r="D84" s="184" t="n"/>
      <c r="E84" s="184" t="n"/>
    </row>
    <row r="85">
      <c r="A85" s="184" t="n"/>
      <c r="B85" s="184" t="n"/>
      <c r="C85" s="184" t="n"/>
      <c r="D85" s="184" t="n"/>
      <c r="E85" s="184" t="n"/>
    </row>
    <row r="86">
      <c r="A86" s="184" t="n"/>
      <c r="B86" s="184" t="n"/>
      <c r="C86" s="184" t="n"/>
      <c r="D86" s="184" t="n"/>
      <c r="E86" s="184" t="n"/>
    </row>
    <row r="87">
      <c r="A87" s="184" t="n"/>
      <c r="B87" s="184" t="n"/>
      <c r="C87" s="184" t="n"/>
      <c r="D87" s="184" t="n"/>
      <c r="E87" s="184" t="n"/>
    </row>
    <row r="88">
      <c r="A88" s="184" t="n"/>
      <c r="B88" s="184" t="n"/>
      <c r="C88" s="184" t="n"/>
      <c r="D88" s="184" t="n"/>
      <c r="E88" s="184" t="n"/>
    </row>
    <row r="89">
      <c r="A89" s="184" t="n"/>
      <c r="B89" s="184" t="n"/>
      <c r="C89" s="184" t="n"/>
      <c r="D89" s="184" t="n"/>
      <c r="E89" s="184" t="n"/>
    </row>
    <row r="90">
      <c r="A90" s="184" t="n"/>
      <c r="B90" s="184" t="n"/>
      <c r="C90" s="184" t="n"/>
      <c r="D90" s="184" t="n"/>
      <c r="E90" s="184" t="n"/>
    </row>
    <row r="91">
      <c r="A91" s="184" t="n"/>
      <c r="B91" s="184" t="n"/>
      <c r="C91" s="184" t="n"/>
      <c r="D91" s="184" t="n"/>
      <c r="E91" s="184" t="n"/>
    </row>
    <row r="92">
      <c r="A92" s="184" t="n"/>
      <c r="B92" s="184" t="n"/>
      <c r="C92" s="184" t="n"/>
      <c r="D92" s="184" t="n"/>
      <c r="E92" s="184" t="n"/>
    </row>
    <row r="93">
      <c r="A93" s="184" t="n"/>
      <c r="B93" s="184" t="n"/>
      <c r="C93" s="184" t="n"/>
      <c r="D93" s="184" t="n"/>
      <c r="E93" s="184" t="n"/>
    </row>
    <row r="94">
      <c r="A94" s="184" t="n"/>
      <c r="B94" s="184" t="n"/>
      <c r="C94" s="184" t="n"/>
      <c r="D94" s="184" t="n"/>
      <c r="E94" s="184" t="n"/>
    </row>
    <row r="95">
      <c r="A95" s="184" t="n"/>
      <c r="B95" s="184" t="n"/>
      <c r="C95" s="184" t="n"/>
      <c r="D95" s="184" t="n"/>
      <c r="E95" s="184" t="n"/>
    </row>
    <row r="96">
      <c r="A96" s="184" t="n"/>
      <c r="B96" s="184" t="n"/>
      <c r="C96" s="184" t="n"/>
      <c r="D96" s="184" t="n"/>
      <c r="E96" s="184" t="n"/>
    </row>
    <row r="97">
      <c r="A97" s="184" t="n"/>
      <c r="B97" s="184" t="n"/>
      <c r="C97" s="184" t="n"/>
      <c r="D97" s="184" t="n"/>
      <c r="E97" s="184" t="n"/>
    </row>
    <row r="98">
      <c r="A98" s="184" t="n"/>
      <c r="B98" s="184" t="n"/>
      <c r="C98" s="184" t="n"/>
      <c r="D98" s="184" t="n"/>
      <c r="E98" s="184" t="n"/>
    </row>
    <row r="99">
      <c r="A99" s="184" t="n"/>
      <c r="B99" s="184" t="n"/>
      <c r="C99" s="184" t="n"/>
      <c r="D99" s="184" t="n"/>
      <c r="E99" s="184" t="n"/>
    </row>
    <row r="100">
      <c r="A100" s="184" t="n"/>
      <c r="B100" s="184" t="n"/>
      <c r="C100" s="184" t="n"/>
      <c r="D100" s="184" t="n"/>
      <c r="E100" s="184" t="n"/>
    </row>
    <row r="101">
      <c r="A101" s="184" t="n"/>
      <c r="B101" s="184" t="n"/>
      <c r="C101" s="184" t="n"/>
      <c r="D101" s="184" t="n"/>
      <c r="E101" s="184" t="n"/>
    </row>
    <row r="102">
      <c r="A102" s="184" t="n"/>
      <c r="B102" s="184" t="n"/>
      <c r="C102" s="184" t="n"/>
      <c r="D102" s="184" t="n"/>
      <c r="E102" s="184" t="n"/>
    </row>
    <row r="103">
      <c r="A103" s="184" t="n"/>
      <c r="B103" s="184" t="n"/>
      <c r="C103" s="184" t="n"/>
      <c r="D103" s="184" t="n"/>
      <c r="E103" s="184" t="n"/>
    </row>
    <row r="104">
      <c r="A104" s="184" t="n"/>
      <c r="B104" s="184" t="n"/>
      <c r="C104" s="184" t="n"/>
      <c r="D104" s="184" t="n"/>
      <c r="E104" s="184" t="n"/>
    </row>
    <row r="105">
      <c r="A105" s="184" t="n"/>
      <c r="B105" s="184" t="n"/>
      <c r="C105" s="184" t="n"/>
      <c r="D105" s="184" t="n"/>
      <c r="E105" s="184" t="n"/>
    </row>
    <row r="106">
      <c r="A106" s="184" t="n"/>
      <c r="B106" s="184" t="n"/>
      <c r="C106" s="184" t="n"/>
      <c r="D106" s="184" t="n"/>
      <c r="E106" s="184" t="n"/>
    </row>
    <row r="107">
      <c r="A107" s="184" t="n"/>
      <c r="B107" s="184" t="n"/>
      <c r="C107" s="184" t="n"/>
      <c r="D107" s="184" t="n"/>
      <c r="E107" s="184" t="n"/>
    </row>
    <row r="108">
      <c r="A108" s="184" t="n"/>
      <c r="B108" s="184" t="n"/>
      <c r="C108" s="184" t="n"/>
      <c r="D108" s="184" t="n"/>
      <c r="E108" s="184" t="n"/>
    </row>
    <row r="109">
      <c r="A109" s="184" t="n"/>
      <c r="B109" s="184" t="n"/>
      <c r="C109" s="184" t="n"/>
      <c r="D109" s="184" t="n"/>
      <c r="E109" s="184" t="n"/>
    </row>
    <row r="110">
      <c r="A110" s="184" t="n"/>
      <c r="B110" s="184" t="n"/>
      <c r="C110" s="184" t="n"/>
      <c r="D110" s="184" t="n"/>
      <c r="E110" s="184" t="n"/>
    </row>
    <row r="111">
      <c r="A111" s="184" t="n"/>
      <c r="B111" s="184" t="n"/>
      <c r="C111" s="184" t="n"/>
      <c r="D111" s="184" t="n"/>
      <c r="E111" s="184" t="n"/>
    </row>
    <row r="112">
      <c r="A112" s="184" t="n"/>
      <c r="B112" s="184" t="n"/>
      <c r="C112" s="184" t="n"/>
      <c r="D112" s="184" t="n"/>
      <c r="E112" s="184" t="n"/>
    </row>
    <row r="113">
      <c r="A113" s="184" t="n"/>
      <c r="B113" s="184" t="n"/>
      <c r="C113" s="184" t="n"/>
      <c r="D113" s="184" t="n"/>
      <c r="E113" s="184" t="n"/>
    </row>
    <row r="114">
      <c r="A114" s="184" t="n"/>
      <c r="B114" s="184" t="n"/>
      <c r="C114" s="184" t="n"/>
      <c r="D114" s="184" t="n"/>
      <c r="E114" s="184" t="n"/>
    </row>
    <row r="115">
      <c r="A115" s="184" t="n"/>
      <c r="B115" s="184" t="n"/>
      <c r="C115" s="184" t="n"/>
      <c r="D115" s="184" t="n"/>
      <c r="E115" s="184" t="n"/>
    </row>
    <row r="116">
      <c r="A116" s="184" t="n"/>
      <c r="B116" s="184" t="n"/>
      <c r="C116" s="184" t="n"/>
      <c r="D116" s="184" t="n"/>
      <c r="E116" s="184" t="n"/>
    </row>
    <row r="117">
      <c r="A117" s="184" t="n"/>
      <c r="B117" s="184" t="n"/>
      <c r="C117" s="184" t="n"/>
      <c r="D117" s="184" t="n"/>
      <c r="E117" s="184" t="n"/>
    </row>
    <row r="118">
      <c r="A118" s="184" t="n"/>
      <c r="B118" s="184" t="n"/>
      <c r="C118" s="184" t="n"/>
      <c r="D118" s="184" t="n"/>
      <c r="E118" s="184" t="n"/>
    </row>
    <row r="119">
      <c r="A119" s="184" t="n"/>
      <c r="B119" s="184" t="n"/>
      <c r="C119" s="184" t="n"/>
      <c r="D119" s="184" t="n"/>
      <c r="E119" s="184" t="n"/>
    </row>
    <row r="120">
      <c r="A120" s="184" t="n"/>
      <c r="B120" s="184" t="n"/>
      <c r="C120" s="184" t="n"/>
      <c r="D120" s="184" t="n"/>
      <c r="E120" s="184" t="n"/>
    </row>
    <row r="121">
      <c r="A121" s="184" t="n"/>
      <c r="B121" s="184" t="n"/>
      <c r="C121" s="184" t="n"/>
      <c r="D121" s="184" t="n"/>
      <c r="E121" s="184" t="n"/>
    </row>
    <row r="122">
      <c r="A122" s="184" t="n"/>
      <c r="B122" s="184" t="n"/>
      <c r="C122" s="184" t="n"/>
      <c r="D122" s="184" t="n"/>
      <c r="E122" s="184" t="n"/>
    </row>
    <row r="123">
      <c r="A123" s="184" t="n"/>
      <c r="B123" s="184" t="n"/>
      <c r="C123" s="184" t="n"/>
      <c r="D123" s="184" t="n"/>
      <c r="E123" s="184" t="n"/>
    </row>
    <row r="124">
      <c r="A124" s="184" t="n"/>
      <c r="B124" s="184" t="n"/>
      <c r="C124" s="184" t="n"/>
      <c r="D124" s="184" t="n"/>
      <c r="E124" s="184" t="n"/>
    </row>
    <row r="125">
      <c r="A125" s="184" t="n"/>
      <c r="B125" s="184" t="n"/>
      <c r="C125" s="184" t="n"/>
      <c r="D125" s="184" t="n"/>
      <c r="E125" s="184" t="n"/>
    </row>
    <row r="126">
      <c r="A126" s="184" t="n"/>
      <c r="B126" s="184" t="n"/>
      <c r="C126" s="184" t="n"/>
      <c r="D126" s="184" t="n"/>
      <c r="E126" s="184" t="n"/>
    </row>
    <row r="127">
      <c r="A127" s="184" t="n"/>
      <c r="B127" s="184" t="n"/>
      <c r="C127" s="184" t="n"/>
      <c r="D127" s="184" t="n"/>
      <c r="E127" s="184" t="n"/>
    </row>
    <row r="128">
      <c r="A128" s="184" t="n"/>
      <c r="B128" s="184" t="n"/>
      <c r="C128" s="184" t="n"/>
      <c r="D128" s="184" t="n"/>
      <c r="E128" s="184" t="n"/>
    </row>
    <row r="129">
      <c r="A129" s="184" t="n"/>
      <c r="B129" s="184" t="n"/>
      <c r="C129" s="184" t="n"/>
      <c r="D129" s="184" t="n"/>
      <c r="E129" s="184" t="n"/>
    </row>
    <row r="130">
      <c r="A130" s="184" t="n"/>
      <c r="B130" s="184" t="n"/>
      <c r="C130" s="184" t="n"/>
      <c r="D130" s="184" t="n"/>
      <c r="E130" s="184" t="n"/>
    </row>
    <row r="131">
      <c r="A131" s="184" t="n"/>
      <c r="B131" s="184" t="n"/>
      <c r="C131" s="184" t="n"/>
      <c r="D131" s="184" t="n"/>
      <c r="E131" s="184" t="n"/>
    </row>
    <row r="132">
      <c r="A132" s="184" t="n"/>
      <c r="B132" s="184" t="n"/>
      <c r="C132" s="184" t="n"/>
      <c r="D132" s="184" t="n"/>
      <c r="E132" s="184" t="n"/>
    </row>
    <row r="133">
      <c r="A133" s="184" t="n"/>
      <c r="B133" s="184" t="n"/>
      <c r="C133" s="184" t="n"/>
      <c r="D133" s="184" t="n"/>
      <c r="E133" s="184" t="n"/>
    </row>
    <row r="134">
      <c r="A134" s="184" t="n"/>
      <c r="B134" s="184" t="n"/>
      <c r="C134" s="184" t="n"/>
      <c r="D134" s="184" t="n"/>
      <c r="E134" s="184" t="n"/>
    </row>
    <row r="135">
      <c r="A135" s="184" t="n"/>
      <c r="B135" s="184" t="n"/>
      <c r="C135" s="184" t="n"/>
      <c r="D135" s="184" t="n"/>
      <c r="E135" s="184" t="n"/>
    </row>
    <row r="136">
      <c r="A136" s="184" t="n"/>
      <c r="B136" s="184" t="n"/>
      <c r="C136" s="184" t="n"/>
      <c r="D136" s="184" t="n"/>
      <c r="E136" s="184" t="n"/>
    </row>
    <row r="137">
      <c r="A137" s="184" t="n"/>
      <c r="B137" s="184" t="n"/>
      <c r="C137" s="184" t="n"/>
      <c r="D137" s="184" t="n"/>
      <c r="E137" s="184" t="n"/>
    </row>
    <row r="138">
      <c r="A138" s="184" t="n"/>
      <c r="B138" s="184" t="n"/>
      <c r="C138" s="184" t="n"/>
      <c r="D138" s="184" t="n"/>
      <c r="E138" s="184" t="n"/>
    </row>
    <row r="139">
      <c r="A139" s="184" t="n"/>
      <c r="B139" s="184" t="n"/>
      <c r="C139" s="184" t="n"/>
      <c r="D139" s="184" t="n"/>
      <c r="E139" s="184" t="n"/>
    </row>
    <row r="140">
      <c r="A140" s="184" t="n"/>
      <c r="B140" s="184" t="n"/>
      <c r="C140" s="184" t="n"/>
      <c r="D140" s="184" t="n"/>
      <c r="E140" s="184" t="n"/>
    </row>
    <row r="141">
      <c r="A141" s="184" t="n"/>
      <c r="B141" s="184" t="n"/>
      <c r="C141" s="184" t="n"/>
      <c r="D141" s="184" t="n"/>
      <c r="E141" s="184" t="n"/>
    </row>
    <row r="142">
      <c r="A142" s="184" t="n"/>
      <c r="B142" s="184" t="n"/>
      <c r="C142" s="184" t="n"/>
      <c r="D142" s="184" t="n"/>
      <c r="E142" s="184" t="n"/>
    </row>
    <row r="143">
      <c r="A143" s="184" t="n"/>
      <c r="B143" s="184" t="n"/>
      <c r="C143" s="184" t="n"/>
      <c r="D143" s="184" t="n"/>
      <c r="E143" s="184" t="n"/>
    </row>
    <row r="144">
      <c r="A144" s="184" t="n"/>
      <c r="B144" s="184" t="n"/>
      <c r="C144" s="184" t="n"/>
      <c r="D144" s="184" t="n"/>
      <c r="E144" s="184" t="n"/>
    </row>
    <row r="145">
      <c r="A145" s="184" t="n"/>
      <c r="B145" s="184" t="n"/>
      <c r="C145" s="184" t="n"/>
      <c r="D145" s="184" t="n"/>
      <c r="E145" s="184" t="n"/>
    </row>
    <row r="146">
      <c r="A146" s="184" t="n"/>
      <c r="B146" s="184" t="n"/>
      <c r="C146" s="184" t="n"/>
      <c r="D146" s="184" t="n"/>
      <c r="E146" s="184" t="n"/>
    </row>
    <row r="147">
      <c r="A147" s="184" t="n"/>
      <c r="B147" s="184" t="n"/>
      <c r="C147" s="184" t="n"/>
      <c r="D147" s="184" t="n"/>
      <c r="E147" s="184" t="n"/>
    </row>
    <row r="148">
      <c r="A148" s="184" t="n"/>
      <c r="B148" s="184" t="n"/>
      <c r="C148" s="184" t="n"/>
      <c r="D148" s="184" t="n"/>
      <c r="E148" s="184" t="n"/>
    </row>
    <row r="149">
      <c r="A149" s="184" t="n"/>
      <c r="B149" s="184" t="n"/>
      <c r="C149" s="184" t="n"/>
      <c r="D149" s="184" t="n"/>
      <c r="E149" s="184" t="n"/>
    </row>
    <row r="150">
      <c r="A150" s="184" t="n"/>
      <c r="B150" s="184" t="n"/>
      <c r="C150" s="184" t="n"/>
      <c r="D150" s="184" t="n"/>
      <c r="E150" s="184" t="n"/>
    </row>
    <row r="151">
      <c r="A151" s="184" t="n"/>
      <c r="B151" s="184" t="n"/>
      <c r="C151" s="184" t="n"/>
      <c r="D151" s="184" t="n"/>
      <c r="E151" s="184" t="n"/>
    </row>
    <row r="152">
      <c r="A152" s="184" t="n"/>
      <c r="B152" s="184" t="n"/>
      <c r="C152" s="184" t="n"/>
      <c r="D152" s="184" t="n"/>
      <c r="E152" s="184" t="n"/>
    </row>
    <row r="153">
      <c r="A153" s="184" t="n"/>
      <c r="B153" s="184" t="n"/>
      <c r="C153" s="184" t="n"/>
      <c r="D153" s="184" t="n"/>
      <c r="E153" s="184" t="n"/>
    </row>
    <row r="154">
      <c r="A154" s="184" t="n"/>
      <c r="B154" s="184" t="n"/>
      <c r="C154" s="184" t="n"/>
      <c r="D154" s="184" t="n"/>
      <c r="E154" s="184" t="n"/>
    </row>
    <row r="155">
      <c r="A155" s="184" t="n"/>
      <c r="B155" s="184" t="n"/>
      <c r="C155" s="184" t="n"/>
      <c r="D155" s="184" t="n"/>
      <c r="E155" s="184" t="n"/>
    </row>
    <row r="156">
      <c r="A156" s="184" t="n"/>
      <c r="B156" s="184" t="n"/>
      <c r="C156" s="184" t="n"/>
      <c r="D156" s="184" t="n"/>
      <c r="E156" s="184" t="n"/>
    </row>
    <row r="157">
      <c r="A157" s="184" t="n"/>
      <c r="B157" s="184" t="n"/>
      <c r="C157" s="184" t="n"/>
      <c r="D157" s="184" t="n"/>
      <c r="E157" s="184" t="n"/>
    </row>
    <row r="158">
      <c r="A158" s="184" t="n"/>
      <c r="B158" s="184" t="n"/>
      <c r="C158" s="184" t="n"/>
      <c r="D158" s="184" t="n"/>
      <c r="E158" s="184" t="n"/>
    </row>
    <row r="159">
      <c r="A159" s="184" t="n"/>
      <c r="B159" s="184" t="n"/>
      <c r="C159" s="184" t="n"/>
      <c r="D159" s="184" t="n"/>
      <c r="E159" s="184" t="n"/>
    </row>
    <row r="160">
      <c r="A160" s="184" t="n"/>
      <c r="B160" s="184" t="n"/>
      <c r="C160" s="184" t="n"/>
      <c r="D160" s="184" t="n"/>
      <c r="E160" s="184" t="n"/>
    </row>
    <row r="161">
      <c r="A161" s="184" t="n"/>
      <c r="B161" s="184" t="n"/>
      <c r="C161" s="184" t="n"/>
      <c r="D161" s="184" t="n"/>
      <c r="E161" s="184" t="n"/>
    </row>
    <row r="162">
      <c r="A162" s="184" t="n"/>
      <c r="B162" s="184" t="n"/>
      <c r="C162" s="184" t="n"/>
      <c r="D162" s="184" t="n"/>
      <c r="E162" s="184" t="n"/>
    </row>
    <row r="163">
      <c r="A163" s="184" t="n"/>
      <c r="B163" s="184" t="n"/>
      <c r="C163" s="184" t="n"/>
      <c r="D163" s="184" t="n"/>
      <c r="E163" s="184" t="n"/>
    </row>
    <row r="164">
      <c r="A164" s="184" t="n"/>
      <c r="B164" s="184" t="n"/>
      <c r="C164" s="184" t="n"/>
      <c r="D164" s="184" t="n"/>
      <c r="E164" s="184" t="n"/>
    </row>
    <row r="165">
      <c r="A165" s="184" t="n"/>
      <c r="B165" s="184" t="n"/>
      <c r="C165" s="184" t="n"/>
      <c r="D165" s="184" t="n"/>
      <c r="E165" s="184" t="n"/>
    </row>
    <row r="166">
      <c r="A166" s="184" t="n"/>
      <c r="B166" s="184" t="n"/>
      <c r="C166" s="184" t="n"/>
      <c r="D166" s="184" t="n"/>
      <c r="E166" s="184" t="n"/>
    </row>
    <row r="167">
      <c r="A167" s="184" t="n"/>
      <c r="B167" s="184" t="n"/>
      <c r="C167" s="184" t="n"/>
      <c r="D167" s="184" t="n"/>
      <c r="E167" s="184" t="n"/>
    </row>
    <row r="168">
      <c r="A168" s="184" t="n"/>
      <c r="B168" s="184" t="n"/>
      <c r="C168" s="184" t="n"/>
      <c r="D168" s="184" t="n"/>
      <c r="E168" s="184" t="n"/>
    </row>
    <row r="169">
      <c r="A169" s="184" t="n"/>
      <c r="B169" s="184" t="n"/>
      <c r="C169" s="184" t="n"/>
      <c r="D169" s="184" t="n"/>
      <c r="E169" s="184" t="n"/>
    </row>
    <row r="170">
      <c r="A170" s="184" t="n"/>
      <c r="B170" s="184" t="n"/>
      <c r="C170" s="184" t="n"/>
      <c r="D170" s="184" t="n"/>
      <c r="E170" s="184" t="n"/>
    </row>
    <row r="171">
      <c r="A171" s="184" t="n"/>
      <c r="B171" s="184" t="n"/>
      <c r="C171" s="184" t="n"/>
      <c r="D171" s="184" t="n"/>
      <c r="E171" s="184" t="n"/>
    </row>
    <row r="172">
      <c r="A172" s="184" t="n"/>
      <c r="B172" s="184" t="n"/>
      <c r="C172" s="184" t="n"/>
      <c r="D172" s="184" t="n"/>
      <c r="E172" s="184" t="n"/>
    </row>
    <row r="173">
      <c r="A173" s="184" t="n"/>
      <c r="B173" s="184" t="n"/>
      <c r="C173" s="184" t="n"/>
      <c r="D173" s="184" t="n"/>
      <c r="E173" s="184" t="n"/>
    </row>
    <row r="174">
      <c r="A174" s="184" t="n"/>
      <c r="B174" s="184" t="n"/>
      <c r="C174" s="184" t="n"/>
      <c r="D174" s="184" t="n"/>
      <c r="E174" s="184" t="n"/>
    </row>
    <row r="175">
      <c r="A175" s="184" t="n"/>
      <c r="B175" s="184" t="n"/>
      <c r="C175" s="184" t="n"/>
      <c r="D175" s="184" t="n"/>
      <c r="E175" s="184" t="n"/>
    </row>
    <row r="176">
      <c r="A176" s="184" t="n"/>
      <c r="B176" s="184" t="n"/>
      <c r="C176" s="184" t="n"/>
      <c r="D176" s="184" t="n"/>
      <c r="E176" s="184" t="n"/>
    </row>
    <row r="177">
      <c r="A177" s="184" t="n"/>
      <c r="B177" s="184" t="n"/>
      <c r="C177" s="184" t="n"/>
      <c r="D177" s="184" t="n"/>
      <c r="E177" s="184" t="n"/>
    </row>
    <row r="178">
      <c r="A178" s="184" t="n"/>
      <c r="B178" s="184" t="n"/>
      <c r="C178" s="184" t="n"/>
      <c r="D178" s="184" t="n"/>
      <c r="E178" s="184" t="n"/>
    </row>
    <row r="179">
      <c r="A179" s="184" t="n"/>
      <c r="B179" s="184" t="n"/>
      <c r="C179" s="184" t="n"/>
      <c r="D179" s="184" t="n"/>
      <c r="E179" s="184" t="n"/>
    </row>
    <row r="180">
      <c r="A180" s="184" t="n"/>
      <c r="B180" s="184" t="n"/>
      <c r="C180" s="184" t="n"/>
      <c r="D180" s="184" t="n"/>
      <c r="E180" s="184" t="n"/>
    </row>
    <row r="181">
      <c r="A181" s="184" t="n"/>
      <c r="B181" s="184" t="n"/>
      <c r="C181" s="184" t="n"/>
      <c r="D181" s="184" t="n"/>
      <c r="E181" s="184" t="n"/>
    </row>
    <row r="182">
      <c r="A182" s="184" t="n"/>
      <c r="B182" s="184" t="n"/>
      <c r="C182" s="184" t="n"/>
      <c r="D182" s="184" t="n"/>
      <c r="E182" s="184" t="n"/>
    </row>
    <row r="183">
      <c r="A183" s="184" t="n"/>
      <c r="B183" s="184" t="n"/>
      <c r="C183" s="184" t="n"/>
      <c r="D183" s="184" t="n"/>
      <c r="E183" s="184" t="n"/>
    </row>
    <row r="184">
      <c r="A184" s="184" t="n"/>
      <c r="B184" s="184" t="n"/>
      <c r="C184" s="184" t="n"/>
      <c r="D184" s="184" t="n"/>
      <c r="E184" s="184" t="n"/>
    </row>
    <row r="185">
      <c r="A185" s="184" t="n"/>
      <c r="B185" s="184" t="n"/>
      <c r="C185" s="184" t="n"/>
      <c r="D185" s="184" t="n"/>
      <c r="E185" s="184" t="n"/>
    </row>
    <row r="186">
      <c r="A186" s="184" t="n"/>
      <c r="B186" s="184" t="n"/>
      <c r="C186" s="184" t="n"/>
      <c r="D186" s="184" t="n"/>
      <c r="E186" s="184" t="n"/>
    </row>
    <row r="187">
      <c r="A187" s="184" t="n"/>
      <c r="B187" s="184" t="n"/>
      <c r="C187" s="184" t="n"/>
      <c r="D187" s="184" t="n"/>
      <c r="E187" s="184" t="n"/>
    </row>
    <row r="188">
      <c r="A188" s="184" t="n"/>
      <c r="B188" s="184" t="n"/>
      <c r="C188" s="184" t="n"/>
      <c r="D188" s="184" t="n"/>
      <c r="E188" s="184" t="n"/>
    </row>
    <row r="189">
      <c r="A189" s="184" t="n"/>
      <c r="B189" s="184" t="n"/>
      <c r="C189" s="184" t="n"/>
      <c r="D189" s="184" t="n"/>
      <c r="E189" s="184" t="n"/>
    </row>
    <row r="190">
      <c r="A190" s="184" t="n"/>
      <c r="B190" s="184" t="n"/>
      <c r="C190" s="184" t="n"/>
      <c r="D190" s="184" t="n"/>
      <c r="E190" s="184" t="n"/>
    </row>
    <row r="191">
      <c r="A191" s="184" t="n"/>
      <c r="B191" s="184" t="n"/>
      <c r="C191" s="184" t="n"/>
      <c r="D191" s="184" t="n"/>
      <c r="E191" s="184" t="n"/>
    </row>
    <row r="192">
      <c r="A192" s="184" t="n"/>
      <c r="B192" s="184" t="n"/>
      <c r="C192" s="184" t="n"/>
      <c r="D192" s="184" t="n"/>
      <c r="E192" s="184" t="n"/>
    </row>
    <row r="193">
      <c r="A193" s="184" t="n"/>
      <c r="B193" s="184" t="n"/>
      <c r="C193" s="184" t="n"/>
      <c r="D193" s="184" t="n"/>
      <c r="E193" s="184" t="n"/>
    </row>
    <row r="194">
      <c r="A194" s="184" t="n"/>
      <c r="B194" s="184" t="n"/>
      <c r="C194" s="184" t="n"/>
      <c r="D194" s="184" t="n"/>
      <c r="E194" s="184" t="n"/>
    </row>
    <row r="195">
      <c r="A195" s="184" t="n"/>
      <c r="B195" s="184" t="n"/>
      <c r="C195" s="184" t="n"/>
      <c r="D195" s="184" t="n"/>
      <c r="E195" s="184" t="n"/>
    </row>
    <row r="196">
      <c r="A196" s="184" t="n"/>
      <c r="B196" s="184" t="n"/>
      <c r="C196" s="184" t="n"/>
      <c r="D196" s="184" t="n"/>
      <c r="E196" s="184" t="n"/>
    </row>
    <row r="197">
      <c r="A197" s="184" t="n"/>
      <c r="B197" s="184" t="n"/>
      <c r="C197" s="184" t="n"/>
      <c r="D197" s="184" t="n"/>
      <c r="E197" s="184" t="n"/>
    </row>
    <row r="198">
      <c r="A198" s="184" t="n"/>
      <c r="B198" s="184" t="n"/>
      <c r="C198" s="184" t="n"/>
      <c r="D198" s="184" t="n"/>
      <c r="E198" s="184" t="n"/>
    </row>
    <row r="199">
      <c r="A199" s="184" t="n"/>
      <c r="B199" s="184" t="n"/>
      <c r="C199" s="184" t="n"/>
      <c r="D199" s="184" t="n"/>
      <c r="E199" s="184" t="n"/>
    </row>
    <row r="200">
      <c r="A200" s="184" t="n"/>
      <c r="B200" s="184" t="n"/>
      <c r="C200" s="184" t="n"/>
      <c r="D200" s="184" t="n"/>
      <c r="E200" s="184" t="n"/>
    </row>
    <row r="201">
      <c r="A201" s="184" t="n"/>
      <c r="B201" s="184" t="n"/>
      <c r="C201" s="184" t="n"/>
      <c r="D201" s="184" t="n"/>
      <c r="E201" s="184" t="n"/>
    </row>
    <row r="202">
      <c r="A202" s="184" t="n"/>
      <c r="B202" s="184" t="n"/>
      <c r="C202" s="184" t="n"/>
      <c r="D202" s="184" t="n"/>
      <c r="E202" s="184" t="n"/>
    </row>
    <row r="203">
      <c r="A203" s="184" t="n"/>
      <c r="B203" s="184" t="n"/>
      <c r="C203" s="184" t="n"/>
      <c r="D203" s="184" t="n"/>
      <c r="E203" s="184" t="n"/>
    </row>
    <row r="204">
      <c r="A204" s="184" t="n"/>
      <c r="B204" s="184" t="n"/>
      <c r="C204" s="184" t="n"/>
      <c r="D204" s="184" t="n"/>
      <c r="E204" s="184" t="n"/>
    </row>
    <row r="205">
      <c r="A205" s="184" t="n"/>
      <c r="B205" s="184" t="n"/>
      <c r="C205" s="184" t="n"/>
      <c r="D205" s="184" t="n"/>
      <c r="E205" s="184" t="n"/>
    </row>
    <row r="206">
      <c r="A206" s="184" t="n"/>
      <c r="B206" s="184" t="n"/>
      <c r="C206" s="184" t="n"/>
      <c r="D206" s="184" t="n"/>
      <c r="E206" s="184" t="n"/>
    </row>
    <row r="207">
      <c r="A207" s="184" t="n"/>
      <c r="B207" s="184" t="n"/>
      <c r="C207" s="184" t="n"/>
      <c r="D207" s="184" t="n"/>
      <c r="E207" s="184" t="n"/>
    </row>
    <row r="208">
      <c r="A208" s="184" t="n"/>
      <c r="B208" s="184" t="n"/>
      <c r="C208" s="184" t="n"/>
      <c r="D208" s="184" t="n"/>
      <c r="E208" s="184" t="n"/>
    </row>
    <row r="209">
      <c r="A209" s="184" t="n"/>
      <c r="B209" s="184" t="n"/>
      <c r="C209" s="184" t="n"/>
      <c r="D209" s="184" t="n"/>
      <c r="E209" s="184" t="n"/>
    </row>
    <row r="210">
      <c r="A210" s="184" t="n"/>
      <c r="B210" s="184" t="n"/>
      <c r="C210" s="184" t="n"/>
      <c r="D210" s="184" t="n"/>
      <c r="E210" s="184" t="n"/>
    </row>
    <row r="211">
      <c r="A211" s="184" t="n"/>
      <c r="B211" s="184" t="n"/>
      <c r="C211" s="184" t="n"/>
      <c r="D211" s="184" t="n"/>
      <c r="E211" s="184" t="n"/>
    </row>
    <row r="212">
      <c r="A212" s="184" t="n"/>
      <c r="B212" s="184" t="n"/>
      <c r="C212" s="184" t="n"/>
      <c r="D212" s="184" t="n"/>
      <c r="E212" s="184" t="n"/>
    </row>
    <row r="213">
      <c r="A213" s="184" t="n"/>
      <c r="B213" s="184" t="n"/>
      <c r="C213" s="184" t="n"/>
      <c r="D213" s="184" t="n"/>
      <c r="E213" s="184" t="n"/>
    </row>
    <row r="214">
      <c r="A214" s="184" t="n"/>
      <c r="B214" s="184" t="n"/>
      <c r="C214" s="184" t="n"/>
      <c r="D214" s="184" t="n"/>
      <c r="E214" s="184" t="n"/>
    </row>
    <row r="215">
      <c r="A215" s="184" t="n"/>
      <c r="B215" s="184" t="n"/>
      <c r="C215" s="184" t="n"/>
      <c r="D215" s="184" t="n"/>
      <c r="E215" s="184" t="n"/>
    </row>
    <row r="216">
      <c r="A216" s="184" t="n"/>
      <c r="B216" s="184" t="n"/>
      <c r="C216" s="184" t="n"/>
      <c r="D216" s="184" t="n"/>
      <c r="E216" s="184" t="n"/>
    </row>
    <row r="217">
      <c r="A217" s="184" t="n"/>
      <c r="B217" s="184" t="n"/>
      <c r="C217" s="184" t="n"/>
      <c r="D217" s="184" t="n"/>
      <c r="E217" s="184" t="n"/>
    </row>
    <row r="218">
      <c r="A218" s="184" t="n"/>
      <c r="B218" s="184" t="n"/>
      <c r="C218" s="184" t="n"/>
      <c r="D218" s="184" t="n"/>
      <c r="E218" s="184" t="n"/>
    </row>
    <row r="219">
      <c r="A219" s="184" t="n"/>
      <c r="B219" s="184" t="n"/>
      <c r="C219" s="184" t="n"/>
      <c r="D219" s="184" t="n"/>
      <c r="E219" s="184" t="n"/>
    </row>
    <row r="220">
      <c r="A220" s="184" t="n"/>
      <c r="B220" s="184" t="n"/>
      <c r="C220" s="184" t="n"/>
      <c r="D220" s="184" t="n"/>
      <c r="E220" s="184" t="n"/>
    </row>
    <row r="221">
      <c r="A221" s="184" t="n"/>
      <c r="B221" s="184" t="n"/>
      <c r="C221" s="184" t="n"/>
      <c r="D221" s="184" t="n"/>
      <c r="E221" s="184" t="n"/>
    </row>
    <row r="222">
      <c r="A222" s="184" t="n"/>
      <c r="B222" s="184" t="n"/>
      <c r="C222" s="184" t="n"/>
      <c r="D222" s="184" t="n"/>
      <c r="E222" s="184" t="n"/>
    </row>
    <row r="223">
      <c r="A223" s="184" t="n"/>
      <c r="B223" s="184" t="n"/>
      <c r="C223" s="184" t="n"/>
      <c r="D223" s="184" t="n"/>
      <c r="E223" s="184" t="n"/>
    </row>
    <row r="224">
      <c r="A224" s="184" t="n"/>
      <c r="B224" s="184" t="n"/>
      <c r="C224" s="184" t="n"/>
      <c r="D224" s="184" t="n"/>
      <c r="E224" s="184" t="n"/>
    </row>
    <row r="225">
      <c r="A225" s="184" t="n"/>
      <c r="B225" s="184" t="n"/>
      <c r="C225" s="184" t="n"/>
      <c r="D225" s="184" t="n"/>
      <c r="E225" s="184" t="n"/>
    </row>
    <row r="226">
      <c r="A226" s="184" t="n"/>
      <c r="B226" s="184" t="n"/>
      <c r="C226" s="184" t="n"/>
      <c r="D226" s="184" t="n"/>
      <c r="E226" s="184" t="n"/>
    </row>
    <row r="227">
      <c r="A227" s="184" t="n"/>
      <c r="B227" s="184" t="n"/>
      <c r="C227" s="184" t="n"/>
      <c r="D227" s="184" t="n"/>
      <c r="E227" s="184" t="n"/>
    </row>
    <row r="228">
      <c r="A228" s="184" t="n"/>
      <c r="B228" s="184" t="n"/>
      <c r="C228" s="184" t="n"/>
      <c r="D228" s="184" t="n"/>
      <c r="E228" s="184" t="n"/>
    </row>
    <row r="229">
      <c r="A229" s="184" t="n"/>
      <c r="B229" s="184" t="n"/>
      <c r="C229" s="184" t="n"/>
      <c r="D229" s="184" t="n"/>
      <c r="E229" s="184" t="n"/>
    </row>
    <row r="230">
      <c r="A230" s="184" t="n"/>
      <c r="B230" s="184" t="n"/>
      <c r="C230" s="184" t="n"/>
      <c r="D230" s="184" t="n"/>
      <c r="E230" s="184" t="n"/>
    </row>
    <row r="231">
      <c r="A231" s="184" t="n"/>
      <c r="B231" s="184" t="n"/>
      <c r="C231" s="184" t="n"/>
      <c r="D231" s="184" t="n"/>
      <c r="E231" s="184" t="n"/>
    </row>
    <row r="232">
      <c r="A232" s="184" t="n"/>
      <c r="B232" s="184" t="n"/>
      <c r="C232" s="184" t="n"/>
      <c r="D232" s="184" t="n"/>
      <c r="E232" s="184" t="n"/>
    </row>
    <row r="233">
      <c r="A233" s="184" t="n"/>
      <c r="B233" s="184" t="n"/>
      <c r="C233" s="184" t="n"/>
      <c r="D233" s="184" t="n"/>
      <c r="E233" s="184" t="n"/>
    </row>
    <row r="234">
      <c r="A234" s="184" t="n"/>
      <c r="B234" s="184" t="n"/>
      <c r="C234" s="184" t="n"/>
      <c r="D234" s="184" t="n"/>
      <c r="E234" s="184" t="n"/>
    </row>
    <row r="235">
      <c r="A235" s="184" t="n"/>
      <c r="B235" s="184" t="n"/>
      <c r="C235" s="184" t="n"/>
      <c r="D235" s="184" t="n"/>
      <c r="E235" s="184" t="n"/>
    </row>
    <row r="236">
      <c r="A236" s="184" t="n"/>
      <c r="B236" s="184" t="n"/>
      <c r="C236" s="184" t="n"/>
      <c r="D236" s="184" t="n"/>
      <c r="E236" s="184" t="n"/>
    </row>
    <row r="237">
      <c r="A237" s="184" t="n"/>
      <c r="B237" s="184" t="n"/>
      <c r="C237" s="184" t="n"/>
      <c r="D237" s="184" t="n"/>
      <c r="E237" s="184" t="n"/>
    </row>
    <row r="238">
      <c r="A238" s="184" t="n"/>
      <c r="B238" s="184" t="n"/>
      <c r="C238" s="184" t="n"/>
      <c r="D238" s="184" t="n"/>
      <c r="E238" s="184" t="n"/>
    </row>
    <row r="239">
      <c r="A239" s="184" t="n"/>
      <c r="B239" s="184" t="n"/>
      <c r="C239" s="184" t="n"/>
      <c r="D239" s="184" t="n"/>
      <c r="E239" s="184" t="n"/>
    </row>
    <row r="240">
      <c r="A240" s="184" t="n"/>
      <c r="B240" s="184" t="n"/>
      <c r="C240" s="184" t="n"/>
      <c r="D240" s="184" t="n"/>
      <c r="E240" s="184" t="n"/>
    </row>
    <row r="241">
      <c r="A241" s="184" t="n"/>
      <c r="B241" s="184" t="n"/>
      <c r="C241" s="184" t="n"/>
      <c r="D241" s="184" t="n"/>
      <c r="E241" s="184" t="n"/>
    </row>
    <row r="242">
      <c r="A242" s="184" t="n"/>
      <c r="B242" s="184" t="n"/>
      <c r="C242" s="184" t="n"/>
      <c r="D242" s="184" t="n"/>
      <c r="E242" s="184" t="n"/>
    </row>
    <row r="243">
      <c r="A243" s="184" t="n"/>
      <c r="B243" s="184" t="n"/>
      <c r="C243" s="184" t="n"/>
      <c r="D243" s="184" t="n"/>
      <c r="E243" s="184" t="n"/>
    </row>
    <row r="244">
      <c r="A244" s="184" t="n"/>
      <c r="B244" s="184" t="n"/>
      <c r="C244" s="184" t="n"/>
      <c r="D244" s="184" t="n"/>
      <c r="E244" s="184" t="n"/>
    </row>
    <row r="245">
      <c r="A245" s="184" t="n"/>
      <c r="B245" s="184" t="n"/>
      <c r="C245" s="184" t="n"/>
      <c r="D245" s="184" t="n"/>
      <c r="E245" s="184" t="n"/>
    </row>
    <row r="246">
      <c r="A246" s="184" t="n"/>
      <c r="B246" s="184" t="n"/>
      <c r="C246" s="184" t="n"/>
      <c r="D246" s="184" t="n"/>
      <c r="E246" s="184" t="n"/>
    </row>
    <row r="247">
      <c r="A247" s="184" t="n"/>
      <c r="B247" s="184" t="n"/>
      <c r="C247" s="184" t="n"/>
      <c r="D247" s="184" t="n"/>
      <c r="E247" s="184" t="n"/>
    </row>
    <row r="248">
      <c r="A248" s="184" t="n"/>
      <c r="B248" s="184" t="n"/>
      <c r="C248" s="184" t="n"/>
      <c r="D248" s="184" t="n"/>
      <c r="E248" s="184" t="n"/>
    </row>
    <row r="249">
      <c r="A249" s="184" t="n"/>
      <c r="B249" s="184" t="n"/>
      <c r="C249" s="184" t="n"/>
      <c r="D249" s="184" t="n"/>
      <c r="E249" s="184" t="n"/>
    </row>
    <row r="250">
      <c r="A250" s="184" t="n"/>
      <c r="B250" s="184" t="n"/>
      <c r="C250" s="184" t="n"/>
      <c r="D250" s="184" t="n"/>
      <c r="E250" s="184" t="n"/>
    </row>
    <row r="251">
      <c r="A251" s="184" t="n"/>
      <c r="B251" s="184" t="n"/>
      <c r="C251" s="184" t="n"/>
      <c r="D251" s="184" t="n"/>
      <c r="E251" s="184" t="n"/>
    </row>
    <row r="252">
      <c r="A252" s="184" t="n"/>
      <c r="B252" s="184" t="n"/>
      <c r="C252" s="184" t="n"/>
      <c r="D252" s="184" t="n"/>
      <c r="E252" s="184" t="n"/>
    </row>
    <row r="253">
      <c r="A253" s="184" t="n"/>
      <c r="B253" s="184" t="n"/>
      <c r="C253" s="184" t="n"/>
      <c r="D253" s="184" t="n"/>
      <c r="E253" s="184" t="n"/>
    </row>
    <row r="254">
      <c r="A254" s="184" t="n"/>
      <c r="B254" s="184" t="n"/>
      <c r="C254" s="184" t="n"/>
      <c r="D254" s="184" t="n"/>
      <c r="E254" s="184" t="n"/>
    </row>
    <row r="255">
      <c r="A255" s="184" t="n"/>
      <c r="B255" s="184" t="n"/>
      <c r="C255" s="184" t="n"/>
      <c r="D255" s="184" t="n"/>
      <c r="E255" s="184" t="n"/>
    </row>
    <row r="256">
      <c r="A256" s="184" t="n"/>
      <c r="B256" s="184" t="n"/>
      <c r="C256" s="184" t="n"/>
      <c r="D256" s="184" t="n"/>
      <c r="E256" s="184" t="n"/>
    </row>
    <row r="257">
      <c r="A257" s="184" t="n"/>
      <c r="B257" s="184" t="n"/>
      <c r="C257" s="184" t="n"/>
      <c r="D257" s="184" t="n"/>
      <c r="E257" s="184" t="n"/>
    </row>
    <row r="258">
      <c r="A258" s="184" t="n"/>
      <c r="B258" s="184" t="n"/>
      <c r="C258" s="184" t="n"/>
      <c r="D258" s="184" t="n"/>
      <c r="E258" s="184" t="n"/>
    </row>
    <row r="259">
      <c r="A259" s="184" t="n"/>
      <c r="B259" s="184" t="n"/>
      <c r="C259" s="184" t="n"/>
      <c r="D259" s="184" t="n"/>
      <c r="E259" s="184" t="n"/>
    </row>
    <row r="260">
      <c r="A260" s="184" t="n"/>
      <c r="B260" s="184" t="n"/>
      <c r="C260" s="184" t="n"/>
      <c r="D260" s="184" t="n"/>
      <c r="E260" s="184" t="n"/>
    </row>
    <row r="261">
      <c r="A261" s="184" t="n"/>
      <c r="B261" s="184" t="n"/>
      <c r="C261" s="184" t="n"/>
      <c r="D261" s="184" t="n"/>
      <c r="E261" s="184" t="n"/>
    </row>
    <row r="262">
      <c r="A262" s="184" t="n"/>
      <c r="B262" s="184" t="n"/>
      <c r="C262" s="184" t="n"/>
      <c r="D262" s="184" t="n"/>
      <c r="E262" s="184" t="n"/>
    </row>
    <row r="263">
      <c r="A263" s="184" t="n"/>
      <c r="B263" s="184" t="n"/>
      <c r="C263" s="184" t="n"/>
      <c r="D263" s="184" t="n"/>
      <c r="E263" s="184" t="n"/>
    </row>
    <row r="264">
      <c r="A264" s="184" t="n"/>
      <c r="B264" s="184" t="n"/>
      <c r="C264" s="184" t="n"/>
      <c r="D264" s="184" t="n"/>
      <c r="E264" s="184" t="n"/>
    </row>
    <row r="265">
      <c r="A265" s="184" t="n"/>
      <c r="B265" s="184" t="n"/>
      <c r="C265" s="184" t="n"/>
      <c r="D265" s="184" t="n"/>
      <c r="E265" s="184" t="n"/>
    </row>
    <row r="266">
      <c r="A266" s="184" t="n"/>
      <c r="B266" s="184" t="n"/>
      <c r="C266" s="184" t="n"/>
      <c r="D266" s="184" t="n"/>
      <c r="E266" s="184" t="n"/>
    </row>
    <row r="267">
      <c r="A267" s="184" t="n"/>
      <c r="B267" s="184" t="n"/>
      <c r="C267" s="184" t="n"/>
      <c r="D267" s="184" t="n"/>
      <c r="E267" s="184" t="n"/>
    </row>
    <row r="268">
      <c r="A268" s="184" t="n"/>
      <c r="B268" s="184" t="n"/>
      <c r="C268" s="184" t="n"/>
      <c r="D268" s="184" t="n"/>
      <c r="E268" s="184" t="n"/>
    </row>
    <row r="269">
      <c r="A269" s="184" t="n"/>
      <c r="B269" s="184" t="n"/>
      <c r="C269" s="184" t="n"/>
      <c r="D269" s="184" t="n"/>
      <c r="E269" s="184" t="n"/>
    </row>
    <row r="270">
      <c r="A270" s="184" t="n"/>
      <c r="B270" s="184" t="n"/>
      <c r="C270" s="184" t="n"/>
      <c r="D270" s="184" t="n"/>
      <c r="E270" s="184" t="n"/>
    </row>
    <row r="271">
      <c r="A271" s="184" t="n"/>
      <c r="B271" s="184" t="n"/>
      <c r="C271" s="184" t="n"/>
      <c r="D271" s="184" t="n"/>
      <c r="E271" s="184" t="n"/>
    </row>
    <row r="272">
      <c r="A272" s="184" t="n"/>
      <c r="B272" s="184" t="n"/>
      <c r="C272" s="184" t="n"/>
      <c r="D272" s="184" t="n"/>
      <c r="E272" s="184" t="n"/>
    </row>
    <row r="273">
      <c r="A273" s="184" t="n"/>
      <c r="B273" s="184" t="n"/>
      <c r="C273" s="184" t="n"/>
      <c r="D273" s="184" t="n"/>
      <c r="E273" s="184" t="n"/>
    </row>
    <row r="274">
      <c r="A274" s="184" t="n"/>
      <c r="B274" s="184" t="n"/>
      <c r="C274" s="184" t="n"/>
      <c r="D274" s="184" t="n"/>
      <c r="E274" s="184" t="n"/>
    </row>
    <row r="275">
      <c r="A275" s="184" t="n"/>
      <c r="B275" s="184" t="n"/>
      <c r="C275" s="184" t="n"/>
      <c r="D275" s="184" t="n"/>
      <c r="E275" s="184" t="n"/>
    </row>
    <row r="276">
      <c r="A276" s="184" t="n"/>
      <c r="B276" s="184" t="n"/>
      <c r="C276" s="184" t="n"/>
      <c r="D276" s="184" t="n"/>
      <c r="E276" s="184" t="n"/>
    </row>
    <row r="277">
      <c r="A277" s="184" t="n"/>
      <c r="B277" s="184" t="n"/>
      <c r="C277" s="184" t="n"/>
      <c r="D277" s="184" t="n"/>
      <c r="E277" s="184" t="n"/>
    </row>
    <row r="278">
      <c r="A278" s="184" t="n"/>
      <c r="B278" s="184" t="n"/>
      <c r="C278" s="184" t="n"/>
      <c r="D278" s="184" t="n"/>
      <c r="E278" s="184" t="n"/>
    </row>
    <row r="279">
      <c r="A279" s="184" t="n"/>
      <c r="B279" s="184" t="n"/>
      <c r="C279" s="184" t="n"/>
      <c r="D279" s="184" t="n"/>
      <c r="E279" s="184" t="n"/>
    </row>
    <row r="280">
      <c r="A280" s="184" t="n"/>
      <c r="B280" s="184" t="n"/>
      <c r="C280" s="184" t="n"/>
      <c r="D280" s="184" t="n"/>
      <c r="E280" s="184" t="n"/>
    </row>
    <row r="281">
      <c r="A281" s="184" t="n"/>
      <c r="B281" s="184" t="n"/>
      <c r="C281" s="184" t="n"/>
      <c r="D281" s="184" t="n"/>
      <c r="E281" s="184" t="n"/>
    </row>
    <row r="282">
      <c r="A282" s="184" t="n"/>
      <c r="B282" s="184" t="n"/>
      <c r="C282" s="184" t="n"/>
      <c r="D282" s="184" t="n"/>
      <c r="E282" s="184" t="n"/>
    </row>
    <row r="283">
      <c r="A283" s="184" t="n"/>
      <c r="B283" s="184" t="n"/>
      <c r="C283" s="184" t="n"/>
      <c r="D283" s="184" t="n"/>
      <c r="E283" s="184" t="n"/>
    </row>
    <row r="284">
      <c r="A284" s="184" t="n"/>
      <c r="B284" s="184" t="n"/>
      <c r="C284" s="184" t="n"/>
      <c r="D284" s="184" t="n"/>
      <c r="E284" s="184" t="n"/>
    </row>
    <row r="285">
      <c r="A285" s="184" t="n"/>
      <c r="B285" s="184" t="n"/>
      <c r="C285" s="184" t="n"/>
      <c r="D285" s="184" t="n"/>
      <c r="E285" s="184" t="n"/>
    </row>
    <row r="286">
      <c r="A286" s="184" t="n"/>
      <c r="B286" s="184" t="n"/>
      <c r="C286" s="184" t="n"/>
      <c r="D286" s="184" t="n"/>
      <c r="E286" s="184" t="n"/>
    </row>
    <row r="287">
      <c r="A287" s="184" t="n"/>
      <c r="B287" s="184" t="n"/>
      <c r="C287" s="184" t="n"/>
      <c r="D287" s="184" t="n"/>
      <c r="E287" s="184" t="n"/>
    </row>
    <row r="288">
      <c r="A288" s="184" t="n"/>
      <c r="B288" s="184" t="n"/>
      <c r="C288" s="184" t="n"/>
      <c r="D288" s="184" t="n"/>
      <c r="E288" s="184" t="n"/>
    </row>
    <row r="289">
      <c r="A289" s="184" t="n"/>
      <c r="B289" s="184" t="n"/>
      <c r="C289" s="184" t="n"/>
      <c r="D289" s="184" t="n"/>
      <c r="E289" s="184" t="n"/>
    </row>
    <row r="290">
      <c r="A290" s="184" t="n"/>
      <c r="B290" s="184" t="n"/>
      <c r="C290" s="184" t="n"/>
      <c r="D290" s="184" t="n"/>
      <c r="E290" s="184" t="n"/>
    </row>
    <row r="291">
      <c r="A291" s="184" t="n"/>
      <c r="B291" s="184" t="n"/>
      <c r="C291" s="184" t="n"/>
      <c r="D291" s="184" t="n"/>
      <c r="E291" s="184" t="n"/>
    </row>
    <row r="292">
      <c r="A292" s="184" t="n"/>
      <c r="B292" s="184" t="n"/>
      <c r="C292" s="184" t="n"/>
      <c r="D292" s="184" t="n"/>
      <c r="E292" s="184" t="n"/>
    </row>
    <row r="293">
      <c r="A293" s="184" t="n"/>
      <c r="B293" s="184" t="n"/>
      <c r="C293" s="184" t="n"/>
      <c r="D293" s="184" t="n"/>
      <c r="E293" s="184" t="n"/>
    </row>
    <row r="294">
      <c r="A294" s="184" t="n"/>
      <c r="B294" s="184" t="n"/>
      <c r="C294" s="184" t="n"/>
      <c r="D294" s="184" t="n"/>
      <c r="E294" s="184" t="n"/>
    </row>
    <row r="295">
      <c r="A295" s="184" t="n"/>
      <c r="B295" s="184" t="n"/>
      <c r="C295" s="184" t="n"/>
      <c r="D295" s="184" t="n"/>
      <c r="E295" s="184" t="n"/>
    </row>
    <row r="296">
      <c r="A296" s="184" t="n"/>
      <c r="B296" s="184" t="n"/>
      <c r="C296" s="184" t="n"/>
      <c r="D296" s="184" t="n"/>
      <c r="E296" s="184" t="n"/>
    </row>
    <row r="297">
      <c r="A297" s="184" t="n"/>
      <c r="B297" s="184" t="n"/>
      <c r="C297" s="184" t="n"/>
      <c r="D297" s="184" t="n"/>
      <c r="E297" s="184" t="n"/>
    </row>
    <row r="298">
      <c r="A298" s="184" t="n"/>
      <c r="B298" s="184" t="n"/>
      <c r="C298" s="184" t="n"/>
      <c r="D298" s="184" t="n"/>
      <c r="E298" s="184" t="n"/>
    </row>
    <row r="299">
      <c r="A299" s="184" t="n"/>
      <c r="B299" s="184" t="n"/>
      <c r="C299" s="184" t="n"/>
      <c r="D299" s="184" t="n"/>
      <c r="E299" s="184" t="n"/>
    </row>
    <row r="300">
      <c r="A300" s="184" t="n"/>
      <c r="B300" s="184" t="n"/>
      <c r="C300" s="184" t="n"/>
      <c r="D300" s="184" t="n"/>
      <c r="E300" s="184" t="n"/>
    </row>
  </sheetData>
  <mergeCells count="8">
    <mergeCell ref="A39:E39"/>
    <mergeCell ref="A4:E4"/>
    <mergeCell ref="A48:E48"/>
    <mergeCell ref="A2:E2"/>
    <mergeCell ref="A16:E16"/>
    <mergeCell ref="A33:E33"/>
    <mergeCell ref="A1:E1"/>
    <mergeCell ref="A22:E2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FF1B5E20"/>
    <outlinePr summaryBelow="1" summaryRight="1"/>
    <pageSetUpPr/>
  </sheetPr>
  <dimension ref="A1:N100"/>
  <sheetViews>
    <sheetView workbookViewId="0">
      <selection activeCell="B7" sqref="B7"/>
    </sheetView>
  </sheetViews>
  <sheetFormatPr baseColWidth="10" defaultRowHeight="15"/>
  <cols>
    <col width="56" customWidth="1" style="500" min="1" max="1"/>
    <col width="36.7109375" customWidth="1" style="500" min="2" max="2"/>
    <col width="24" customWidth="1" style="500" min="3" max="3"/>
    <col width="83.85546875" customWidth="1" style="500" min="4" max="4"/>
    <col width="18.7109375" customWidth="1" style="500" min="5" max="7"/>
    <col width="21.28515625" customWidth="1" style="500" min="8" max="8"/>
    <col width="24" customWidth="1" style="500" min="9" max="9"/>
    <col width="21.28515625" customWidth="1" style="500" min="10" max="10"/>
    <col width="18.7109375" customWidth="1" style="500" min="11" max="11"/>
    <col width="21.28515625" customWidth="1" style="500" min="12" max="12"/>
    <col width="26.7109375" customWidth="1" style="500" min="13" max="13"/>
  </cols>
  <sheetData>
    <row r="1" ht="17.25" customHeight="1" s="500">
      <c r="A1" s="595" t="inlineStr">
        <is>
          <t>ESG_DASHBOARD_LINK – PONT ESG × FINANCIER · Données pour DASHBOARD_FIN &amp; DASHBOARD_ESG</t>
        </is>
      </c>
      <c r="N1" s="142" t="n"/>
    </row>
    <row r="2">
      <c r="A2" s="596" t="inlineStr">
        <is>
          <t>Agrège KPIs ESG pondérés + liaisons états financiers. Source des visuels ESG sur DASHBOARD_FIN. Voir ESG_DAX pour les 30 mesures Power Pivot.</t>
        </is>
      </c>
      <c r="N2" s="142" t="n"/>
    </row>
    <row r="3">
      <c r="A3" s="142" t="n"/>
      <c r="B3" s="142" t="n"/>
      <c r="C3" s="142" t="n"/>
      <c r="D3" s="142" t="n"/>
      <c r="E3" s="142" t="n"/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</row>
    <row r="4">
      <c r="A4" s="597" t="inlineStr">
        <is>
          <t>SECTION 1 – SCORES ESG SYNTHETIQUES (E / S / G / Global)</t>
        </is>
      </c>
      <c r="N4" s="142" t="n"/>
    </row>
    <row r="5">
      <c r="A5" s="145" t="inlineStr">
        <is>
          <t>Pilier</t>
        </is>
      </c>
      <c r="B5" s="145" t="inlineStr">
        <is>
          <t>Score_2025</t>
        </is>
      </c>
      <c r="C5" s="145" t="inlineStr">
        <is>
          <t>Score_2024</t>
        </is>
      </c>
      <c r="D5" s="145" t="inlineStr">
        <is>
          <t>Delta</t>
        </is>
      </c>
      <c r="E5" s="145" t="inlineStr">
        <is>
          <t>Benchmark</t>
        </is>
      </c>
      <c r="F5" s="145" t="inlineStr">
        <is>
          <t>vs_Bch</t>
        </is>
      </c>
      <c r="G5" s="145" t="inlineStr">
        <is>
          <t>Tendance</t>
        </is>
      </c>
      <c r="H5" s="145" t="inlineStr">
        <is>
          <t>Poids</t>
        </is>
      </c>
      <c r="I5" s="145" t="inlineStr">
        <is>
          <t>Score_Pond</t>
        </is>
      </c>
      <c r="J5" s="145" t="inlineStr">
        <is>
          <t>Obj_2027</t>
        </is>
      </c>
      <c r="K5" s="145" t="inlineStr">
        <is>
          <t>Statut</t>
        </is>
      </c>
      <c r="L5" s="145" t="inlineStr">
        <is>
          <t>ESRS</t>
        </is>
      </c>
      <c r="M5" s="145" t="inlineStr">
        <is>
          <t>Source</t>
        </is>
      </c>
      <c r="N5" s="142" t="n"/>
    </row>
    <row r="6">
      <c r="A6" s="190" t="inlineStr">
        <is>
          <t>Environnement E</t>
        </is>
      </c>
      <c r="B6" s="149" t="n">
        <v>68.40000000000001</v>
      </c>
      <c r="C6" s="149" t="n">
        <v>62.1</v>
      </c>
      <c r="D6" s="149" t="n">
        <v>6.3</v>
      </c>
      <c r="E6" s="149" t="n">
        <v>65</v>
      </c>
      <c r="F6" s="149" t="n">
        <v>3.4</v>
      </c>
      <c r="G6" s="149" t="inlineStr">
        <is>
          <t>haut 6.3pts</t>
        </is>
      </c>
      <c r="H6" s="178" t="n">
        <v>0.4</v>
      </c>
      <c r="I6" s="149" t="n">
        <v>27.36</v>
      </c>
      <c r="J6" s="149" t="n">
        <v>75</v>
      </c>
      <c r="K6" s="149" t="inlineStr">
        <is>
          <t>Proche objectif</t>
        </is>
      </c>
      <c r="L6" s="149" t="inlineStr">
        <is>
          <t>ESRS E1/E2</t>
        </is>
      </c>
      <c r="M6" s="149" t="inlineStr">
        <is>
          <t>ESG_CARBONE</t>
        </is>
      </c>
      <c r="N6" s="142" t="n"/>
    </row>
    <row r="7">
      <c r="A7" s="191" t="inlineStr">
        <is>
          <t>Social S</t>
        </is>
      </c>
      <c r="B7" s="96" t="n">
        <v>72.09999999999999</v>
      </c>
      <c r="C7" s="96" t="n">
        <v>68.5</v>
      </c>
      <c r="D7" s="96" t="n">
        <v>3.6</v>
      </c>
      <c r="E7" s="96" t="n">
        <v>60</v>
      </c>
      <c r="F7" s="96" t="n">
        <v>12.1</v>
      </c>
      <c r="G7" s="96" t="inlineStr">
        <is>
          <t>haut 3.6pts</t>
        </is>
      </c>
      <c r="H7" s="175" t="n">
        <v>0.35</v>
      </c>
      <c r="I7" s="96" t="n">
        <v>25.24</v>
      </c>
      <c r="J7" s="96" t="n">
        <v>78</v>
      </c>
      <c r="K7" s="96" t="inlineStr">
        <is>
          <t>Proche objectif</t>
        </is>
      </c>
      <c r="L7" s="96" t="inlineStr">
        <is>
          <t>ESRS S1</t>
        </is>
      </c>
      <c r="M7" s="96" t="inlineStr">
        <is>
          <t>ESG_DIVERSITE</t>
        </is>
      </c>
      <c r="N7" s="142" t="n"/>
    </row>
    <row r="8">
      <c r="A8" s="192" t="inlineStr">
        <is>
          <t>Gouvernance G</t>
        </is>
      </c>
      <c r="B8" s="81" t="n">
        <v>64.8</v>
      </c>
      <c r="C8" s="81" t="n">
        <v>61.2</v>
      </c>
      <c r="D8" s="81" t="n">
        <v>3.6</v>
      </c>
      <c r="E8" s="81" t="n">
        <v>62</v>
      </c>
      <c r="F8" s="81" t="n">
        <v>2.8</v>
      </c>
      <c r="G8" s="81" t="inlineStr">
        <is>
          <t>haut 3.6pts</t>
        </is>
      </c>
      <c r="H8" s="193" t="n">
        <v>0.25</v>
      </c>
      <c r="I8" s="81" t="n">
        <v>16.2</v>
      </c>
      <c r="J8" s="81" t="n">
        <v>70</v>
      </c>
      <c r="K8" s="81" t="inlineStr">
        <is>
          <t>Proche objectif</t>
        </is>
      </c>
      <c r="L8" s="81" t="inlineStr">
        <is>
          <t>ESRS G1</t>
        </is>
      </c>
      <c r="M8" s="81" t="inlineStr">
        <is>
          <t>ESG_DIVERSITE</t>
        </is>
      </c>
      <c r="N8" s="142" t="n"/>
    </row>
    <row r="9">
      <c r="A9" s="194" t="inlineStr">
        <is>
          <t>ESG Global</t>
        </is>
      </c>
      <c r="B9" s="194">
        <f>B6*0.4+B7*0.35+B8*0.25</f>
        <v/>
      </c>
      <c r="C9" s="194">
        <f>C6*0.4+C7*0.35+C8*0.25</f>
        <v/>
      </c>
      <c r="D9" s="194">
        <f>B9-C9</f>
        <v/>
      </c>
      <c r="E9" s="194" t="n">
        <v>63</v>
      </c>
      <c r="F9" s="194">
        <f>B9-E9</f>
        <v/>
      </c>
      <c r="G9" s="194" t="n"/>
      <c r="H9" s="195" t="n">
        <v>1</v>
      </c>
      <c r="I9" s="194">
        <f>B9</f>
        <v/>
      </c>
      <c r="J9" s="194" t="n">
        <v>75</v>
      </c>
      <c r="K9" s="194">
        <f>IF(B9&gt;=J9,"Atteint",IF(B9&gt;=J9*0.9,"Proche","Retard"))</f>
        <v/>
      </c>
      <c r="L9" s="194" t="inlineStr">
        <is>
          <t>Tous ESRS</t>
        </is>
      </c>
      <c r="M9" s="194" t="inlineStr">
        <is>
          <t>Score pondère</t>
        </is>
      </c>
      <c r="N9" s="142" t="n"/>
    </row>
    <row r="10">
      <c r="A10" s="142" t="n"/>
      <c r="B10" s="142" t="n"/>
      <c r="C10" s="142" t="n"/>
      <c r="D10" s="142" t="n"/>
      <c r="E10" s="142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</row>
    <row r="11">
      <c r="A11" s="142" t="n"/>
      <c r="B11" s="142" t="n"/>
      <c r="C11" s="142" t="n"/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</row>
    <row r="12">
      <c r="A12" s="597" t="inlineStr">
        <is>
          <t>SECTION 2 – KPIs CARBONE CONSOLIDES (alimentation DASHBOARD_FIN et DASHBOARD_ESG)</t>
        </is>
      </c>
      <c r="M12" s="142" t="n"/>
      <c r="N12" s="142" t="n"/>
    </row>
    <row r="13">
      <c r="A13" s="197" t="inlineStr">
        <is>
          <t>KPI</t>
        </is>
      </c>
      <c r="B13" s="197" t="inlineStr">
        <is>
          <t>Val_2025</t>
        </is>
      </c>
      <c r="C13" s="197" t="inlineStr">
        <is>
          <t>Unite</t>
        </is>
      </c>
      <c r="D13" s="197" t="inlineStr">
        <is>
          <t>Val_2024</t>
        </is>
      </c>
      <c r="E13" s="197" t="inlineStr">
        <is>
          <t>Delta</t>
        </is>
      </c>
      <c r="F13" s="197" t="inlineStr">
        <is>
          <t>Obj_2030</t>
        </is>
      </c>
      <c r="G13" s="197" t="inlineStr">
        <is>
          <t>Progres</t>
        </is>
      </c>
      <c r="H13" s="197" t="inlineStr">
        <is>
          <t>ESRS</t>
        </is>
      </c>
      <c r="I13" s="197" t="inlineStr">
        <is>
          <t>Dashboard_Cible</t>
        </is>
      </c>
      <c r="J13" s="197" t="inlineStr">
        <is>
          <t>Cellule_Cible</t>
        </is>
      </c>
      <c r="K13" s="142" t="n"/>
      <c r="L13" s="142" t="n"/>
      <c r="M13" s="142" t="n"/>
      <c r="N13" s="142" t="n"/>
    </row>
    <row r="14">
      <c r="A14" s="98" t="inlineStr">
        <is>
          <t>Scope 1 brut tCO2eq</t>
        </is>
      </c>
      <c r="B14" s="98" t="n">
        <v>18400</v>
      </c>
      <c r="C14" s="98" t="inlineStr">
        <is>
          <t>tCO2eq</t>
        </is>
      </c>
      <c r="D14" s="98" t="n">
        <v>45396</v>
      </c>
      <c r="E14" s="98" t="n">
        <v>-26996</v>
      </c>
      <c r="F14" s="98" t="n">
        <v>54000</v>
      </c>
      <c r="G14" s="196" t="inlineStr">
        <is>
          <t>59 pct</t>
        </is>
      </c>
      <c r="H14" s="98" t="inlineStr">
        <is>
          <t>E1-6 para44a</t>
        </is>
      </c>
      <c r="I14" s="98" t="inlineStr">
        <is>
          <t>DASHBOARD_ESG</t>
        </is>
      </c>
      <c r="J14" s="98" t="inlineStr">
        <is>
          <t>C12</t>
        </is>
      </c>
      <c r="K14" s="142" t="n"/>
      <c r="L14" s="142" t="n"/>
      <c r="M14" s="142" t="n"/>
      <c r="N14" s="142" t="n"/>
    </row>
    <row r="15">
      <c r="A15" s="540" t="inlineStr">
        <is>
          <t>Scope 2 marche tCO2eq</t>
        </is>
      </c>
      <c r="B15" s="540" t="n">
        <v>24200</v>
      </c>
      <c r="C15" s="540" t="inlineStr">
        <is>
          <t>tCO2eq</t>
        </is>
      </c>
      <c r="D15" s="540" t="n">
        <v>48640</v>
      </c>
      <c r="E15" s="540" t="n">
        <v>-24440</v>
      </c>
      <c r="F15" s="540" t="n">
        <v>27500</v>
      </c>
      <c r="G15" s="30" t="inlineStr">
        <is>
          <t>89 pct</t>
        </is>
      </c>
      <c r="H15" s="540" t="inlineStr">
        <is>
          <t>E1-6 para44b</t>
        </is>
      </c>
      <c r="I15" s="540" t="inlineStr">
        <is>
          <t>DASHBOARD_ESG</t>
        </is>
      </c>
      <c r="J15" s="540" t="inlineStr">
        <is>
          <t>C13</t>
        </is>
      </c>
      <c r="K15" s="142" t="n"/>
      <c r="L15" s="142" t="n"/>
      <c r="M15" s="142" t="n"/>
      <c r="N15" s="142" t="n"/>
    </row>
    <row r="16">
      <c r="A16" s="98" t="inlineStr">
        <is>
          <t>Scope 3 total tCO2eq</t>
        </is>
      </c>
      <c r="B16" s="98" t="n">
        <v>322000</v>
      </c>
      <c r="C16" s="98" t="inlineStr">
        <is>
          <t>tCO2eq</t>
        </is>
      </c>
      <c r="D16" s="98" t="n">
        <v>521860</v>
      </c>
      <c r="E16" s="98" t="n">
        <v>-199860</v>
      </c>
      <c r="F16" s="98" t="n">
        <v>300000</v>
      </c>
      <c r="G16" s="196" t="inlineStr">
        <is>
          <t>95 pct</t>
        </is>
      </c>
      <c r="H16" s="98" t="inlineStr">
        <is>
          <t>E1-6 para44c</t>
        </is>
      </c>
      <c r="I16" s="98" t="inlineStr">
        <is>
          <t>DASHBOARD_ESG</t>
        </is>
      </c>
      <c r="J16" s="98" t="inlineStr">
        <is>
          <t>C14</t>
        </is>
      </c>
      <c r="K16" s="142" t="n"/>
      <c r="L16" s="142" t="n"/>
      <c r="M16" s="142" t="n"/>
      <c r="N16" s="142" t="n"/>
    </row>
    <row r="17">
      <c r="A17" s="540" t="inlineStr">
        <is>
          <t>Total Scope 1+2+3</t>
        </is>
      </c>
      <c r="B17" s="540" t="n">
        <v>364600</v>
      </c>
      <c r="C17" s="540" t="inlineStr">
        <is>
          <t>tCO2eq</t>
        </is>
      </c>
      <c r="D17" s="540" t="n">
        <v>615896</v>
      </c>
      <c r="E17" s="540" t="n">
        <v>-251296</v>
      </c>
      <c r="F17" s="540" t="n">
        <v>381500</v>
      </c>
      <c r="G17" s="30" t="inlineStr">
        <is>
          <t>Calcule</t>
        </is>
      </c>
      <c r="H17" s="540" t="inlineStr">
        <is>
          <t>E1-6 para44</t>
        </is>
      </c>
      <c r="I17" s="540" t="inlineStr">
        <is>
          <t>DASHBOARD_ESG</t>
        </is>
      </c>
      <c r="J17" s="540" t="inlineStr">
        <is>
          <t>C15</t>
        </is>
      </c>
      <c r="K17" s="142" t="n"/>
      <c r="L17" s="142" t="n"/>
      <c r="M17" s="142" t="n"/>
      <c r="N17" s="142" t="n"/>
    </row>
    <row r="18">
      <c r="A18" s="98" t="inlineStr">
        <is>
          <t>Intensite carbone tCO2/M€</t>
        </is>
      </c>
      <c r="B18" s="98">
        <f>IFERROR(B14/(CONSOL_CR!K7/1000),0)</f>
        <v/>
      </c>
      <c r="C18" s="98" t="inlineStr">
        <is>
          <t>tCO2/M€</t>
        </is>
      </c>
      <c r="D18" s="98" t="n">
        <v>247</v>
      </c>
      <c r="E18" s="98" t="n">
        <v>0</v>
      </c>
      <c r="F18" s="98" t="n">
        <v>120</v>
      </c>
      <c r="G18" s="196" t="inlineStr">
        <is>
          <t>Calcule</t>
        </is>
      </c>
      <c r="H18" s="98" t="inlineStr">
        <is>
          <t>E1-6 para55</t>
        </is>
      </c>
      <c r="I18" s="98" t="inlineStr">
        <is>
          <t>DASHBOARD_FIN</t>
        </is>
      </c>
      <c r="J18" s="98" t="inlineStr">
        <is>
          <t>H25</t>
        </is>
      </c>
      <c r="K18" s="142" t="n"/>
      <c r="L18" s="142" t="n"/>
      <c r="M18" s="142" t="n"/>
      <c r="N18" s="142" t="n"/>
    </row>
    <row r="19">
      <c r="A19" s="540" t="inlineStr">
        <is>
          <t>Prix carbone interne EUR/t</t>
        </is>
      </c>
      <c r="B19" s="540" t="n">
        <v>35</v>
      </c>
      <c r="C19" s="540" t="inlineStr">
        <is>
          <t>EUR/t</t>
        </is>
      </c>
      <c r="D19" s="540" t="n">
        <v>30</v>
      </c>
      <c r="E19" s="540" t="n">
        <v>5</v>
      </c>
      <c r="F19" s="540" t="n">
        <v>75</v>
      </c>
      <c r="G19" s="30" t="inlineStr">
        <is>
          <t>Parametre</t>
        </is>
      </c>
      <c r="H19" s="540" t="inlineStr">
        <is>
          <t>E1 para64</t>
        </is>
      </c>
      <c r="I19" s="540" t="inlineStr">
        <is>
          <t>ESG_CARBONE</t>
        </is>
      </c>
      <c r="J19" s="540" t="inlineStr">
        <is>
          <t>B34 jaune</t>
        </is>
      </c>
      <c r="K19" s="142" t="n"/>
      <c r="L19" s="142" t="n"/>
      <c r="M19" s="142" t="n"/>
      <c r="N19" s="142" t="n"/>
    </row>
    <row r="20">
      <c r="A20" s="98" t="inlineStr">
        <is>
          <t>Cout carbone theorique k€</t>
        </is>
      </c>
      <c r="B20" s="98">
        <f>IFERROR(B17*B19/1000,0)</f>
        <v/>
      </c>
      <c r="C20" s="98" t="inlineStr">
        <is>
          <t>k€</t>
        </is>
      </c>
      <c r="D20" s="98" t="n">
        <v>0</v>
      </c>
      <c r="E20" s="98" t="n">
        <v>0</v>
      </c>
      <c r="F20" s="98" t="n">
        <v>0</v>
      </c>
      <c r="G20" s="196" t="inlineStr">
        <is>
          <t>Calcule</t>
        </is>
      </c>
      <c r="H20" s="98" t="inlineStr">
        <is>
          <t>E1 para64</t>
        </is>
      </c>
      <c r="I20" s="98" t="inlineStr">
        <is>
          <t>DASHBOARD_FIN</t>
        </is>
      </c>
      <c r="J20" s="98" t="inlineStr">
        <is>
          <t>C42</t>
        </is>
      </c>
      <c r="K20" s="142" t="n"/>
      <c r="L20" s="142" t="n"/>
      <c r="M20" s="142" t="n"/>
      <c r="N20" s="142" t="n"/>
    </row>
    <row r="21">
      <c r="A21" s="540" t="inlineStr">
        <is>
          <t>Obj reduction S1+2 pct</t>
        </is>
      </c>
      <c r="B21" s="30" t="n">
        <v>-50</v>
      </c>
      <c r="C21" s="540" t="inlineStr">
        <is>
          <t>pct</t>
        </is>
      </c>
      <c r="D21" s="540" t="n">
        <v>0</v>
      </c>
      <c r="E21" s="540" t="n">
        <v>0</v>
      </c>
      <c r="F21" s="540" t="n">
        <v>0</v>
      </c>
      <c r="G21" s="30" t="inlineStr">
        <is>
          <t>SBTi valide</t>
        </is>
      </c>
      <c r="H21" s="540" t="inlineStr">
        <is>
          <t>E1-4 para30</t>
        </is>
      </c>
      <c r="I21" s="540" t="inlineStr">
        <is>
          <t>Note</t>
        </is>
      </c>
      <c r="J21" s="540" t="inlineStr">
        <is>
          <t>cible moins 50 pct</t>
        </is>
      </c>
      <c r="K21" s="142" t="n"/>
      <c r="L21" s="142" t="n"/>
      <c r="M21" s="142" t="n"/>
      <c r="N21" s="142" t="n"/>
    </row>
    <row r="22">
      <c r="A22" s="142" t="n"/>
      <c r="B22" s="142" t="n"/>
      <c r="C22" s="142" t="n"/>
      <c r="D22" s="142" t="n"/>
      <c r="E22" s="142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</row>
    <row r="23">
      <c r="A23" s="142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</row>
    <row r="24">
      <c r="A24" s="597" t="inlineStr">
        <is>
          <t>SECTION 3 – GUIDE IMPLEMENTATION POWER PIVOT et CUBEVALUE (10 etapes)</t>
        </is>
      </c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</row>
    <row r="25">
      <c r="A25" s="197" t="inlineStr">
        <is>
          <t>Etape</t>
        </is>
      </c>
      <c r="B25" s="197" t="inlineStr">
        <is>
          <t>Action</t>
        </is>
      </c>
      <c r="C25" s="197" t="inlineStr">
        <is>
          <t>Outil</t>
        </is>
      </c>
      <c r="D25" s="197" t="inlineStr">
        <is>
          <t>Detail</t>
        </is>
      </c>
      <c r="E25" s="142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</row>
    <row r="26">
      <c r="A26" s="98" t="n">
        <v>1</v>
      </c>
      <c r="B26" s="98" t="inlineStr">
        <is>
          <t>Activer Power Pivot</t>
        </is>
      </c>
      <c r="C26" s="98" t="inlineStr">
        <is>
          <t>Fichier Options Compléments COM</t>
        </is>
      </c>
      <c r="D26" s="98" t="inlineStr">
        <is>
          <t>Cocher Microsoft Power Pivot pour Excel</t>
        </is>
      </c>
      <c r="E26" s="142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</row>
    <row r="27">
      <c r="A27" s="540" t="n">
        <v>2</v>
      </c>
      <c r="B27" s="540" t="inlineStr">
        <is>
          <t>Ajouter tables ESG</t>
        </is>
      </c>
      <c r="C27" s="540" t="inlineStr">
        <is>
          <t>Power Pivot Gérer Ajouter au modele</t>
        </is>
      </c>
      <c r="D27" s="540" t="inlineStr">
        <is>
          <t>ESG_CARBONE A:R, ESG_DIVERSITE A:O, ESG_MAPPING A:L</t>
        </is>
      </c>
      <c r="E27" s="142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</row>
    <row r="28">
      <c r="A28" s="98" t="n">
        <v>3</v>
      </c>
      <c r="B28" s="98" t="inlineStr">
        <is>
          <t>Renommer les tables</t>
        </is>
      </c>
      <c r="C28" s="98" t="inlineStr">
        <is>
          <t>Power Pivot clic droit onglet Renommer</t>
        </is>
      </c>
      <c r="D28" s="98" t="inlineStr">
        <is>
          <t>ESG_CARBONE_TABLE, ESG_DIVERSITE_TABLE_S1, ESG_DIVERSITE_TABLE_G1</t>
        </is>
      </c>
      <c r="E28" s="142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</row>
    <row r="29">
      <c r="A29" s="540" t="n">
        <v>4</v>
      </c>
      <c r="B29" s="540" t="inlineStr">
        <is>
          <t>Creer les relations</t>
        </is>
      </c>
      <c r="C29" s="540" t="inlineStr">
        <is>
          <t>Power Pivot Vue Diagramme tracer les liens</t>
        </is>
      </c>
      <c r="D29" s="540" t="inlineStr">
        <is>
          <t>ESG_CARBONE_TABLE[Entite] lie a Balances_PQ[EntiteNormalisee]</t>
        </is>
      </c>
      <c r="E29" s="142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</row>
    <row r="30">
      <c r="A30" s="98" t="n">
        <v>5</v>
      </c>
      <c r="B30" s="98" t="inlineStr">
        <is>
          <t>Copier mesures DAX ESG</t>
        </is>
      </c>
      <c r="C30" s="98" t="inlineStr">
        <is>
          <t>Onglet ESG_DAX colonne D copier vers Power Pivot</t>
        </is>
      </c>
      <c r="D30" s="98" t="inlineStr">
        <is>
          <t>9 mesures E1, 8 mesures S1, 3 mesures G1, 6 mesures Cross = 30 total</t>
        </is>
      </c>
      <c r="E30" s="142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</row>
    <row r="31">
      <c r="A31" s="540" t="n">
        <v>6</v>
      </c>
      <c r="B31" s="540" t="inlineStr">
        <is>
          <t>Verifier mesures IFRS 18</t>
        </is>
      </c>
      <c r="C31" s="540" t="inlineStr">
        <is>
          <t>Power Pivot onglet mesures verifier</t>
        </is>
      </c>
      <c r="D31" s="540" t="inlineStr">
        <is>
          <t>M_CA_Net_Elim, M_EBIT, M_FCF_Exploitation doivent exister</t>
        </is>
      </c>
      <c r="E31" s="142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</row>
    <row r="32">
      <c r="A32" s="98" t="n">
        <v>7</v>
      </c>
      <c r="B32" s="98" t="inlineStr">
        <is>
          <t>Inserer CUBEVALUE dans dashboards</t>
        </is>
      </c>
      <c r="C32" s="98" t="inlineStr">
        <is>
          <t>DASHBOARD_FIN H25 et DASHBOARD_ESG C12 a C15</t>
        </is>
      </c>
      <c r="D32" s="98" t="inlineStr">
        <is>
          <t>Syntaxe: utiliser CUBEVALUE avec ThisWorkbookDataModel et nom de mesure MESG_</t>
        </is>
      </c>
      <c r="E32" s="142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</row>
    <row r="33">
      <c r="A33" s="540" t="n">
        <v>8</v>
      </c>
      <c r="B33" s="540" t="inlineStr">
        <is>
          <t>Parametre prix carbone</t>
        </is>
      </c>
      <c r="C33" s="540" t="inlineStr">
        <is>
          <t>ESG_CARBONE cellule jaune B34 Section 4</t>
        </is>
      </c>
      <c r="D33" s="540" t="inlineStr">
        <is>
          <t>Valeurs test: 35 actuel, 75 cible 2030, 120 scenario maximal</t>
        </is>
      </c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</row>
    <row r="34">
      <c r="A34" s="98" t="n">
        <v>9</v>
      </c>
      <c r="B34" s="98" t="inlineStr">
        <is>
          <t>Actualiser toutes les donnees</t>
        </is>
      </c>
      <c r="C34" s="98" t="inlineStr">
        <is>
          <t>Données Actualiser tout</t>
        </is>
      </c>
      <c r="D34" s="98" t="inlineStr">
        <is>
          <t>Ordre: SRC_FR/DE/UK/US/SG puis BALANCES_PQ puis Power Pivot</t>
        </is>
      </c>
      <c r="E34" s="142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</row>
    <row r="35">
      <c r="A35" s="540" t="n">
        <v>10</v>
      </c>
      <c r="B35" s="540" t="inlineStr">
        <is>
          <t>Valider coherence ESG et Financier</t>
        </is>
      </c>
      <c r="C35" s="540" t="inlineStr">
        <is>
          <t>Cellule B20 de cet onglet</t>
        </is>
      </c>
      <c r="D35" s="540" t="inlineStr">
        <is>
          <t>Impact carbone sur EBIT doit etre entre 0 et 50 pct. Si superieur 20 pct: MPM IFRS 18 para 112 requis.</t>
        </is>
      </c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</row>
    <row r="36">
      <c r="A36" s="142" t="n"/>
      <c r="B36" s="142" t="n"/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</row>
    <row r="37">
      <c r="A37" s="142" t="n"/>
      <c r="B37" s="142" t="n"/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</row>
    <row r="38">
      <c r="A38" s="142" t="n"/>
      <c r="B38" s="142" t="n"/>
      <c r="C38" s="142" t="n"/>
      <c r="D38" s="142" t="n"/>
      <c r="E38" s="142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</row>
    <row r="39">
      <c r="A39" s="142" t="n"/>
      <c r="B39" s="142" t="n"/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</row>
    <row r="40">
      <c r="A40" s="142" t="n"/>
      <c r="B40" s="142" t="n"/>
      <c r="C40" s="142" t="n"/>
      <c r="D40" s="142" t="n"/>
      <c r="E40" s="142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</row>
    <row r="41">
      <c r="A41" s="142" t="n"/>
      <c r="B41" s="142" t="n"/>
      <c r="C41" s="142" t="n"/>
      <c r="D41" s="142" t="n"/>
      <c r="E41" s="142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</row>
    <row r="42">
      <c r="A42" s="142" t="n"/>
      <c r="B42" s="142" t="n"/>
      <c r="C42" s="142" t="n"/>
      <c r="D42" s="142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</row>
    <row r="43">
      <c r="A43" s="142" t="n"/>
      <c r="B43" s="142" t="n"/>
      <c r="C43" s="142" t="n"/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</row>
    <row r="44">
      <c r="A44" s="142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</row>
    <row r="45">
      <c r="A45" s="142" t="n"/>
      <c r="B45" s="142" t="n"/>
      <c r="C45" s="142" t="n"/>
      <c r="D45" s="142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</row>
    <row r="46">
      <c r="A46" s="142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</row>
    <row r="47">
      <c r="A47" s="142" t="n"/>
      <c r="B47" s="142" t="n"/>
      <c r="C47" s="142" t="n"/>
      <c r="D47" s="142" t="n"/>
      <c r="E47" s="142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</row>
    <row r="48">
      <c r="A48" s="142" t="n"/>
      <c r="B48" s="142" t="n"/>
      <c r="C48" s="142" t="n"/>
      <c r="D48" s="142" t="n"/>
      <c r="E48" s="142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</row>
    <row r="49">
      <c r="A49" s="142" t="n"/>
      <c r="B49" s="142" t="n"/>
      <c r="C49" s="142" t="n"/>
      <c r="D49" s="142" t="n"/>
      <c r="E49" s="142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</row>
    <row r="50">
      <c r="A50" s="142" t="n"/>
      <c r="B50" s="142" t="n"/>
      <c r="C50" s="142" t="n"/>
      <c r="D50" s="142" t="n"/>
      <c r="E50" s="142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</row>
    <row r="51">
      <c r="A51" s="142" t="n"/>
      <c r="B51" s="142" t="n"/>
      <c r="C51" s="142" t="n"/>
      <c r="D51" s="142" t="n"/>
      <c r="E51" s="14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</row>
    <row r="52">
      <c r="A52" s="142" t="n"/>
      <c r="B52" s="142" t="n"/>
      <c r="C52" s="142" t="n"/>
      <c r="D52" s="142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</row>
    <row r="53">
      <c r="A53" s="142" t="n"/>
      <c r="B53" s="14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</row>
    <row r="54">
      <c r="A54" s="142" t="n"/>
      <c r="B54" s="142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</row>
    <row r="55">
      <c r="A55" s="142" t="n"/>
      <c r="B55" s="142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</row>
    <row r="56">
      <c r="A56" s="142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</row>
    <row r="57">
      <c r="A57" s="142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</row>
    <row r="58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</row>
    <row r="59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</row>
    <row r="60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</row>
    <row r="61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</row>
    <row r="62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</row>
    <row r="63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</row>
    <row r="64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</row>
    <row r="65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</row>
    <row r="66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</row>
    <row r="67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</row>
    <row r="68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</row>
    <row r="69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</row>
    <row r="70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</row>
    <row r="71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</row>
    <row r="72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</row>
    <row r="73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</row>
    <row r="74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</row>
    <row r="75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</row>
    <row r="76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</row>
    <row r="77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</row>
    <row r="78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</row>
    <row r="79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</row>
    <row r="80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</row>
    <row r="81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</row>
    <row r="82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</row>
    <row r="83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</row>
    <row r="84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</row>
    <row r="85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</row>
    <row r="86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</row>
    <row r="87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</row>
    <row r="88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</row>
    <row r="89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</row>
    <row r="90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</row>
    <row r="91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</row>
    <row r="92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</row>
    <row r="93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</row>
    <row r="94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</row>
    <row r="95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</row>
    <row r="96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</row>
    <row r="97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</row>
    <row r="98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</row>
    <row r="99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</row>
    <row r="100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</row>
  </sheetData>
  <mergeCells count="5">
    <mergeCell ref="A1:M1"/>
    <mergeCell ref="A4:M4"/>
    <mergeCell ref="A24:D24"/>
    <mergeCell ref="A2:M2"/>
    <mergeCell ref="A12:L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FF1F3864"/>
    <outlinePr summaryBelow="1" summaryRight="1"/>
    <pageSetUpPr/>
  </sheetPr>
  <dimension ref="A1:Z245"/>
  <sheetViews>
    <sheetView showGridLines="0" workbookViewId="0">
      <pane ySplit="3" topLeftCell="A11" activePane="bottomLeft" state="frozen"/>
      <selection pane="bottomLeft" activeCell="L8" sqref="L8:M8"/>
    </sheetView>
  </sheetViews>
  <sheetFormatPr baseColWidth="10" defaultRowHeight="15"/>
  <cols>
    <col width="7.42578125" customWidth="1" style="500" min="1" max="1"/>
    <col width="39.85546875" customWidth="1" style="500" min="2" max="2"/>
    <col width="16.140625" customWidth="1" style="500" min="3" max="3"/>
    <col width="15.28515625" customWidth="1" style="500" min="4" max="4"/>
    <col width="13.28515625" customWidth="1" style="500" min="5" max="5"/>
    <col width="17.7109375" bestFit="1" customWidth="1" style="500" min="6" max="6"/>
    <col width="22.85546875" bestFit="1" customWidth="1" style="500" min="7" max="7"/>
    <col width="17.7109375" bestFit="1" customWidth="1" style="500" min="8" max="8"/>
    <col width="12.42578125" customWidth="1" style="500" min="9" max="9"/>
    <col width="19" customWidth="1" style="500" min="10" max="10"/>
    <col width="14.5703125" bestFit="1" customWidth="1" style="500" min="11" max="11"/>
    <col width="12.42578125" customWidth="1" style="500" min="12" max="12"/>
    <col width="22.85546875" customWidth="1" style="500" min="13" max="13"/>
    <col width="12.42578125" customWidth="1" style="500" min="14" max="16"/>
    <col width="10.42578125" customWidth="1" style="500" min="17" max="17"/>
    <col width="12.42578125" customWidth="1" style="500" min="18" max="23"/>
    <col width="12.85546875" bestFit="1" customWidth="1" style="500" min="24" max="24"/>
  </cols>
  <sheetData>
    <row r="1" ht="38.1" customHeight="1" s="500">
      <c r="A1" s="203" t="inlineStr">
        <is>
          <t>DASHBOARD_START</t>
        </is>
      </c>
      <c r="B1" s="625" t="inlineStr">
        <is>
          <t>📊  GROUPE MULTINATIONAL · DASHBOARD CONSOLIDÉ IFRS 18 · ESG/CSRD · POWER PIVOT 2025</t>
        </is>
      </c>
      <c r="Y1" s="200" t="n"/>
      <c r="Z1" s="200" t="n"/>
    </row>
    <row r="2" ht="18" customHeight="1" s="500">
      <c r="B2" s="626" t="inlineStr">
        <is>
          <t>5 entités consolidées · IAS 21 multidevises · IFRS 18 §65 · ESRS E1/S1 · Power Pivot + DAX · Slicers interactifs</t>
        </is>
      </c>
      <c r="Y2" s="200" t="n"/>
      <c r="Z2" s="200" t="n"/>
    </row>
    <row r="3" ht="27.95" customHeight="1" s="500">
      <c r="B3" s="627" t="inlineStr">
        <is>
          <t>📅  ANNÉE  ▶  2023 · 2024 · 2025  ◀  [Connecter Slicer → TCD_ANNEE]</t>
        </is>
      </c>
      <c r="F3" s="628" t="inlineStr">
        <is>
          <t>🎯  SCÉNARIO  ▶  Base · Bull · Bear  ◀  [Slicer → TCD_SCENARIO]</t>
        </is>
      </c>
      <c r="J3" s="629" t="inlineStr">
        <is>
          <t>🏢  ENTITÉ  ▶  Groupe · FR · DE · UK · US · SG  ◀  [Slicer → TCD_ENTITE]</t>
        </is>
      </c>
      <c r="N3" s="630" t="inlineStr">
        <is>
          <t>💱  DEVISE  ▶  EUR · GBP · USD · SGD  ◀  [Slicer → TCD_DEVISE]</t>
        </is>
      </c>
      <c r="R3" s="631" t="inlineStr">
        <is>
          <t>⚙️  Voir onglet PQ_DAX_MESURES pour instructions Power Pivot / DAX complets</t>
        </is>
      </c>
      <c r="Y3" s="200" t="n"/>
      <c r="Z3" s="200" t="n"/>
    </row>
    <row r="4" ht="21.95" customHeight="1" s="500">
      <c r="B4" s="619" t="inlineStr">
        <is>
          <t>📈  KPIs FINANCIERS PRINCIPAUX — IFRS 18 §65 · IAS 21 Converti · Consolidé net d'éliminations</t>
        </is>
      </c>
      <c r="Y4" s="200" t="n"/>
      <c r="Z4" s="200" t="n"/>
    </row>
    <row r="5" ht="21.95" customHeight="1" s="500">
      <c r="B5" s="955" t="inlineStr">
        <is>
          <t>💰  CHIFFRE D'AFFAIRES NET</t>
        </is>
      </c>
      <c r="F5" s="955" t="inlineStr">
        <is>
          <t>⚡  EBITDA</t>
        </is>
      </c>
      <c r="J5" s="955" t="inlineStr">
        <is>
          <t>📊  RÉSULTAT NET GROUPE</t>
        </is>
      </c>
      <c r="N5" s="620" t="inlineStr">
        <is>
          <t>💧  FREE CASH FLOW</t>
        </is>
      </c>
      <c r="R5" s="1092" t="inlineStr">
        <is>
          <t>🌍  CO₂ TOTAL GROUPE (Scope 1+2+3)</t>
        </is>
      </c>
      <c r="X5" s="1093" t="n"/>
      <c r="Y5" s="200" t="n"/>
      <c r="Z5" s="200" t="n"/>
    </row>
    <row r="6" ht="15.95" customHeight="1" s="500">
      <c r="B6" s="957" t="inlineStr">
        <is>
          <t>Consolidé 2025 (k€) · IFRS 15</t>
        </is>
      </c>
      <c r="F6" s="957" t="inlineStr">
        <is>
          <t>EBIT + D&amp;A · Consolid. 2025 (k€)</t>
        </is>
      </c>
      <c r="J6" s="957" t="inlineStr">
        <is>
          <t>Part Groupe 2025 (k€)</t>
        </is>
      </c>
      <c r="N6" s="614" t="inlineStr">
        <is>
          <t>FCF = Flux Exploit. + Invest. (k€)</t>
        </is>
      </c>
      <c r="R6" s="1094" t="inlineStr">
        <is>
          <t>tCO₂eq · GHG Protocol · ESRS E1-6 §44</t>
        </is>
      </c>
      <c r="X6" s="1093" t="n"/>
      <c r="Y6" s="200" t="n"/>
      <c r="Z6" s="200" t="n"/>
    </row>
    <row r="7" ht="48" customHeight="1" s="500">
      <c r="B7" s="609" t="inlineStr">
        <is>
          <t xml:space="preserve"> </t>
        </is>
      </c>
      <c r="F7" s="609" t="inlineStr">
        <is>
          <t>216 451 k€</t>
        </is>
      </c>
      <c r="J7" s="609" t="inlineStr">
        <is>
          <t>82 110 k€</t>
        </is>
      </c>
      <c r="N7" s="609" t="inlineStr">
        <is>
          <t>78 448 k€</t>
        </is>
      </c>
      <c r="R7" s="1095" t="inlineStr">
        <is>
          <t>635 000 tCO₂eq</t>
        </is>
      </c>
      <c r="X7" s="1093" t="n"/>
      <c r="Y7" s="200" t="n"/>
      <c r="Z7" s="200" t="n"/>
    </row>
    <row r="8" ht="20.1" customHeight="1" s="500" thickBot="1">
      <c r="B8" s="639" t="inlineStr">
        <is>
          <t>▲ vs N-1 : +8,2%</t>
        </is>
      </c>
      <c r="C8" s="1096" t="n"/>
      <c r="D8" s="632" t="inlineStr">
        <is>
          <t>Marge EBIT: 18,8%</t>
        </is>
      </c>
      <c r="E8" s="1096" t="n"/>
      <c r="F8" s="639" t="inlineStr">
        <is>
          <t>Marge EBITDA: 26,5%</t>
        </is>
      </c>
      <c r="G8" s="1096" t="n"/>
      <c r="H8" s="632" t="inlineStr">
        <is>
          <t>EBIT consolid.: 153 798 k€</t>
        </is>
      </c>
      <c r="I8" s="1096" t="n"/>
      <c r="J8" s="641" t="inlineStr">
        <is>
          <t>▼ vs N-1 : -35,0%</t>
        </is>
      </c>
      <c r="K8" s="1096" t="n"/>
      <c r="L8" s="632" t="inlineStr">
        <is>
          <t>Marge nette: 10,0%</t>
        </is>
      </c>
      <c r="M8" s="1096" t="n"/>
      <c r="N8" s="639" t="inlineStr">
        <is>
          <t>FCF Yield: 9,6%</t>
        </is>
      </c>
      <c r="O8" s="1096" t="n"/>
      <c r="P8" s="632" t="inlineStr">
        <is>
          <t>Flux Exploit.: 133 648 k€</t>
        </is>
      </c>
      <c r="Q8" s="1096" t="n"/>
      <c r="R8" s="633" t="inlineStr">
        <is>
          <t>▼ vs N-1 : -10,1%</t>
        </is>
      </c>
      <c r="S8" s="1096" t="n"/>
      <c r="T8" s="1096" t="n"/>
      <c r="U8" s="636" t="inlineStr">
        <is>
          <t>Intensité: 777 tCO₂/M€ CA</t>
        </is>
      </c>
      <c r="V8" s="1096" t="n"/>
      <c r="W8" s="1096" t="n"/>
      <c r="X8" s="1097" t="n"/>
      <c r="Y8" s="200" t="n"/>
      <c r="Z8" s="200" t="n"/>
    </row>
    <row r="9" ht="21.95" customHeight="1" s="500" thickTop="1">
      <c r="B9" s="637" t="inlineStr">
        <is>
          <t>📊  IFRS 18 — WATERFALL COMPTE DE RÉSULTAT (5 Catégories §65)</t>
        </is>
      </c>
      <c r="M9" s="638" t="inlineStr">
        <is>
          <t>📊  ANALYSE VARIANCES N vs N-1 — Postes IFRS 18</t>
        </is>
      </c>
      <c r="Y9" s="200" t="n"/>
      <c r="Z9" s="200" t="n"/>
    </row>
    <row r="10" ht="18" customHeight="1" s="500">
      <c r="B10" s="204" t="inlineStr">
        <is>
          <t>Poste IFRS 18</t>
        </is>
      </c>
      <c r="C10" s="204" t="inlineStr">
        <is>
          <t>Cat.</t>
        </is>
      </c>
      <c r="D10" s="204" t="inlineStr">
        <is>
          <t>N 2025</t>
        </is>
      </c>
      <c r="E10" s="204" t="inlineStr">
        <is>
          <t>N-1 2024</t>
        </is>
      </c>
      <c r="F10" s="204" t="inlineStr">
        <is>
          <t>Var.k€</t>
        </is>
      </c>
      <c r="G10" s="204" t="inlineStr">
        <is>
          <t>Var.%</t>
        </is>
      </c>
      <c r="H10" s="204" t="inlineStr">
        <is>
          <t>Base inv.</t>
        </is>
      </c>
      <c r="I10" s="204" t="inlineStr">
        <is>
          <t>Positif</t>
        </is>
      </c>
      <c r="J10" s="204" t="inlineStr">
        <is>
          <t>Négatif</t>
        </is>
      </c>
      <c r="K10" s="204" t="inlineStr">
        <is>
          <t>Total WF</t>
        </is>
      </c>
      <c r="L10" s="204" t="inlineStr">
        <is>
          <t>Tag</t>
        </is>
      </c>
      <c r="M10" s="217" t="inlineStr">
        <is>
          <t>Poste</t>
        </is>
      </c>
      <c r="N10" s="217" t="inlineStr">
        <is>
          <t>N 2025</t>
        </is>
      </c>
      <c r="O10" s="217" t="inlineStr">
        <is>
          <t>N-1 2024</t>
        </is>
      </c>
      <c r="P10" s="217" t="inlineStr">
        <is>
          <t>Var.k€</t>
        </is>
      </c>
      <c r="Q10" s="217" t="inlineStr">
        <is>
          <t>Var.%</t>
        </is>
      </c>
      <c r="R10" s="217" t="inlineStr">
        <is>
          <t>Mg Impact</t>
        </is>
      </c>
      <c r="S10" s="217" t="inlineStr">
        <is>
          <t>Bull</t>
        </is>
      </c>
      <c r="T10" s="217" t="inlineStr">
        <is>
          <t>Bear</t>
        </is>
      </c>
      <c r="U10" s="217" t="inlineStr">
        <is>
          <t>Commentaire Analyse IFRS 18</t>
        </is>
      </c>
      <c r="V10" s="217" t="n"/>
      <c r="W10" s="217" t="n"/>
      <c r="X10" s="217" t="n"/>
      <c r="Y10" s="200" t="n"/>
      <c r="Z10" s="200" t="n"/>
    </row>
    <row r="11" ht="15.95" customHeight="1" s="500">
      <c r="B11" s="352" t="inlineStr">
        <is>
          <t>CA net IFRS 15</t>
        </is>
      </c>
      <c r="C11" s="206" t="inlineStr">
        <is>
          <t>①Exploit.</t>
        </is>
      </c>
      <c r="D11" s="206" t="n">
        <v>817075</v>
      </c>
      <c r="E11" s="1098" t="n">
        <v>820000</v>
      </c>
      <c r="F11" s="206" t="n">
        <v>-2925</v>
      </c>
      <c r="G11" s="207" t="n">
        <v>-0.004</v>
      </c>
      <c r="H11" s="205" t="n">
        <v>0</v>
      </c>
      <c r="I11" s="205" t="n">
        <v>817075</v>
      </c>
      <c r="J11" s="205" t="n">
        <v>0</v>
      </c>
      <c r="K11" s="205" t="n">
        <v>0</v>
      </c>
      <c r="L11" s="205" t="inlineStr">
        <is>
          <t>▶</t>
        </is>
      </c>
      <c r="M11" s="643" t="inlineStr">
        <is>
          <t>CA net IFRS 15</t>
        </is>
      </c>
      <c r="N11" s="227" t="n">
        <v>817075</v>
      </c>
      <c r="O11" s="227" t="n">
        <v>820000</v>
      </c>
      <c r="P11" s="1099" t="n">
        <v>-2925</v>
      </c>
      <c r="Q11" s="229" t="n">
        <v>-0.004</v>
      </c>
      <c r="R11" s="226" t="n">
        <v>-0.004</v>
      </c>
      <c r="S11" s="227" t="n">
        <v>860000</v>
      </c>
      <c r="T11" s="227" t="n">
        <v>780000</v>
      </c>
      <c r="U11" s="643" t="inlineStr">
        <is>
          <t>Léger recul; mix-entité UK+DE favorable</t>
        </is>
      </c>
      <c r="Y11" s="200" t="n"/>
      <c r="Z11" s="200" t="n"/>
    </row>
    <row r="12" ht="15.95" customHeight="1" s="500">
      <c r="B12" s="351" t="inlineStr">
        <is>
          <t>Var.stks+Autres prod.</t>
        </is>
      </c>
      <c r="C12" s="209" t="inlineStr">
        <is>
          <t>①Exploit.</t>
        </is>
      </c>
      <c r="D12" s="209" t="n">
        <v>18702</v>
      </c>
      <c r="E12" s="1100" t="n">
        <v>17700</v>
      </c>
      <c r="F12" s="209" t="n">
        <v>1002</v>
      </c>
      <c r="G12" s="210" t="n">
        <v>0.013</v>
      </c>
      <c r="H12" s="644" t="n">
        <v>817075</v>
      </c>
      <c r="I12" s="644" t="n">
        <v>18702</v>
      </c>
      <c r="J12" s="644" t="n">
        <v>0</v>
      </c>
      <c r="K12" s="644" t="n">
        <v>0</v>
      </c>
      <c r="L12" s="644" t="inlineStr">
        <is>
          <t>▲</t>
        </is>
      </c>
      <c r="M12" s="644" t="inlineStr">
        <is>
          <t>EBIT</t>
        </is>
      </c>
      <c r="N12" s="209" t="n">
        <v>153798</v>
      </c>
      <c r="O12" s="209" t="n">
        <v>161000</v>
      </c>
      <c r="P12" s="1101" t="n">
        <v>-7202</v>
      </c>
      <c r="Q12" s="231" t="n">
        <v>-0.045</v>
      </c>
      <c r="R12" s="230" t="n">
        <v>0.007</v>
      </c>
      <c r="S12" s="209" t="n">
        <v>168000</v>
      </c>
      <c r="T12" s="209" t="n">
        <v>138000</v>
      </c>
      <c r="U12" s="644" t="inlineStr">
        <is>
          <t>Pression coûts matières +3.0%</t>
        </is>
      </c>
      <c r="Y12" s="200" t="n"/>
      <c r="Z12" s="200" t="n"/>
    </row>
    <row r="13" ht="15.95" customHeight="1" s="500">
      <c r="B13" s="352" t="inlineStr">
        <is>
          <t>Achats &amp; charges ext.</t>
        </is>
      </c>
      <c r="C13" s="206" t="inlineStr">
        <is>
          <t>①Exploit.</t>
        </is>
      </c>
      <c r="D13" s="206" t="n">
        <v>-385352</v>
      </c>
      <c r="E13" s="1098" t="n">
        <v>-374000</v>
      </c>
      <c r="F13" s="206" t="n">
        <v>-11352</v>
      </c>
      <c r="G13" s="207" t="n">
        <v>-0.03</v>
      </c>
      <c r="H13" s="205" t="n">
        <v>450723</v>
      </c>
      <c r="I13" s="205" t="n">
        <v>0</v>
      </c>
      <c r="J13" s="205" t="n">
        <v>385352</v>
      </c>
      <c r="K13" s="205" t="n">
        <v>0</v>
      </c>
      <c r="L13" s="205" t="inlineStr">
        <is>
          <t>▼</t>
        </is>
      </c>
      <c r="M13" s="643" t="inlineStr">
        <is>
          <t>EBITDA</t>
        </is>
      </c>
      <c r="N13" s="227" t="n">
        <v>216451</v>
      </c>
      <c r="O13" s="227" t="n">
        <v>225200</v>
      </c>
      <c r="P13" s="1099" t="n">
        <v>-8749</v>
      </c>
      <c r="Q13" s="229" t="n">
        <v>-0.039</v>
      </c>
      <c r="R13" s="226" t="n">
        <v>0.007</v>
      </c>
      <c r="S13" s="227" t="n">
        <v>232000</v>
      </c>
      <c r="T13" s="227" t="n">
        <v>198000</v>
      </c>
      <c r="U13" s="643" t="inlineStr">
        <is>
          <t>D&amp;A IFRS 16 hausse modérée +4k€</t>
        </is>
      </c>
      <c r="Y13" s="200" t="n"/>
      <c r="Z13" s="200" t="n"/>
    </row>
    <row r="14" ht="15.95" customHeight="1" s="500">
      <c r="B14" s="351" t="inlineStr">
        <is>
          <t>Charges de personnel</t>
        </is>
      </c>
      <c r="C14" s="209" t="inlineStr">
        <is>
          <t>①Exploit.</t>
        </is>
      </c>
      <c r="D14" s="209" t="n">
        <v>-219880</v>
      </c>
      <c r="E14" s="1100" t="n">
        <v>-224000</v>
      </c>
      <c r="F14" s="209" t="n">
        <v>4120</v>
      </c>
      <c r="G14" s="210" t="n">
        <v>0.018</v>
      </c>
      <c r="H14" s="644" t="n">
        <v>65371</v>
      </c>
      <c r="I14" s="644" t="n">
        <v>0</v>
      </c>
      <c r="J14" s="644" t="n">
        <v>219880</v>
      </c>
      <c r="K14" s="644" t="n">
        <v>0</v>
      </c>
      <c r="L14" s="644" t="inlineStr">
        <is>
          <t>▼</t>
        </is>
      </c>
      <c r="M14" s="644" t="inlineStr">
        <is>
          <t>Rés. Investissement §68</t>
        </is>
      </c>
      <c r="N14" s="209" t="n">
        <v>6521</v>
      </c>
      <c r="O14" s="209" t="n">
        <v>7200</v>
      </c>
      <c r="P14" s="1101" t="n">
        <v>-679</v>
      </c>
      <c r="Q14" s="231" t="n">
        <v>-0.094</v>
      </c>
      <c r="R14" s="230" t="n">
        <v>0.001</v>
      </c>
      <c r="S14" s="209" t="n">
        <v>8000</v>
      </c>
      <c r="T14" s="209" t="n">
        <v>5000</v>
      </c>
      <c r="U14" s="644" t="inlineStr">
        <is>
          <t>Moins-value cessions -0.7M€</t>
        </is>
      </c>
      <c r="Y14" s="200" t="n"/>
      <c r="Z14" s="200" t="n"/>
    </row>
    <row r="15" ht="15.95" customHeight="1" s="500">
      <c r="B15" s="352" t="inlineStr">
        <is>
          <t>Amort. D&amp;A (IFRS16)</t>
        </is>
      </c>
      <c r="C15" s="206" t="inlineStr">
        <is>
          <t>①Exploit.</t>
        </is>
      </c>
      <c r="D15" s="206" t="n">
        <v>-62653</v>
      </c>
      <c r="E15" s="1102" t="n">
        <v>-64200</v>
      </c>
      <c r="F15" s="206" t="n">
        <v>1547</v>
      </c>
      <c r="G15" s="207" t="n">
        <v>0.024</v>
      </c>
      <c r="H15" s="205" t="n">
        <v>153798</v>
      </c>
      <c r="I15" s="205" t="n">
        <v>0</v>
      </c>
      <c r="J15" s="205" t="n">
        <v>62653</v>
      </c>
      <c r="K15" s="205" t="n">
        <v>0</v>
      </c>
      <c r="L15" s="205" t="inlineStr">
        <is>
          <t>▼</t>
        </is>
      </c>
      <c r="M15" s="643" t="inlineStr">
        <is>
          <t>Rés. Financement §72</t>
        </is>
      </c>
      <c r="N15" s="227" t="n">
        <v>-33718</v>
      </c>
      <c r="O15" s="227" t="n">
        <v>-37600</v>
      </c>
      <c r="P15" s="1103" t="n">
        <v>3882</v>
      </c>
      <c r="Q15" s="233" t="n">
        <v>0.103</v>
      </c>
      <c r="R15" s="226" t="n">
        <v>-0.005</v>
      </c>
      <c r="S15" s="227" t="n">
        <v>-30000</v>
      </c>
      <c r="T15" s="227" t="n">
        <v>-38000</v>
      </c>
      <c r="U15" s="643" t="inlineStr">
        <is>
          <t>Réduction dettes IFRS 16 conforme</t>
        </is>
      </c>
      <c r="Y15" s="200" t="n"/>
      <c r="Z15" s="200" t="n"/>
    </row>
    <row r="16" ht="15.95" customHeight="1" s="500">
      <c r="B16" s="211" t="inlineStr">
        <is>
          <t>EBIT IFRS 18 §65</t>
        </is>
      </c>
      <c r="C16" s="212" t="inlineStr">
        <is>
          <t>→ TOTAL</t>
        </is>
      </c>
      <c r="D16" s="212" t="n">
        <v>153798</v>
      </c>
      <c r="E16" s="1104" t="n">
        <v>161000</v>
      </c>
      <c r="F16" s="212" t="n">
        <v>-7202</v>
      </c>
      <c r="G16" s="213" t="n">
        <v>-0.045</v>
      </c>
      <c r="H16" s="211" t="n">
        <v>0</v>
      </c>
      <c r="I16" s="211" t="n">
        <v>0</v>
      </c>
      <c r="J16" s="211" t="n">
        <v>0</v>
      </c>
      <c r="K16" s="211" t="n">
        <v>153798</v>
      </c>
      <c r="L16" s="211" t="inlineStr">
        <is>
          <t>★</t>
        </is>
      </c>
      <c r="M16" s="644" t="inlineStr">
        <is>
          <t>Profit av.fin.&amp;impôt§65</t>
        </is>
      </c>
      <c r="N16" s="209" t="n">
        <v>160319</v>
      </c>
      <c r="O16" s="209" t="n">
        <v>168200</v>
      </c>
      <c r="P16" s="1101" t="n">
        <v>-7881</v>
      </c>
      <c r="Q16" s="231" t="n">
        <v>-0.047</v>
      </c>
      <c r="R16" s="230" t="n">
        <v>0.002</v>
      </c>
      <c r="S16" s="209" t="n">
        <v>175000</v>
      </c>
      <c r="T16" s="209" t="n">
        <v>146000</v>
      </c>
      <c r="U16" s="644" t="inlineStr">
        <is>
          <t>Nouvel KPI obligatoire IFRS 18</t>
        </is>
      </c>
      <c r="Y16" s="200" t="n"/>
      <c r="Z16" s="200" t="n"/>
    </row>
    <row r="17" ht="15.95" customHeight="1" s="500">
      <c r="B17" s="205" t="inlineStr">
        <is>
          <t>Divid.+Cessions</t>
        </is>
      </c>
      <c r="C17" s="206" t="inlineStr">
        <is>
          <t>②Invest.</t>
        </is>
      </c>
      <c r="D17" s="206" t="n">
        <v>6521</v>
      </c>
      <c r="E17" s="1098" t="n">
        <v>7200</v>
      </c>
      <c r="F17" s="206" t="n">
        <v>-679</v>
      </c>
      <c r="G17" s="207" t="n">
        <v>-0.094</v>
      </c>
      <c r="H17" s="205" t="n">
        <v>153798</v>
      </c>
      <c r="I17" s="205" t="n">
        <v>6521</v>
      </c>
      <c r="J17" s="205" t="n">
        <v>0</v>
      </c>
      <c r="K17" s="205" t="n">
        <v>0</v>
      </c>
      <c r="L17" s="205" t="inlineStr">
        <is>
          <t>▲</t>
        </is>
      </c>
      <c r="M17" s="643" t="inlineStr">
        <is>
          <t>Impôts (IAS 12)</t>
        </is>
      </c>
      <c r="N17" s="227" t="n">
        <v>-44491</v>
      </c>
      <c r="O17" s="227" t="n">
        <v>-42700</v>
      </c>
      <c r="P17" s="1099" t="n">
        <v>-1791</v>
      </c>
      <c r="Q17" s="229" t="n">
        <v>-0.042</v>
      </c>
      <c r="R17" s="226" t="n">
        <v>-0.002</v>
      </c>
      <c r="S17" s="227" t="n">
        <v>-46000</v>
      </c>
      <c r="T17" s="227" t="n">
        <v>-41000</v>
      </c>
      <c r="U17" s="643" t="inlineStr">
        <is>
          <t>TX effectif 27.7% vs 25.4% (BEPS)</t>
        </is>
      </c>
      <c r="Y17" s="200" t="n"/>
      <c r="Z17" s="200" t="n"/>
    </row>
    <row r="18" ht="15.95" customHeight="1" s="500">
      <c r="B18" s="351" t="inlineStr">
        <is>
          <t>Int.IFRS16+Emprts</t>
        </is>
      </c>
      <c r="C18" s="209" t="inlineStr">
        <is>
          <t>③Finance.</t>
        </is>
      </c>
      <c r="D18" s="209" t="n">
        <v>-33718</v>
      </c>
      <c r="E18" s="1100" t="n">
        <v>-37600</v>
      </c>
      <c r="F18" s="209" t="n">
        <v>3882</v>
      </c>
      <c r="G18" s="210" t="n">
        <v>0.103</v>
      </c>
      <c r="H18" s="644" t="n">
        <v>160319</v>
      </c>
      <c r="I18" s="644" t="n">
        <v>0</v>
      </c>
      <c r="J18" s="644" t="n">
        <v>33718</v>
      </c>
      <c r="K18" s="644" t="n">
        <v>0</v>
      </c>
      <c r="L18" s="644" t="inlineStr">
        <is>
          <t>▼</t>
        </is>
      </c>
      <c r="M18" s="644" t="inlineStr">
        <is>
          <t>Résultat Net Groupe</t>
        </is>
      </c>
      <c r="N18" s="209" t="n">
        <v>82110</v>
      </c>
      <c r="O18" s="209" t="n">
        <v>126400</v>
      </c>
      <c r="P18" s="1101" t="n">
        <v>-44290</v>
      </c>
      <c r="Q18" s="231" t="n">
        <v>-0.35</v>
      </c>
      <c r="R18" s="230" t="n">
        <v>-0.054</v>
      </c>
      <c r="S18" s="209" t="n">
        <v>95000</v>
      </c>
      <c r="T18" s="209" t="n">
        <v>68000</v>
      </c>
      <c r="U18" s="644" t="inlineStr">
        <is>
          <t>N-1 incluait gain exceptionnel 30M€</t>
        </is>
      </c>
      <c r="Y18" s="200" t="n"/>
      <c r="Z18" s="200" t="n"/>
    </row>
    <row r="19" ht="15.95" customHeight="1" s="500">
      <c r="B19" s="211" t="inlineStr">
        <is>
          <t>Profit av.fin.&amp;impôt</t>
        </is>
      </c>
      <c r="C19" s="212" t="inlineStr">
        <is>
          <t>→ TOTAL</t>
        </is>
      </c>
      <c r="D19" s="212" t="n">
        <v>160319</v>
      </c>
      <c r="E19" s="1104" t="n">
        <v>168200</v>
      </c>
      <c r="F19" s="212" t="n">
        <v>-7881</v>
      </c>
      <c r="G19" s="213" t="n">
        <v>-0.047</v>
      </c>
      <c r="H19" s="211" t="n">
        <v>0</v>
      </c>
      <c r="I19" s="211" t="n">
        <v>0</v>
      </c>
      <c r="J19" s="211" t="n">
        <v>0</v>
      </c>
      <c r="K19" s="211" t="n">
        <v>160319</v>
      </c>
      <c r="L19" s="211" t="inlineStr">
        <is>
          <t>★</t>
        </is>
      </c>
      <c r="M19" s="643" t="inlineStr">
        <is>
          <t>FCF (Exploit.+Invest.)</t>
        </is>
      </c>
      <c r="N19" s="227" t="n">
        <v>78448</v>
      </c>
      <c r="O19" s="227" t="n">
        <v>134400</v>
      </c>
      <c r="P19" s="1099" t="n">
        <v>-55952</v>
      </c>
      <c r="Q19" s="229" t="n">
        <v>-0.416</v>
      </c>
      <c r="R19" s="234" t="n">
        <v>0</v>
      </c>
      <c r="S19" s="227" t="n">
        <v>95000</v>
      </c>
      <c r="T19" s="227" t="n">
        <v>62000</v>
      </c>
      <c r="U19" s="643" t="inlineStr">
        <is>
          <t>CAPEX+48M€ stratégique (temporaire)</t>
        </is>
      </c>
      <c r="Y19" s="200" t="n"/>
      <c r="Z19" s="200" t="n"/>
    </row>
    <row r="20" ht="15.95" customHeight="1" s="500">
      <c r="B20" s="351" t="inlineStr">
        <is>
          <t>Impôts (IAS 12)</t>
        </is>
      </c>
      <c r="C20" s="209" t="inlineStr">
        <is>
          <t>④Impôts</t>
        </is>
      </c>
      <c r="D20" s="209" t="n">
        <v>-44491</v>
      </c>
      <c r="E20" s="1101" t="n">
        <v>-42700</v>
      </c>
      <c r="F20" s="209" t="n">
        <v>-1791</v>
      </c>
      <c r="G20" s="210" t="n">
        <v>-0.042</v>
      </c>
      <c r="H20" s="644" t="n">
        <v>160319</v>
      </c>
      <c r="I20" s="644" t="n">
        <v>0</v>
      </c>
      <c r="J20" s="644" t="n">
        <v>44491</v>
      </c>
      <c r="K20" s="644" t="n">
        <v>0</v>
      </c>
      <c r="L20" s="644" t="inlineStr">
        <is>
          <t>▼</t>
        </is>
      </c>
      <c r="M20" s="644" t="inlineStr">
        <is>
          <t>CO₂ Sc1+2 (tCO₂eq)</t>
        </is>
      </c>
      <c r="N20" s="209" t="n">
        <v>123000</v>
      </c>
      <c r="O20" s="209" t="n">
        <v>168000</v>
      </c>
      <c r="P20" s="1101" t="n">
        <v>-45000</v>
      </c>
      <c r="Q20" s="231" t="n">
        <v>-0.268</v>
      </c>
      <c r="R20" s="235" t="n">
        <v>0</v>
      </c>
      <c r="S20" s="209" t="n">
        <v>110000</v>
      </c>
      <c r="T20" s="209" t="n">
        <v>130000</v>
      </c>
      <c r="U20" s="644" t="inlineStr">
        <is>
          <t>✅ Cible -10%/an largement dépassée</t>
        </is>
      </c>
      <c r="Y20" s="200" t="n"/>
      <c r="Z20" s="200" t="n"/>
    </row>
    <row r="21" ht="15.95" customHeight="1" s="500">
      <c r="B21" s="352" t="inlineStr">
        <is>
          <t>Act.abandonnées</t>
        </is>
      </c>
      <c r="C21" s="206" t="inlineStr">
        <is>
          <t>⑤Discont.</t>
        </is>
      </c>
      <c r="D21" s="206" t="n">
        <v>0</v>
      </c>
      <c r="E21" s="1102" t="n">
        <v>0</v>
      </c>
      <c r="F21" s="206" t="n">
        <v>0</v>
      </c>
      <c r="G21" s="207" t="n">
        <v>0</v>
      </c>
      <c r="H21" s="205" t="n">
        <v>115828</v>
      </c>
      <c r="I21" s="205" t="n">
        <v>0</v>
      </c>
      <c r="J21" s="205" t="n">
        <v>0</v>
      </c>
      <c r="K21" s="205" t="n">
        <v>0</v>
      </c>
      <c r="L21" s="205" t="inlineStr">
        <is>
          <t>—</t>
        </is>
      </c>
      <c r="Y21" s="200" t="n"/>
      <c r="Z21" s="200" t="n"/>
    </row>
    <row r="22" ht="15.95" customHeight="1" s="500">
      <c r="B22" s="649" t="inlineStr">
        <is>
          <t>RÉSULTAT NET CONSOLID.</t>
        </is>
      </c>
      <c r="C22" s="215" t="inlineStr">
        <is>
          <t>TOTAL</t>
        </is>
      </c>
      <c r="D22" s="215" t="n">
        <v>82110</v>
      </c>
      <c r="E22" s="1105" t="n">
        <v>126400</v>
      </c>
      <c r="F22" s="215" t="n">
        <v>-44290</v>
      </c>
      <c r="G22" s="216" t="n">
        <v>-0.35</v>
      </c>
      <c r="H22" s="649" t="n">
        <v>0</v>
      </c>
      <c r="I22" s="649" t="n">
        <v>0</v>
      </c>
      <c r="J22" s="649" t="n">
        <v>0</v>
      </c>
      <c r="K22" s="649" t="n">
        <v>82110</v>
      </c>
      <c r="L22" s="649" t="inlineStr">
        <is>
          <t>🏆</t>
        </is>
      </c>
      <c r="Y22" s="200" t="n"/>
      <c r="Z22" s="200" t="n"/>
    </row>
    <row r="23" ht="21.95" customHeight="1" s="500">
      <c r="B23" s="645" t="inlineStr">
        <is>
          <t>📊  BILAN EN CASCADE — ACTIF vs PASSIF · Structure Capitaux (k€)</t>
        </is>
      </c>
      <c r="M23" s="646" t="inlineStr">
        <is>
          <t>🌍  ÉVOLUTION CARBONE — Scope 1+2+3 · ESRS E1-6 · GHG Protocol (tCO₂eq)</t>
        </is>
      </c>
      <c r="Y23" s="200" t="n"/>
      <c r="Z23" s="200" t="n"/>
    </row>
    <row r="24" ht="15.95" customHeight="1" s="500">
      <c r="B24" s="237" t="inlineStr">
        <is>
          <t>Poste IFRS</t>
        </is>
      </c>
      <c r="C24" s="237" t="inlineStr">
        <is>
          <t>Consolid. N (k€)</t>
        </is>
      </c>
      <c r="D24" s="237" t="inlineStr">
        <is>
          <t>N-1 (k€)</t>
        </is>
      </c>
      <c r="E24" s="237" t="inlineStr">
        <is>
          <t>Delta k€</t>
        </is>
      </c>
      <c r="F24" s="237" t="inlineStr">
        <is>
          <t>Delta %</t>
        </is>
      </c>
      <c r="G24" s="237" t="inlineStr">
        <is>
          <t>% Total Actif</t>
        </is>
      </c>
      <c r="H24" s="959" t="inlineStr">
        <is>
          <t>Commentaire IAS/IFRS</t>
        </is>
      </c>
      <c r="M24" s="247" t="inlineStr">
        <is>
          <t>Entité</t>
        </is>
      </c>
      <c r="N24" s="247" t="inlineStr">
        <is>
          <t>Scope 1</t>
        </is>
      </c>
      <c r="O24" s="247" t="inlineStr">
        <is>
          <t>Scope 2</t>
        </is>
      </c>
      <c r="P24" s="247" t="inlineStr">
        <is>
          <t>Scope 3</t>
        </is>
      </c>
      <c r="Q24" s="247" t="inlineStr">
        <is>
          <t>Total 2025</t>
        </is>
      </c>
      <c r="R24" s="247" t="inlineStr">
        <is>
          <t>Total 2024</t>
        </is>
      </c>
      <c r="S24" s="247" t="inlineStr">
        <is>
          <t>Var.%</t>
        </is>
      </c>
      <c r="T24" s="247" t="inlineStr">
        <is>
          <t>Obj 2030</t>
        </is>
      </c>
      <c r="U24" s="247" t="inlineStr">
        <is>
          <t>% Atteinte</t>
        </is>
      </c>
      <c r="V24" s="247" t="inlineStr">
        <is>
          <t>Intensité</t>
        </is>
      </c>
      <c r="W24" s="247" t="inlineStr">
        <is>
          <t>Statut</t>
        </is>
      </c>
      <c r="X24" s="247" t="n"/>
      <c r="Y24" s="200" t="n"/>
      <c r="Z24" s="200" t="n"/>
    </row>
    <row r="25" ht="15.95" customHeight="1" s="500">
      <c r="B25" s="238" t="inlineStr">
        <is>
          <t>▶  ACTIFS NON COURANTS</t>
        </is>
      </c>
      <c r="C25" s="240" t="n">
        <v>761289</v>
      </c>
      <c r="D25" s="240" t="n">
        <v>720000</v>
      </c>
      <c r="E25" s="1106" t="n">
        <v>41289</v>
      </c>
      <c r="F25" s="239" t="n">
        <v>0.057</v>
      </c>
      <c r="G25" s="239" t="n">
        <v>0.55</v>
      </c>
      <c r="H25" s="960" t="inlineStr">
        <is>
          <t>IAS 16/38/36/IFRS16 – stable</t>
        </is>
      </c>
      <c r="M25" s="648" t="inlineStr">
        <is>
          <t>FR_ParentCo</t>
        </is>
      </c>
      <c r="N25" s="250" t="n">
        <v>12400</v>
      </c>
      <c r="O25" s="250" t="n">
        <v>8900</v>
      </c>
      <c r="P25" s="250" t="n">
        <v>85000</v>
      </c>
      <c r="Q25" s="250" t="n">
        <v>106300</v>
      </c>
      <c r="R25" s="250" t="n">
        <v>114800</v>
      </c>
      <c r="S25" s="249" t="n">
        <v>-0.074</v>
      </c>
      <c r="T25" s="648" t="n">
        <v>67800</v>
      </c>
      <c r="U25" s="249" t="n">
        <v>1.568</v>
      </c>
      <c r="V25" s="648" t="n">
        <v>43.5</v>
      </c>
      <c r="W25" s="648" t="inlineStr">
        <is>
          <t>✅ Conforme</t>
        </is>
      </c>
      <c r="Y25" s="200" t="n"/>
      <c r="Z25" s="200" t="n"/>
    </row>
    <row r="26" ht="15.95" customHeight="1" s="500">
      <c r="B26" s="644" t="inlineStr">
        <is>
          <t xml:space="preserve">   Goodwill (IFRS 3)</t>
        </is>
      </c>
      <c r="C26" s="209" t="n">
        <v>59135</v>
      </c>
      <c r="D26" s="209" t="n">
        <v>85000</v>
      </c>
      <c r="E26" s="1101" t="n">
        <v>-25865</v>
      </c>
      <c r="F26" s="230" t="n">
        <v>-0.304</v>
      </c>
      <c r="G26" s="230" t="n">
        <v>0.043</v>
      </c>
      <c r="H26" s="961" t="inlineStr">
        <is>
          <t>Dépréciation test IAS 36</t>
        </is>
      </c>
      <c r="M26" s="644" t="inlineStr">
        <is>
          <t>DE_Filiale</t>
        </is>
      </c>
      <c r="N26" s="209" t="n">
        <v>29600</v>
      </c>
      <c r="O26" s="209" t="n">
        <v>15600</v>
      </c>
      <c r="P26" s="209" t="n">
        <v>142000</v>
      </c>
      <c r="Q26" s="209" t="n">
        <v>187200</v>
      </c>
      <c r="R26" s="209" t="n">
        <v>198600</v>
      </c>
      <c r="S26" s="230" t="n">
        <v>-0.057</v>
      </c>
      <c r="T26" s="644" t="n">
        <v>112000</v>
      </c>
      <c r="U26" s="230" t="n">
        <v>1.671</v>
      </c>
      <c r="V26" s="644" t="n">
        <v>176.2</v>
      </c>
      <c r="W26" s="644" t="inlineStr">
        <is>
          <t>✅ Conforme</t>
        </is>
      </c>
      <c r="Y26" s="200" t="n"/>
      <c r="Z26" s="200" t="n"/>
    </row>
    <row r="27" ht="15.95" customHeight="1" s="500">
      <c r="B27" s="242" t="inlineStr">
        <is>
          <t xml:space="preserve">   Immob. incorp. &amp; corp.</t>
        </is>
      </c>
      <c r="C27" s="244" t="n">
        <v>551938</v>
      </c>
      <c r="D27" s="244" t="n">
        <v>515000</v>
      </c>
      <c r="E27" s="1107" t="n">
        <v>36938</v>
      </c>
      <c r="F27" s="243" t="n">
        <v>0.07199999999999999</v>
      </c>
      <c r="G27" s="243" t="n">
        <v>0.398</v>
      </c>
      <c r="H27" s="962" t="inlineStr">
        <is>
          <t>PP&amp;E + RoU IFRS 16 + Autres</t>
        </is>
      </c>
      <c r="M27" s="648" t="inlineStr">
        <is>
          <t>UK_Filiale</t>
        </is>
      </c>
      <c r="N27" s="250" t="n">
        <v>8200</v>
      </c>
      <c r="O27" s="250" t="n">
        <v>6100</v>
      </c>
      <c r="P27" s="250" t="n">
        <v>62000</v>
      </c>
      <c r="Q27" s="250" t="n">
        <v>76300</v>
      </c>
      <c r="R27" s="250" t="n">
        <v>79100</v>
      </c>
      <c r="S27" s="249" t="n">
        <v>-0.035</v>
      </c>
      <c r="T27" s="648" t="n">
        <v>43500</v>
      </c>
      <c r="U27" s="249" t="n">
        <v>1.754</v>
      </c>
      <c r="V27" s="648" t="n">
        <v>50.1</v>
      </c>
      <c r="W27" s="648" t="inlineStr">
        <is>
          <t>✅ Conforme</t>
        </is>
      </c>
      <c r="Y27" s="200" t="n"/>
      <c r="Z27" s="200" t="n"/>
    </row>
    <row r="28" ht="15.95" customHeight="1" s="500">
      <c r="B28" s="644" t="inlineStr">
        <is>
          <t xml:space="preserve">   Impôts différés actifs</t>
        </is>
      </c>
      <c r="C28" s="209" t="n">
        <v>36341</v>
      </c>
      <c r="D28" s="209" t="n">
        <v>32000</v>
      </c>
      <c r="E28" s="1108" t="n">
        <v>4341</v>
      </c>
      <c r="F28" s="230" t="n">
        <v>0.136</v>
      </c>
      <c r="G28" s="230" t="n">
        <v>0.026</v>
      </c>
      <c r="H28" s="961" t="inlineStr">
        <is>
          <t>IAS 12 – actifs récupérables</t>
        </is>
      </c>
      <c r="M28" s="644" t="inlineStr">
        <is>
          <t>US_Filiale</t>
        </is>
      </c>
      <c r="N28" s="209" t="n">
        <v>18900</v>
      </c>
      <c r="O28" s="209" t="n">
        <v>14100</v>
      </c>
      <c r="P28" s="209" t="n">
        <v>195000</v>
      </c>
      <c r="Q28" s="209" t="n">
        <v>228000</v>
      </c>
      <c r="R28" s="209" t="n">
        <v>236500</v>
      </c>
      <c r="S28" s="230" t="n">
        <v>-0.036</v>
      </c>
      <c r="T28" s="644" t="n">
        <v>129000</v>
      </c>
      <c r="U28" s="230" t="n">
        <v>1.767</v>
      </c>
      <c r="V28" s="644" t="n">
        <v>104.8</v>
      </c>
      <c r="W28" s="644" t="inlineStr">
        <is>
          <t>✅ Conforme</t>
        </is>
      </c>
      <c r="Y28" s="200" t="n"/>
      <c r="Z28" s="200" t="n"/>
    </row>
    <row r="29" ht="15.95" customHeight="1" s="500">
      <c r="B29" s="238" t="inlineStr">
        <is>
          <t>▶  ACTIFS COURANTS</t>
        </is>
      </c>
      <c r="C29" s="240" t="n">
        <v>624116</v>
      </c>
      <c r="D29" s="240" t="n">
        <v>578000</v>
      </c>
      <c r="E29" s="1106" t="n">
        <v>46116</v>
      </c>
      <c r="F29" s="239" t="n">
        <v>0.08</v>
      </c>
      <c r="G29" s="239" t="n">
        <v>0.451</v>
      </c>
      <c r="H29" s="960" t="inlineStr">
        <is>
          <t>BFR = +8.0% vs N-1</t>
        </is>
      </c>
      <c r="M29" s="648" t="inlineStr">
        <is>
          <t>SG_Filiale</t>
        </is>
      </c>
      <c r="N29" s="250" t="n">
        <v>5400</v>
      </c>
      <c r="O29" s="250" t="n">
        <v>3800</v>
      </c>
      <c r="P29" s="250" t="n">
        <v>28000</v>
      </c>
      <c r="Q29" s="250" t="n">
        <v>37200</v>
      </c>
      <c r="R29" s="250" t="n">
        <v>37900</v>
      </c>
      <c r="S29" s="249" t="n">
        <v>-0.018</v>
      </c>
      <c r="T29" s="648" t="n">
        <v>20200</v>
      </c>
      <c r="U29" s="249" t="n">
        <v>1.842</v>
      </c>
      <c r="V29" s="648" t="n">
        <v>89.90000000000001</v>
      </c>
      <c r="W29" s="648" t="inlineStr">
        <is>
          <t>✅ Conforme</t>
        </is>
      </c>
      <c r="Y29" s="200" t="n"/>
      <c r="Z29" s="200" t="n"/>
    </row>
    <row r="30" ht="15.95" customHeight="1" s="500">
      <c r="B30" s="644" t="inlineStr">
        <is>
          <t xml:space="preserve">   Stocks &amp; créances</t>
        </is>
      </c>
      <c r="C30" s="209" t="n">
        <v>417748</v>
      </c>
      <c r="D30" s="209" t="n">
        <v>388000</v>
      </c>
      <c r="E30" s="1108" t="n">
        <v>29748</v>
      </c>
      <c r="F30" s="230" t="n">
        <v>0.077</v>
      </c>
      <c r="G30" s="230" t="n">
        <v>0.302</v>
      </c>
      <c r="H30" s="961" t="inlineStr">
        <is>
          <t>IFRS 15 / IAS 2</t>
        </is>
      </c>
      <c r="M30" s="649" t="inlineStr">
        <is>
          <t>TOTAL Scope 1</t>
        </is>
      </c>
      <c r="N30" s="215" t="n">
        <v>74500</v>
      </c>
      <c r="O30" s="215" t="n">
        <v>0</v>
      </c>
      <c r="P30" s="215" t="n">
        <v>0</v>
      </c>
      <c r="Q30" s="215" t="n">
        <v>74500</v>
      </c>
      <c r="R30" s="215" t="n">
        <v>116800</v>
      </c>
      <c r="S30" s="251" t="n">
        <v>-0.362</v>
      </c>
      <c r="T30" s="649" t="n">
        <v>54000</v>
      </c>
      <c r="U30" s="251" t="n">
        <v>1.379</v>
      </c>
      <c r="V30" s="649" t="n">
        <v>91.2</v>
      </c>
      <c r="W30" s="649" t="inlineStr">
        <is>
          <t>⚡ Réduction</t>
        </is>
      </c>
      <c r="Y30" s="200" t="n"/>
      <c r="Z30" s="200" t="n"/>
    </row>
    <row r="31" ht="15.95" customHeight="1" s="500">
      <c r="B31" s="242" t="inlineStr">
        <is>
          <t xml:space="preserve">   Trésorerie &amp; équiv. (IAS 7)</t>
        </is>
      </c>
      <c r="C31" s="244" t="n">
        <v>170012</v>
      </c>
      <c r="D31" s="244" t="n">
        <v>158000</v>
      </c>
      <c r="E31" s="1107" t="n">
        <v>12012</v>
      </c>
      <c r="F31" s="243" t="n">
        <v>0.076</v>
      </c>
      <c r="G31" s="243" t="n">
        <v>0.123</v>
      </c>
      <c r="H31" s="962" t="inlineStr">
        <is>
          <t>Cash disponible +12k€</t>
        </is>
      </c>
      <c r="M31" s="649" t="inlineStr">
        <is>
          <t>TOTAL Scope 2</t>
        </is>
      </c>
      <c r="N31" s="215" t="n">
        <v>0</v>
      </c>
      <c r="O31" s="215" t="n">
        <v>48500</v>
      </c>
      <c r="P31" s="215" t="n">
        <v>0</v>
      </c>
      <c r="Q31" s="215" t="n">
        <v>48500</v>
      </c>
      <c r="R31" s="215" t="n">
        <v>51200</v>
      </c>
      <c r="S31" s="251" t="n">
        <v>-0.053</v>
      </c>
      <c r="T31" s="649" t="n">
        <v>27500</v>
      </c>
      <c r="U31" s="251" t="n">
        <v>1.764</v>
      </c>
      <c r="V31" s="649" t="n">
        <v>59.4</v>
      </c>
      <c r="W31" s="649" t="inlineStr">
        <is>
          <t>⚡ Réduction</t>
        </is>
      </c>
      <c r="Y31" s="200" t="n"/>
      <c r="Z31" s="200" t="n"/>
    </row>
    <row r="32" ht="15.95" customHeight="1" s="500">
      <c r="B32" s="238" t="inlineStr">
        <is>
          <t>🔷  TOTAL ACTIF</t>
        </is>
      </c>
      <c r="C32" s="240" t="n">
        <v>1385405</v>
      </c>
      <c r="D32" s="240" t="n">
        <v>1298000</v>
      </c>
      <c r="E32" s="1106" t="n">
        <v>87405</v>
      </c>
      <c r="F32" s="239" t="n">
        <v>0.067</v>
      </c>
      <c r="G32" s="239" t="n">
        <v>1</v>
      </c>
      <c r="H32" s="960" t="inlineStr">
        <is>
          <t>Progression organique</t>
        </is>
      </c>
      <c r="M32" s="649" t="inlineStr">
        <is>
          <t>TOTAL Scope 3</t>
        </is>
      </c>
      <c r="N32" s="215" t="n">
        <v>0</v>
      </c>
      <c r="O32" s="215" t="n">
        <v>0</v>
      </c>
      <c r="P32" s="215" t="n">
        <v>512000</v>
      </c>
      <c r="Q32" s="215" t="n">
        <v>512000</v>
      </c>
      <c r="R32" s="215" t="n">
        <v>538000</v>
      </c>
      <c r="S32" s="251" t="n">
        <v>-0.048</v>
      </c>
      <c r="T32" s="649" t="n">
        <v>300000</v>
      </c>
      <c r="U32" s="251" t="n">
        <v>1.707</v>
      </c>
      <c r="V32" s="649" t="n">
        <v>626.6</v>
      </c>
      <c r="W32" s="649" t="inlineStr">
        <is>
          <t>🔄 Vérifié</t>
        </is>
      </c>
      <c r="Y32" s="200" t="n"/>
      <c r="Z32" s="200" t="n"/>
    </row>
    <row r="33" ht="15.95" customHeight="1" s="500">
      <c r="B33" s="238" t="inlineStr">
        <is>
          <t>▶  CAPITAUX PROPRES CONSOLID.</t>
        </is>
      </c>
      <c r="C33" s="240" t="n">
        <v>259679</v>
      </c>
      <c r="D33" s="240" t="n">
        <v>232200</v>
      </c>
      <c r="E33" s="1106" t="n">
        <v>27479</v>
      </c>
      <c r="F33" s="239" t="n">
        <v>0.118</v>
      </c>
      <c r="G33" s="239" t="n">
        <v>0.188</v>
      </c>
      <c r="H33" s="960" t="inlineStr">
        <is>
          <t>IFRS 10 NCI inclus</t>
        </is>
      </c>
      <c r="M33" s="649" t="inlineStr">
        <is>
          <t>🌍 GROUPE TOTAL</t>
        </is>
      </c>
      <c r="N33" s="215" t="n">
        <v>74500</v>
      </c>
      <c r="O33" s="215" t="n">
        <v>48500</v>
      </c>
      <c r="P33" s="215" t="n">
        <v>512000</v>
      </c>
      <c r="Q33" s="215" t="n">
        <v>635000</v>
      </c>
      <c r="R33" s="215" t="n">
        <v>706000</v>
      </c>
      <c r="S33" s="251" t="n">
        <v>-0.101</v>
      </c>
      <c r="T33" s="649" t="n">
        <v>381500</v>
      </c>
      <c r="U33" s="251" t="n">
        <v>1.665</v>
      </c>
      <c r="V33" s="649" t="n">
        <v>777.2</v>
      </c>
      <c r="W33" s="649" t="inlineStr">
        <is>
          <t>✅ ESRS E1-6</t>
        </is>
      </c>
      <c r="Y33" s="200" t="n"/>
      <c r="Z33" s="200" t="n"/>
    </row>
    <row r="34" ht="15.95" customHeight="1" s="500">
      <c r="B34" s="644" t="inlineStr">
        <is>
          <t xml:space="preserve">   CP Part Groupe</t>
        </is>
      </c>
      <c r="C34" s="209" t="n">
        <v>198747</v>
      </c>
      <c r="D34" s="209" t="n">
        <v>190000</v>
      </c>
      <c r="E34" s="1108" t="n">
        <v>8747</v>
      </c>
      <c r="F34" s="230" t="n">
        <v>0.046</v>
      </c>
      <c r="G34" s="230" t="n">
        <v>0.144</v>
      </c>
      <c r="H34" s="961">
        <f t="array" ref="H34"> Résultat + Réserves + OCI</f>
        <v/>
      </c>
      <c r="Y34" s="200" t="n"/>
      <c r="Z34" s="200" t="n"/>
    </row>
    <row r="35" ht="15.95" customHeight="1" s="500">
      <c r="B35" s="242" t="inlineStr">
        <is>
          <t xml:space="preserve">   Intérêts Minoritaires NCI</t>
        </is>
      </c>
      <c r="C35" s="244" t="n">
        <v>60932</v>
      </c>
      <c r="D35" s="244" t="n">
        <v>42200</v>
      </c>
      <c r="E35" s="1107" t="n">
        <v>18732</v>
      </c>
      <c r="F35" s="243" t="n">
        <v>0.444</v>
      </c>
      <c r="G35" s="243" t="n">
        <v>0.044</v>
      </c>
      <c r="H35" s="962" t="inlineStr">
        <is>
          <t>IFRS 10 – filiales &lt;100%</t>
        </is>
      </c>
      <c r="Y35" s="200" t="n"/>
      <c r="Z35" s="200" t="n"/>
    </row>
    <row r="36" ht="15.95" customHeight="1" s="500">
      <c r="B36" s="238" t="inlineStr">
        <is>
          <t>▶  PASSIFS NON COURANTS</t>
        </is>
      </c>
      <c r="C36" s="240" t="n">
        <v>459039</v>
      </c>
      <c r="D36" s="240" t="n">
        <v>440000</v>
      </c>
      <c r="E36" s="1106" t="n">
        <v>19039</v>
      </c>
      <c r="F36" s="239" t="n">
        <v>0.043</v>
      </c>
      <c r="G36" s="239" t="n">
        <v>0.332</v>
      </c>
      <c r="H36" s="960" t="inlineStr">
        <is>
          <t>Dettes LT + IFRS 16 + IAS 37</t>
        </is>
      </c>
      <c r="Y36" s="200" t="n"/>
      <c r="Z36" s="200" t="n"/>
    </row>
    <row r="37" ht="15.95" customHeight="1" s="500">
      <c r="B37" s="242" t="inlineStr">
        <is>
          <t xml:space="preserve">   Emprunts LT + IFRS 16</t>
        </is>
      </c>
      <c r="C37" s="244" t="n">
        <v>365785</v>
      </c>
      <c r="D37" s="244" t="n">
        <v>350000</v>
      </c>
      <c r="E37" s="1107" t="n">
        <v>15785</v>
      </c>
      <c r="F37" s="243" t="n">
        <v>0.045</v>
      </c>
      <c r="G37" s="243" t="n">
        <v>0.264</v>
      </c>
      <c r="H37" s="962" t="inlineStr">
        <is>
          <t>IFRS 9 amortissement coût</t>
        </is>
      </c>
      <c r="Y37" s="200" t="n"/>
      <c r="Z37" s="200" t="n"/>
    </row>
    <row r="38" ht="15.95" customHeight="1" s="500">
      <c r="B38" s="238" t="inlineStr">
        <is>
          <t>▶  PASSIFS COURANTS</t>
        </is>
      </c>
      <c r="C38" s="240" t="n">
        <v>251736</v>
      </c>
      <c r="D38" s="240" t="n">
        <v>243000</v>
      </c>
      <c r="E38" s="1106" t="n">
        <v>8736</v>
      </c>
      <c r="F38" s="239" t="n">
        <v>0.036</v>
      </c>
      <c r="G38" s="239" t="n">
        <v>0.182</v>
      </c>
      <c r="H38" s="960" t="inlineStr">
        <is>
          <t>Dettes CT + Fournisseurs</t>
        </is>
      </c>
      <c r="Y38" s="200" t="n"/>
      <c r="Z38" s="200" t="n"/>
    </row>
    <row r="39" ht="15.95" customHeight="1" s="500">
      <c r="B39" s="238" t="inlineStr">
        <is>
          <t>🔷  TOTAL PASSIF &amp; CP</t>
        </is>
      </c>
      <c r="C39" s="240" t="n">
        <v>1385405</v>
      </c>
      <c r="D39" s="240" t="n">
        <v>1298000</v>
      </c>
      <c r="E39" s="1106" t="n">
        <v>87405</v>
      </c>
      <c r="F39" s="239" t="n">
        <v>0.067</v>
      </c>
      <c r="G39" s="239" t="n">
        <v>1</v>
      </c>
      <c r="H39" s="960" t="inlineStr">
        <is>
          <t>✅ Équilibre bilanciel</t>
        </is>
      </c>
      <c r="Y39" s="200" t="n"/>
      <c r="Z39" s="200" t="n"/>
    </row>
    <row r="40" ht="15.95" customHeight="1" s="500">
      <c r="Y40" s="200" t="n"/>
      <c r="Z40" s="200" t="n"/>
    </row>
    <row r="41" ht="21.95" customHeight="1" s="500">
      <c r="B41" s="647" t="inlineStr">
        <is>
          <t>🔍  TABLEAU CROISÉ DYNAMIQUE — DRILL-DOWN jusqu'aux ÉCRITURES INDIVIDUELLES · Source: BALANCES_PQ + SRC_*</t>
        </is>
      </c>
      <c r="Y41" s="200" t="n"/>
      <c r="Z41" s="200" t="n"/>
    </row>
    <row r="42" ht="20.1" customHeight="1" s="500">
      <c r="B42" s="275" t="inlineStr">
        <is>
          <t>Année</t>
        </is>
      </c>
      <c r="C42" s="276" t="inlineStr">
        <is>
          <t>Scénario</t>
        </is>
      </c>
      <c r="D42" s="276" t="inlineStr">
        <is>
          <t>Entité</t>
        </is>
      </c>
      <c r="E42" s="276" t="inlineStr">
        <is>
          <t>Devise</t>
        </is>
      </c>
      <c r="F42" s="276" t="inlineStr">
        <is>
          <t>Taux IAS21</t>
        </is>
      </c>
      <c r="G42" s="276" t="inlineStr">
        <is>
          <t>Poste IFRS 18</t>
        </is>
      </c>
      <c r="H42" s="276" t="inlineStr">
        <is>
          <t>Catégorie §65</t>
        </is>
      </c>
      <c r="I42" s="276" t="inlineStr">
        <is>
          <t>Compte GL</t>
        </is>
      </c>
      <c r="J42" s="276" t="inlineStr">
        <is>
          <t>Libellé compte</t>
        </is>
      </c>
      <c r="K42" s="276" t="inlineStr">
        <is>
          <t>Montant Orig.</t>
        </is>
      </c>
      <c r="L42" s="276" t="inlineStr">
        <is>
          <t>Montant EUR</t>
        </is>
      </c>
      <c r="M42" s="276" t="inlineStr">
        <is>
          <t>Élim. IC</t>
        </is>
      </c>
      <c r="N42" s="276" t="inlineStr">
        <is>
          <t>Mont. Consolid.</t>
        </is>
      </c>
      <c r="O42" s="276" t="inlineStr">
        <is>
          <t>Réf.Écriture</t>
        </is>
      </c>
      <c r="P42" s="276" t="inlineStr">
        <is>
          <t>Date</t>
        </is>
      </c>
      <c r="Q42" s="276" t="inlineStr">
        <is>
          <t>Note IFRS</t>
        </is>
      </c>
      <c r="R42" s="276" t="inlineStr">
        <is>
          <t>Scope CO₂</t>
        </is>
      </c>
      <c r="S42" s="276" t="inlineStr">
        <is>
          <t>tCO₂eq</t>
        </is>
      </c>
      <c r="T42" s="276" t="inlineStr">
        <is>
          <t>ESRS</t>
        </is>
      </c>
      <c r="U42" s="276" t="inlineStr">
        <is>
          <t>Bull</t>
        </is>
      </c>
      <c r="V42" s="276" t="inlineStr">
        <is>
          <t>Bear</t>
        </is>
      </c>
      <c r="W42" s="276" t="inlineStr">
        <is>
          <t>Auditeur</t>
        </is>
      </c>
      <c r="X42" s="277" t="inlineStr">
        <is>
          <t>Statut</t>
        </is>
      </c>
      <c r="Y42" s="200" t="n"/>
      <c r="Z42" s="200" t="n"/>
    </row>
    <row r="43" ht="14.1" customHeight="1" s="500">
      <c r="B43" s="278" t="n">
        <v>2025</v>
      </c>
      <c r="C43" s="279" t="inlineStr">
        <is>
          <t>Base</t>
        </is>
      </c>
      <c r="D43" s="280" t="inlineStr">
        <is>
          <t>FR_ParentCo</t>
        </is>
      </c>
      <c r="E43" s="279" t="inlineStr">
        <is>
          <t>EUR</t>
        </is>
      </c>
      <c r="F43" s="279" t="n">
        <v>1</v>
      </c>
      <c r="G43" s="279" t="inlineStr">
        <is>
          <t>CA net IFRS 15</t>
        </is>
      </c>
      <c r="H43" s="279" t="inlineStr">
        <is>
          <t>① Exploitation</t>
        </is>
      </c>
      <c r="I43" s="279" t="n">
        <v>7010</v>
      </c>
      <c r="J43" s="279" t="inlineStr">
        <is>
          <t>Ventes produits finis</t>
        </is>
      </c>
      <c r="K43" s="281" t="n">
        <v>285000</v>
      </c>
      <c r="L43" s="281" t="n">
        <v>285000</v>
      </c>
      <c r="M43" s="279" t="n">
        <v>0</v>
      </c>
      <c r="N43" s="281" t="n">
        <v>285000</v>
      </c>
      <c r="O43" s="279" t="inlineStr">
        <is>
          <t>FR-2025-001</t>
        </is>
      </c>
      <c r="P43" s="279" t="inlineStr">
        <is>
          <t>31/12/2025</t>
        </is>
      </c>
      <c r="Q43" s="279" t="inlineStr">
        <is>
          <t>IFRS 15</t>
        </is>
      </c>
      <c r="R43" s="279" t="inlineStr">
        <is>
          <t>—</t>
        </is>
      </c>
      <c r="S43" s="279" t="n">
        <v>0</v>
      </c>
      <c r="T43" s="279" t="inlineStr">
        <is>
          <t>E1-6</t>
        </is>
      </c>
      <c r="U43" s="279" t="n">
        <v>304950</v>
      </c>
      <c r="V43" s="279" t="n">
        <v>256500</v>
      </c>
      <c r="W43" s="279" t="inlineStr">
        <is>
          <t>Deloitte</t>
        </is>
      </c>
      <c r="X43" s="282" t="inlineStr">
        <is>
          <t>✅ Validé</t>
        </is>
      </c>
      <c r="Y43" s="200" t="n"/>
      <c r="Z43" s="200" t="n"/>
    </row>
    <row r="44" ht="14.1" customHeight="1" s="500">
      <c r="B44" s="278" t="n">
        <v>2025</v>
      </c>
      <c r="C44" s="279" t="inlineStr">
        <is>
          <t>Base</t>
        </is>
      </c>
      <c r="D44" s="280" t="inlineStr">
        <is>
          <t>FR_ParentCo</t>
        </is>
      </c>
      <c r="E44" s="279" t="inlineStr">
        <is>
          <t>EUR</t>
        </is>
      </c>
      <c r="F44" s="279" t="n">
        <v>1</v>
      </c>
      <c r="G44" s="279" t="inlineStr">
        <is>
          <t>Achats &amp; charges ext.</t>
        </is>
      </c>
      <c r="H44" s="279" t="inlineStr">
        <is>
          <t>① Exploitation</t>
        </is>
      </c>
      <c r="I44" s="279" t="n">
        <v>6010</v>
      </c>
      <c r="J44" s="279" t="inlineStr">
        <is>
          <t>Achats matières premières</t>
        </is>
      </c>
      <c r="K44" s="1109" t="n">
        <v>-95000</v>
      </c>
      <c r="L44" s="1109" t="n">
        <v>-95000</v>
      </c>
      <c r="M44" s="279" t="n">
        <v>0</v>
      </c>
      <c r="N44" s="1109" t="n">
        <v>-95000</v>
      </c>
      <c r="O44" s="279" t="inlineStr">
        <is>
          <t>FR-2025-010</t>
        </is>
      </c>
      <c r="P44" s="279" t="inlineStr">
        <is>
          <t>31/12/2025</t>
        </is>
      </c>
      <c r="Q44" s="279" t="inlineStr">
        <is>
          <t>IAS 2</t>
        </is>
      </c>
      <c r="R44" s="279" t="inlineStr">
        <is>
          <t>Scope 3</t>
        </is>
      </c>
      <c r="S44" s="279" t="n">
        <v>-39900</v>
      </c>
      <c r="T44" s="279" t="inlineStr">
        <is>
          <t>E1-6</t>
        </is>
      </c>
      <c r="U44" s="279" t="n"/>
      <c r="V44" s="279" t="n"/>
      <c r="W44" s="279" t="inlineStr">
        <is>
          <t>Deloitte</t>
        </is>
      </c>
      <c r="X44" s="282" t="inlineStr">
        <is>
          <t>✅ Validé</t>
        </is>
      </c>
      <c r="Y44" s="200" t="n"/>
      <c r="Z44" s="200" t="n"/>
    </row>
    <row r="45" ht="14.1" customHeight="1" s="500">
      <c r="B45" s="278" t="n">
        <v>2025</v>
      </c>
      <c r="C45" s="279" t="inlineStr">
        <is>
          <t>Base</t>
        </is>
      </c>
      <c r="D45" s="280" t="inlineStr">
        <is>
          <t>FR_ParentCo</t>
        </is>
      </c>
      <c r="E45" s="279" t="inlineStr">
        <is>
          <t>EUR</t>
        </is>
      </c>
      <c r="F45" s="279" t="n">
        <v>1</v>
      </c>
      <c r="G45" s="279" t="inlineStr">
        <is>
          <t>Charges de personnel</t>
        </is>
      </c>
      <c r="H45" s="279" t="inlineStr">
        <is>
          <t>① Exploitation</t>
        </is>
      </c>
      <c r="I45" s="279" t="n">
        <v>6400</v>
      </c>
      <c r="J45" s="279" t="inlineStr">
        <is>
          <t>Salaires &amp; charges soc.</t>
        </is>
      </c>
      <c r="K45" s="1109" t="n">
        <v>-68000</v>
      </c>
      <c r="L45" s="1109" t="n">
        <v>-68000</v>
      </c>
      <c r="M45" s="279" t="n">
        <v>0</v>
      </c>
      <c r="N45" s="1109" t="n">
        <v>-68000</v>
      </c>
      <c r="O45" s="279" t="inlineStr">
        <is>
          <t>FR-2025-020</t>
        </is>
      </c>
      <c r="P45" s="279" t="inlineStr">
        <is>
          <t>31/12/2025</t>
        </is>
      </c>
      <c r="Q45" s="279" t="inlineStr">
        <is>
          <t>IAS 19</t>
        </is>
      </c>
      <c r="R45" s="279" t="inlineStr">
        <is>
          <t>—</t>
        </is>
      </c>
      <c r="S45" s="279" t="n">
        <v>0</v>
      </c>
      <c r="T45" s="279" t="inlineStr">
        <is>
          <t>S1-6</t>
        </is>
      </c>
      <c r="U45" s="279" t="n"/>
      <c r="V45" s="279" t="n"/>
      <c r="W45" s="279" t="inlineStr">
        <is>
          <t>Deloitte</t>
        </is>
      </c>
      <c r="X45" s="282" t="inlineStr">
        <is>
          <t>✅ Validé</t>
        </is>
      </c>
      <c r="Y45" s="200" t="n"/>
      <c r="Z45" s="200" t="n"/>
    </row>
    <row r="46" ht="14.1" customHeight="1" s="500">
      <c r="B46" s="278" t="n">
        <v>2025</v>
      </c>
      <c r="C46" s="279" t="inlineStr">
        <is>
          <t>Base</t>
        </is>
      </c>
      <c r="D46" s="280" t="inlineStr">
        <is>
          <t>FR_ParentCo</t>
        </is>
      </c>
      <c r="E46" s="279" t="inlineStr">
        <is>
          <t>EUR</t>
        </is>
      </c>
      <c r="F46" s="279" t="n">
        <v>1</v>
      </c>
      <c r="G46" s="279" t="inlineStr">
        <is>
          <t>Amort. D&amp;A (IFRS 16)</t>
        </is>
      </c>
      <c r="H46" s="279" t="inlineStr">
        <is>
          <t>① Exploitation</t>
        </is>
      </c>
      <c r="I46" s="279" t="n">
        <v>6811</v>
      </c>
      <c r="J46" s="279" t="inlineStr">
        <is>
          <t>Dotations amortissements</t>
        </is>
      </c>
      <c r="K46" s="1109" t="n">
        <v>-22000</v>
      </c>
      <c r="L46" s="1109" t="n">
        <v>-22000</v>
      </c>
      <c r="M46" s="279" t="n">
        <v>0</v>
      </c>
      <c r="N46" s="1109" t="n">
        <v>-22000</v>
      </c>
      <c r="O46" s="279" t="inlineStr">
        <is>
          <t>FR-2025-030</t>
        </is>
      </c>
      <c r="P46" s="279" t="inlineStr">
        <is>
          <t>31/12/2025</t>
        </is>
      </c>
      <c r="Q46" s="279" t="inlineStr">
        <is>
          <t>IAS 16</t>
        </is>
      </c>
      <c r="R46" s="279" t="inlineStr">
        <is>
          <t>—</t>
        </is>
      </c>
      <c r="S46" s="279" t="n">
        <v>0</v>
      </c>
      <c r="T46" s="279" t="inlineStr">
        <is>
          <t>—</t>
        </is>
      </c>
      <c r="U46" s="279" t="n"/>
      <c r="V46" s="279" t="n"/>
      <c r="W46" s="279" t="inlineStr">
        <is>
          <t>Deloitte</t>
        </is>
      </c>
      <c r="X46" s="282" t="inlineStr">
        <is>
          <t>✅ Validé</t>
        </is>
      </c>
      <c r="Y46" s="200" t="n"/>
      <c r="Z46" s="200" t="n"/>
    </row>
    <row r="47" ht="14.1" customHeight="1" s="500">
      <c r="B47" s="278" t="n">
        <v>2025</v>
      </c>
      <c r="C47" s="279" t="inlineStr">
        <is>
          <t>Base</t>
        </is>
      </c>
      <c r="D47" s="280" t="inlineStr">
        <is>
          <t>FR_ParentCo</t>
        </is>
      </c>
      <c r="E47" s="279" t="inlineStr">
        <is>
          <t>EUR</t>
        </is>
      </c>
      <c r="F47" s="279" t="n">
        <v>1</v>
      </c>
      <c r="G47" s="279" t="inlineStr">
        <is>
          <t>Dividendes reçus</t>
        </is>
      </c>
      <c r="H47" s="279" t="inlineStr">
        <is>
          <t>② Investissement</t>
        </is>
      </c>
      <c r="I47" s="279" t="n">
        <v>7610</v>
      </c>
      <c r="J47" s="279" t="inlineStr">
        <is>
          <t>Dividendes filiales IC</t>
        </is>
      </c>
      <c r="K47" s="281" t="n">
        <v>4200</v>
      </c>
      <c r="L47" s="281" t="n">
        <v>4200</v>
      </c>
      <c r="M47" s="279" t="n">
        <v>-4200</v>
      </c>
      <c r="N47" s="281" t="n">
        <v>0</v>
      </c>
      <c r="O47" s="279" t="inlineStr">
        <is>
          <t>FR-2025-040</t>
        </is>
      </c>
      <c r="P47" s="279" t="inlineStr">
        <is>
          <t>31/12/2025</t>
        </is>
      </c>
      <c r="Q47" s="279" t="inlineStr">
        <is>
          <t>IAS 28</t>
        </is>
      </c>
      <c r="R47" s="279" t="inlineStr">
        <is>
          <t>—</t>
        </is>
      </c>
      <c r="S47" s="279" t="n">
        <v>0</v>
      </c>
      <c r="T47" s="279" t="inlineStr">
        <is>
          <t>—</t>
        </is>
      </c>
      <c r="U47" s="279" t="n"/>
      <c r="V47" s="279" t="n"/>
      <c r="W47" s="279" t="inlineStr">
        <is>
          <t>Deloitte</t>
        </is>
      </c>
      <c r="X47" s="282" t="inlineStr">
        <is>
          <t>✅ IC élim.</t>
        </is>
      </c>
      <c r="Y47" s="200" t="n"/>
      <c r="Z47" s="200" t="n"/>
    </row>
    <row r="48" ht="14.1" customHeight="1" s="500">
      <c r="B48" s="278" t="n">
        <v>2025</v>
      </c>
      <c r="C48" s="279" t="inlineStr">
        <is>
          <t>Base</t>
        </is>
      </c>
      <c r="D48" s="280" t="inlineStr">
        <is>
          <t>FR_ParentCo</t>
        </is>
      </c>
      <c r="E48" s="279" t="inlineStr">
        <is>
          <t>EUR</t>
        </is>
      </c>
      <c r="F48" s="279" t="n">
        <v>1</v>
      </c>
      <c r="G48" s="279" t="inlineStr">
        <is>
          <t>Intérêts emprunts</t>
        </is>
      </c>
      <c r="H48" s="279" t="inlineStr">
        <is>
          <t>③ Financement</t>
        </is>
      </c>
      <c r="I48" s="279" t="n">
        <v>6610</v>
      </c>
      <c r="J48" s="279" t="inlineStr">
        <is>
          <t>Intérêts financiers</t>
        </is>
      </c>
      <c r="K48" s="1109" t="n">
        <v>-8200</v>
      </c>
      <c r="L48" s="1109" t="n">
        <v>-8200</v>
      </c>
      <c r="M48" s="279" t="n">
        <v>0</v>
      </c>
      <c r="N48" s="1109" t="n">
        <v>-8200</v>
      </c>
      <c r="O48" s="279" t="inlineStr">
        <is>
          <t>FR-2025-050</t>
        </is>
      </c>
      <c r="P48" s="279" t="inlineStr">
        <is>
          <t>31/12/2025</t>
        </is>
      </c>
      <c r="Q48" s="279" t="inlineStr">
        <is>
          <t>IFRS 9</t>
        </is>
      </c>
      <c r="R48" s="279" t="inlineStr">
        <is>
          <t>—</t>
        </is>
      </c>
      <c r="S48" s="279" t="n">
        <v>0</v>
      </c>
      <c r="T48" s="279" t="inlineStr">
        <is>
          <t>—</t>
        </is>
      </c>
      <c r="U48" s="279" t="n"/>
      <c r="V48" s="279" t="n"/>
      <c r="W48" s="279" t="inlineStr">
        <is>
          <t>Deloitte</t>
        </is>
      </c>
      <c r="X48" s="282" t="inlineStr">
        <is>
          <t>✅ Validé</t>
        </is>
      </c>
      <c r="Y48" s="200" t="n"/>
      <c r="Z48" s="200" t="n"/>
    </row>
    <row r="49" ht="14.1" customHeight="1" s="500">
      <c r="B49" s="278" t="n">
        <v>2025</v>
      </c>
      <c r="C49" s="279" t="inlineStr">
        <is>
          <t>Base</t>
        </is>
      </c>
      <c r="D49" s="280" t="inlineStr">
        <is>
          <t>FR_ParentCo</t>
        </is>
      </c>
      <c r="E49" s="279" t="inlineStr">
        <is>
          <t>EUR</t>
        </is>
      </c>
      <c r="F49" s="279" t="n">
        <v>1</v>
      </c>
      <c r="G49" s="279" t="inlineStr">
        <is>
          <t>Impôt IS courant</t>
        </is>
      </c>
      <c r="H49" s="279" t="inlineStr">
        <is>
          <t>④ Impôts</t>
        </is>
      </c>
      <c r="I49" s="279" t="n">
        <v>6950</v>
      </c>
      <c r="J49" s="279" t="inlineStr">
        <is>
          <t>IS courant IAS 12</t>
        </is>
      </c>
      <c r="K49" s="1109" t="n">
        <v>-12400</v>
      </c>
      <c r="L49" s="1109" t="n">
        <v>-12400</v>
      </c>
      <c r="M49" s="279" t="n">
        <v>0</v>
      </c>
      <c r="N49" s="1109" t="n">
        <v>-12400</v>
      </c>
      <c r="O49" s="279" t="inlineStr">
        <is>
          <t>FR-2025-060</t>
        </is>
      </c>
      <c r="P49" s="279" t="inlineStr">
        <is>
          <t>31/12/2025</t>
        </is>
      </c>
      <c r="Q49" s="279" t="inlineStr">
        <is>
          <t>IAS 12</t>
        </is>
      </c>
      <c r="R49" s="279" t="inlineStr">
        <is>
          <t>—</t>
        </is>
      </c>
      <c r="S49" s="279" t="n">
        <v>0</v>
      </c>
      <c r="T49" s="279" t="inlineStr">
        <is>
          <t>—</t>
        </is>
      </c>
      <c r="U49" s="279" t="n"/>
      <c r="V49" s="279" t="n"/>
      <c r="W49" s="279" t="inlineStr">
        <is>
          <t>Deloitte</t>
        </is>
      </c>
      <c r="X49" s="282" t="inlineStr">
        <is>
          <t>✅ Validé</t>
        </is>
      </c>
      <c r="Y49" s="200" t="n"/>
      <c r="Z49" s="200" t="n"/>
    </row>
    <row r="50" ht="14.1" customHeight="1" s="500">
      <c r="B50" s="278" t="n">
        <v>2025</v>
      </c>
      <c r="C50" s="279" t="inlineStr">
        <is>
          <t>Base</t>
        </is>
      </c>
      <c r="D50" s="284" t="inlineStr">
        <is>
          <t>DE_Filiale</t>
        </is>
      </c>
      <c r="E50" s="279" t="inlineStr">
        <is>
          <t>EUR</t>
        </is>
      </c>
      <c r="F50" s="279" t="n">
        <v>1</v>
      </c>
      <c r="G50" s="279" t="inlineStr">
        <is>
          <t>CA net IFRS 15</t>
        </is>
      </c>
      <c r="H50" s="279" t="inlineStr">
        <is>
          <t>① Exploitation</t>
        </is>
      </c>
      <c r="I50" s="279" t="n">
        <v>7010</v>
      </c>
      <c r="J50" s="279" t="inlineStr">
        <is>
          <t>Umsatz Produkte</t>
        </is>
      </c>
      <c r="K50" s="281" t="n">
        <v>168000</v>
      </c>
      <c r="L50" s="281" t="n">
        <v>168000</v>
      </c>
      <c r="M50" s="279" t="n">
        <v>0</v>
      </c>
      <c r="N50" s="281" t="n">
        <v>168000</v>
      </c>
      <c r="O50" s="279" t="inlineStr">
        <is>
          <t>DE-2025-001</t>
        </is>
      </c>
      <c r="P50" s="279" t="inlineStr">
        <is>
          <t>31/12/2025</t>
        </is>
      </c>
      <c r="Q50" s="279" t="inlineStr">
        <is>
          <t>IFRS 15</t>
        </is>
      </c>
      <c r="R50" s="279" t="inlineStr">
        <is>
          <t>—</t>
        </is>
      </c>
      <c r="S50" s="279" t="n">
        <v>0</v>
      </c>
      <c r="T50" s="279" t="inlineStr">
        <is>
          <t>E1-6</t>
        </is>
      </c>
      <c r="U50" s="279" t="n">
        <v>179760</v>
      </c>
      <c r="V50" s="279" t="n">
        <v>151200</v>
      </c>
      <c r="W50" s="279" t="inlineStr">
        <is>
          <t>PwC</t>
        </is>
      </c>
      <c r="X50" s="282" t="inlineStr">
        <is>
          <t>✅ Validé</t>
        </is>
      </c>
      <c r="Y50" s="200" t="n"/>
      <c r="Z50" s="200" t="n"/>
    </row>
    <row r="51" ht="14.1" customHeight="1" s="500">
      <c r="B51" s="278" t="n">
        <v>2025</v>
      </c>
      <c r="C51" s="279" t="inlineStr">
        <is>
          <t>Base</t>
        </is>
      </c>
      <c r="D51" s="284" t="inlineStr">
        <is>
          <t>DE_Filiale</t>
        </is>
      </c>
      <c r="E51" s="279" t="inlineStr">
        <is>
          <t>EUR</t>
        </is>
      </c>
      <c r="F51" s="279" t="n">
        <v>1</v>
      </c>
      <c r="G51" s="279" t="inlineStr">
        <is>
          <t>Achats &amp; charges ext.</t>
        </is>
      </c>
      <c r="H51" s="279" t="inlineStr">
        <is>
          <t>① Exploitation</t>
        </is>
      </c>
      <c r="I51" s="279" t="n">
        <v>6010</v>
      </c>
      <c r="J51" s="279" t="inlineStr">
        <is>
          <t>Materialeinkauf</t>
        </is>
      </c>
      <c r="K51" s="1109" t="n">
        <v>-82000</v>
      </c>
      <c r="L51" s="1109" t="n">
        <v>-82000</v>
      </c>
      <c r="M51" s="279" t="n">
        <v>0</v>
      </c>
      <c r="N51" s="1109" t="n">
        <v>-82000</v>
      </c>
      <c r="O51" s="279" t="inlineStr">
        <is>
          <t>DE-2025-010</t>
        </is>
      </c>
      <c r="P51" s="279" t="inlineStr">
        <is>
          <t>31/12/2025</t>
        </is>
      </c>
      <c r="Q51" s="279" t="inlineStr">
        <is>
          <t>IAS 2</t>
        </is>
      </c>
      <c r="R51" s="279" t="inlineStr">
        <is>
          <t>Scope 3</t>
        </is>
      </c>
      <c r="S51" s="279" t="n">
        <v>-47620</v>
      </c>
      <c r="T51" s="279" t="inlineStr">
        <is>
          <t>E1-6</t>
        </is>
      </c>
      <c r="U51" s="279" t="n"/>
      <c r="V51" s="279" t="n"/>
      <c r="W51" s="279" t="inlineStr">
        <is>
          <t>PwC</t>
        </is>
      </c>
      <c r="X51" s="282" t="inlineStr">
        <is>
          <t>✅ Validé</t>
        </is>
      </c>
      <c r="Y51" s="200" t="n"/>
      <c r="Z51" s="200" t="n"/>
    </row>
    <row r="52" ht="14.1" customHeight="1" s="500">
      <c r="B52" s="278" t="n">
        <v>2025</v>
      </c>
      <c r="C52" s="279" t="inlineStr">
        <is>
          <t>Base</t>
        </is>
      </c>
      <c r="D52" s="284" t="inlineStr">
        <is>
          <t>DE_Filiale</t>
        </is>
      </c>
      <c r="E52" s="279" t="inlineStr">
        <is>
          <t>EUR</t>
        </is>
      </c>
      <c r="F52" s="279" t="n">
        <v>1</v>
      </c>
      <c r="G52" s="279" t="inlineStr">
        <is>
          <t>Charges de personnel</t>
        </is>
      </c>
      <c r="H52" s="279" t="inlineStr">
        <is>
          <t>① Exploitation</t>
        </is>
      </c>
      <c r="I52" s="279" t="n">
        <v>6400</v>
      </c>
      <c r="J52" s="279" t="inlineStr">
        <is>
          <t>Personalkosten</t>
        </is>
      </c>
      <c r="K52" s="1109" t="n">
        <v>-45000</v>
      </c>
      <c r="L52" s="1109" t="n">
        <v>-45000</v>
      </c>
      <c r="M52" s="279" t="n">
        <v>0</v>
      </c>
      <c r="N52" s="1109" t="n">
        <v>-45000</v>
      </c>
      <c r="O52" s="279" t="inlineStr">
        <is>
          <t>DE-2025-020</t>
        </is>
      </c>
      <c r="P52" s="279" t="inlineStr">
        <is>
          <t>31/12/2025</t>
        </is>
      </c>
      <c r="Q52" s="279" t="inlineStr">
        <is>
          <t>IAS 19</t>
        </is>
      </c>
      <c r="R52" s="279" t="inlineStr">
        <is>
          <t>—</t>
        </is>
      </c>
      <c r="S52" s="279" t="n">
        <v>0</v>
      </c>
      <c r="T52" s="279" t="inlineStr">
        <is>
          <t>S1-6</t>
        </is>
      </c>
      <c r="U52" s="279" t="n"/>
      <c r="V52" s="279" t="n"/>
      <c r="W52" s="279" t="inlineStr">
        <is>
          <t>PwC</t>
        </is>
      </c>
      <c r="X52" s="282" t="inlineStr">
        <is>
          <t>✅ Validé</t>
        </is>
      </c>
      <c r="Y52" s="200" t="n"/>
      <c r="Z52" s="200" t="n"/>
    </row>
    <row r="53" ht="14.1" customHeight="1" s="500">
      <c r="B53" s="278" t="n">
        <v>2025</v>
      </c>
      <c r="C53" s="279" t="inlineStr">
        <is>
          <t>Base</t>
        </is>
      </c>
      <c r="D53" s="284" t="inlineStr">
        <is>
          <t>DE_Filiale</t>
        </is>
      </c>
      <c r="E53" s="279" t="inlineStr">
        <is>
          <t>EUR</t>
        </is>
      </c>
      <c r="F53" s="279" t="n">
        <v>1</v>
      </c>
      <c r="G53" s="279" t="inlineStr">
        <is>
          <t>Intérêts emprunts</t>
        </is>
      </c>
      <c r="H53" s="279" t="inlineStr">
        <is>
          <t>③ Financement</t>
        </is>
      </c>
      <c r="I53" s="279" t="n">
        <v>6610</v>
      </c>
      <c r="J53" s="279" t="inlineStr">
        <is>
          <t>Zinsaufwand</t>
        </is>
      </c>
      <c r="K53" s="1109" t="n">
        <v>-4500</v>
      </c>
      <c r="L53" s="1109" t="n">
        <v>-4500</v>
      </c>
      <c r="M53" s="279" t="n">
        <v>0</v>
      </c>
      <c r="N53" s="1109" t="n">
        <v>-4500</v>
      </c>
      <c r="O53" s="279" t="inlineStr">
        <is>
          <t>DE-2025-050</t>
        </is>
      </c>
      <c r="P53" s="279" t="inlineStr">
        <is>
          <t>31/12/2025</t>
        </is>
      </c>
      <c r="Q53" s="279" t="inlineStr">
        <is>
          <t>IFRS 9</t>
        </is>
      </c>
      <c r="R53" s="279" t="inlineStr">
        <is>
          <t>—</t>
        </is>
      </c>
      <c r="S53" s="279" t="n">
        <v>0</v>
      </c>
      <c r="T53" s="279" t="inlineStr">
        <is>
          <t>—</t>
        </is>
      </c>
      <c r="U53" s="279" t="n"/>
      <c r="V53" s="279" t="n"/>
      <c r="W53" s="279" t="inlineStr">
        <is>
          <t>PwC</t>
        </is>
      </c>
      <c r="X53" s="282" t="inlineStr">
        <is>
          <t>✅ Validé</t>
        </is>
      </c>
      <c r="Y53" s="200" t="n"/>
      <c r="Z53" s="200" t="n"/>
    </row>
    <row r="54" ht="14.1" customHeight="1" s="500">
      <c r="B54" s="278" t="n">
        <v>2025</v>
      </c>
      <c r="C54" s="279" t="inlineStr">
        <is>
          <t>Base</t>
        </is>
      </c>
      <c r="D54" s="285" t="inlineStr">
        <is>
          <t>UK_Filiale</t>
        </is>
      </c>
      <c r="E54" s="279" t="inlineStr">
        <is>
          <t>GBP</t>
        </is>
      </c>
      <c r="F54" s="279" t="n">
        <v>1.152</v>
      </c>
      <c r="G54" s="279" t="inlineStr">
        <is>
          <t>CA net IFRS 15</t>
        </is>
      </c>
      <c r="H54" s="279" t="inlineStr">
        <is>
          <t>① Exploitation</t>
        </is>
      </c>
      <c r="I54" s="279" t="n">
        <v>7010</v>
      </c>
      <c r="J54" s="279" t="inlineStr">
        <is>
          <t>Revenue GBP (x1.152)</t>
        </is>
      </c>
      <c r="K54" s="281" t="n">
        <v>142000</v>
      </c>
      <c r="L54" s="281" t="n">
        <v>163584</v>
      </c>
      <c r="M54" s="279" t="n">
        <v>0</v>
      </c>
      <c r="N54" s="281" t="n">
        <v>163584</v>
      </c>
      <c r="O54" s="279" t="inlineStr">
        <is>
          <t>UK-2025-001</t>
        </is>
      </c>
      <c r="P54" s="279" t="inlineStr">
        <is>
          <t>31/12/2025</t>
        </is>
      </c>
      <c r="Q54" s="279" t="inlineStr">
        <is>
          <t>IFRS 15/IAS 21</t>
        </is>
      </c>
      <c r="R54" s="279" t="inlineStr">
        <is>
          <t>—</t>
        </is>
      </c>
      <c r="S54" s="279" t="n">
        <v>0</v>
      </c>
      <c r="T54" s="279" t="inlineStr">
        <is>
          <t>E1-6</t>
        </is>
      </c>
      <c r="U54" s="279" t="n">
        <v>174934</v>
      </c>
      <c r="V54" s="279" t="n">
        <v>147226</v>
      </c>
      <c r="W54" s="279" t="inlineStr">
        <is>
          <t>KPMG</t>
        </is>
      </c>
      <c r="X54" s="282" t="inlineStr">
        <is>
          <t>✅ Validé</t>
        </is>
      </c>
      <c r="Y54" s="200" t="n"/>
      <c r="Z54" s="200" t="n"/>
    </row>
    <row r="55" ht="14.1" customHeight="1" s="500">
      <c r="B55" s="278" t="n">
        <v>2025</v>
      </c>
      <c r="C55" s="279" t="inlineStr">
        <is>
          <t>Base</t>
        </is>
      </c>
      <c r="D55" s="285" t="inlineStr">
        <is>
          <t>UK_Filiale</t>
        </is>
      </c>
      <c r="E55" s="279" t="inlineStr">
        <is>
          <t>GBP</t>
        </is>
      </c>
      <c r="F55" s="279" t="n">
        <v>1.152</v>
      </c>
      <c r="G55" s="279" t="inlineStr">
        <is>
          <t>Achats &amp; charges ext.</t>
        </is>
      </c>
      <c r="H55" s="279" t="inlineStr">
        <is>
          <t>① Exploitation</t>
        </is>
      </c>
      <c r="I55" s="279" t="n">
        <v>6010</v>
      </c>
      <c r="J55" s="279" t="inlineStr">
        <is>
          <t>Cost of Goods Sold</t>
        </is>
      </c>
      <c r="K55" s="1109" t="n">
        <v>-68000</v>
      </c>
      <c r="L55" s="1109" t="n">
        <v>-78336</v>
      </c>
      <c r="M55" s="279" t="n">
        <v>0</v>
      </c>
      <c r="N55" s="1109" t="n">
        <v>-78336</v>
      </c>
      <c r="O55" s="279" t="inlineStr">
        <is>
          <t>UK-2025-010</t>
        </is>
      </c>
      <c r="P55" s="279" t="inlineStr">
        <is>
          <t>31/12/2025</t>
        </is>
      </c>
      <c r="Q55" s="279" t="inlineStr">
        <is>
          <t>IAS 21</t>
        </is>
      </c>
      <c r="R55" s="279" t="inlineStr">
        <is>
          <t>Scope 3</t>
        </is>
      </c>
      <c r="S55" s="279" t="n">
        <v>-25233</v>
      </c>
      <c r="T55" s="279" t="inlineStr">
        <is>
          <t>E1-6</t>
        </is>
      </c>
      <c r="U55" s="279" t="n"/>
      <c r="V55" s="279" t="n"/>
      <c r="W55" s="279" t="inlineStr">
        <is>
          <t>KPMG</t>
        </is>
      </c>
      <c r="X55" s="282" t="inlineStr">
        <is>
          <t>✅ Validé</t>
        </is>
      </c>
      <c r="Y55" s="200" t="n"/>
      <c r="Z55" s="200" t="n"/>
    </row>
    <row r="56" ht="14.1" customHeight="1" s="500">
      <c r="B56" s="278" t="n">
        <v>2025</v>
      </c>
      <c r="C56" s="279" t="inlineStr">
        <is>
          <t>Base</t>
        </is>
      </c>
      <c r="D56" s="285" t="inlineStr">
        <is>
          <t>UK_Filiale</t>
        </is>
      </c>
      <c r="E56" s="279" t="inlineStr">
        <is>
          <t>GBP</t>
        </is>
      </c>
      <c r="F56" s="279" t="n">
        <v>1.152</v>
      </c>
      <c r="G56" s="279" t="inlineStr">
        <is>
          <t>Charges de personnel</t>
        </is>
      </c>
      <c r="H56" s="279" t="inlineStr">
        <is>
          <t>① Exploitation</t>
        </is>
      </c>
      <c r="I56" s="279" t="n">
        <v>6400</v>
      </c>
      <c r="J56" s="279" t="inlineStr">
        <is>
          <t>Staff costs GBP</t>
        </is>
      </c>
      <c r="K56" s="1109" t="n">
        <v>-38000</v>
      </c>
      <c r="L56" s="1109" t="n">
        <v>-43776</v>
      </c>
      <c r="M56" s="279" t="n">
        <v>0</v>
      </c>
      <c r="N56" s="1109" t="n">
        <v>-43776</v>
      </c>
      <c r="O56" s="279" t="inlineStr">
        <is>
          <t>UK-2025-020</t>
        </is>
      </c>
      <c r="P56" s="279" t="inlineStr">
        <is>
          <t>31/12/2025</t>
        </is>
      </c>
      <c r="Q56" s="279" t="inlineStr">
        <is>
          <t>IAS 19/21</t>
        </is>
      </c>
      <c r="R56" s="279" t="inlineStr">
        <is>
          <t>—</t>
        </is>
      </c>
      <c r="S56" s="279" t="n">
        <v>0</v>
      </c>
      <c r="T56" s="279" t="inlineStr">
        <is>
          <t>S1-6</t>
        </is>
      </c>
      <c r="U56" s="279" t="n"/>
      <c r="V56" s="279" t="n"/>
      <c r="W56" s="279" t="inlineStr">
        <is>
          <t>KPMG</t>
        </is>
      </c>
      <c r="X56" s="282" t="inlineStr">
        <is>
          <t>✅ Validé</t>
        </is>
      </c>
      <c r="Y56" s="200" t="n"/>
      <c r="Z56" s="200" t="n"/>
    </row>
    <row r="57" ht="14.1" customHeight="1" s="500">
      <c r="B57" s="278" t="n">
        <v>2025</v>
      </c>
      <c r="C57" s="279" t="inlineStr">
        <is>
          <t>Base</t>
        </is>
      </c>
      <c r="D57" s="286" t="inlineStr">
        <is>
          <t>US_Filiale</t>
        </is>
      </c>
      <c r="E57" s="279" t="inlineStr">
        <is>
          <t>USD</t>
        </is>
      </c>
      <c r="F57" s="279" t="n">
        <v>0.925</v>
      </c>
      <c r="G57" s="279" t="inlineStr">
        <is>
          <t>CA net IFRS 15</t>
        </is>
      </c>
      <c r="H57" s="279" t="inlineStr">
        <is>
          <t>① Exploitation</t>
        </is>
      </c>
      <c r="I57" s="279" t="n">
        <v>7010</v>
      </c>
      <c r="J57" s="279" t="inlineStr">
        <is>
          <t>Revenue USD (x0.925)</t>
        </is>
      </c>
      <c r="K57" s="281" t="n">
        <v>195000</v>
      </c>
      <c r="L57" s="281" t="n">
        <v>180375</v>
      </c>
      <c r="M57" s="279" t="n">
        <v>0</v>
      </c>
      <c r="N57" s="281" t="n">
        <v>180375</v>
      </c>
      <c r="O57" s="279" t="inlineStr">
        <is>
          <t>US-2025-001</t>
        </is>
      </c>
      <c r="P57" s="279" t="inlineStr">
        <is>
          <t>31/12/2025</t>
        </is>
      </c>
      <c r="Q57" s="279" t="inlineStr">
        <is>
          <t>IFRS 15/IAS 21</t>
        </is>
      </c>
      <c r="R57" s="279" t="inlineStr">
        <is>
          <t>—</t>
        </is>
      </c>
      <c r="S57" s="279" t="n">
        <v>0</v>
      </c>
      <c r="T57" s="279" t="inlineStr">
        <is>
          <t>E1-6</t>
        </is>
      </c>
      <c r="U57" s="279" t="n">
        <v>192701</v>
      </c>
      <c r="V57" s="279" t="n">
        <v>162338</v>
      </c>
      <c r="W57" s="279" t="inlineStr">
        <is>
          <t>EY</t>
        </is>
      </c>
      <c r="X57" s="282" t="inlineStr">
        <is>
          <t>✅ Validé</t>
        </is>
      </c>
      <c r="Y57" s="200" t="n"/>
      <c r="Z57" s="200" t="n"/>
    </row>
    <row r="58" ht="14.1" customHeight="1" s="500">
      <c r="B58" s="278" t="n">
        <v>2025</v>
      </c>
      <c r="C58" s="279" t="inlineStr">
        <is>
          <t>Base</t>
        </is>
      </c>
      <c r="D58" s="286" t="inlineStr">
        <is>
          <t>US_Filiale</t>
        </is>
      </c>
      <c r="E58" s="279" t="inlineStr">
        <is>
          <t>USD</t>
        </is>
      </c>
      <c r="F58" s="279" t="n">
        <v>0.925</v>
      </c>
      <c r="G58" s="279" t="inlineStr">
        <is>
          <t>Achats &amp; charges ext.</t>
        </is>
      </c>
      <c r="H58" s="279" t="inlineStr">
        <is>
          <t>① Exploitation</t>
        </is>
      </c>
      <c r="I58" s="279" t="n">
        <v>6010</v>
      </c>
      <c r="J58" s="279" t="inlineStr">
        <is>
          <t>COGS USD→EUR</t>
        </is>
      </c>
      <c r="K58" s="1109" t="n">
        <v>-92000</v>
      </c>
      <c r="L58" s="1109" t="n">
        <v>-85100</v>
      </c>
      <c r="M58" s="279" t="n">
        <v>0</v>
      </c>
      <c r="N58" s="1109" t="n">
        <v>-85100</v>
      </c>
      <c r="O58" s="279" t="inlineStr">
        <is>
          <t>US-2025-010</t>
        </is>
      </c>
      <c r="P58" s="279" t="inlineStr">
        <is>
          <t>31/12/2025</t>
        </is>
      </c>
      <c r="Q58" s="279" t="inlineStr">
        <is>
          <t>IAS 21</t>
        </is>
      </c>
      <c r="R58" s="279" t="inlineStr">
        <is>
          <t>Scope 3</t>
        </is>
      </c>
      <c r="S58" s="279" t="n">
        <v>-87750</v>
      </c>
      <c r="T58" s="279" t="inlineStr">
        <is>
          <t>E1-6</t>
        </is>
      </c>
      <c r="U58" s="279" t="n"/>
      <c r="V58" s="279" t="n"/>
      <c r="W58" s="279" t="inlineStr">
        <is>
          <t>EY</t>
        </is>
      </c>
      <c r="X58" s="282" t="inlineStr">
        <is>
          <t>✅ Validé</t>
        </is>
      </c>
      <c r="Y58" s="200" t="n"/>
      <c r="Z58" s="200" t="n"/>
    </row>
    <row r="59" ht="14.1" customHeight="1" s="500">
      <c r="B59" s="278" t="n">
        <v>2025</v>
      </c>
      <c r="C59" s="279" t="inlineStr">
        <is>
          <t>Base</t>
        </is>
      </c>
      <c r="D59" s="286" t="inlineStr">
        <is>
          <t>US_Filiale</t>
        </is>
      </c>
      <c r="E59" s="279" t="inlineStr">
        <is>
          <t>USD</t>
        </is>
      </c>
      <c r="F59" s="279" t="n">
        <v>0.925</v>
      </c>
      <c r="G59" s="279" t="inlineStr">
        <is>
          <t>Charges de personnel</t>
        </is>
      </c>
      <c r="H59" s="279" t="inlineStr">
        <is>
          <t>① Exploitation</t>
        </is>
      </c>
      <c r="I59" s="279" t="n">
        <v>6400</v>
      </c>
      <c r="J59" s="279" t="inlineStr">
        <is>
          <t>Payroll USD→EUR</t>
        </is>
      </c>
      <c r="K59" s="1109" t="n">
        <v>-52000</v>
      </c>
      <c r="L59" s="1109" t="n">
        <v>-48100</v>
      </c>
      <c r="M59" s="279" t="n">
        <v>0</v>
      </c>
      <c r="N59" s="1109" t="n">
        <v>-48100</v>
      </c>
      <c r="O59" s="279" t="inlineStr">
        <is>
          <t>US-2025-020</t>
        </is>
      </c>
      <c r="P59" s="279" t="inlineStr">
        <is>
          <t>31/12/2025</t>
        </is>
      </c>
      <c r="Q59" s="279" t="inlineStr">
        <is>
          <t>IAS 19/21</t>
        </is>
      </c>
      <c r="R59" s="279" t="inlineStr">
        <is>
          <t>—</t>
        </is>
      </c>
      <c r="S59" s="279" t="n">
        <v>0</v>
      </c>
      <c r="T59" s="279" t="inlineStr">
        <is>
          <t>S1-6</t>
        </is>
      </c>
      <c r="U59" s="279" t="n"/>
      <c r="V59" s="279" t="n"/>
      <c r="W59" s="279" t="inlineStr">
        <is>
          <t>EY</t>
        </is>
      </c>
      <c r="X59" s="282" t="inlineStr">
        <is>
          <t>✅ Validé</t>
        </is>
      </c>
      <c r="Y59" s="200" t="n"/>
      <c r="Z59" s="200" t="n"/>
    </row>
    <row r="60" ht="14.1" customHeight="1" s="500">
      <c r="B60" s="278" t="n">
        <v>2025</v>
      </c>
      <c r="C60" s="279" t="inlineStr">
        <is>
          <t>Base</t>
        </is>
      </c>
      <c r="D60" s="286" t="inlineStr">
        <is>
          <t>US_Filiale</t>
        </is>
      </c>
      <c r="E60" s="279" t="inlineStr">
        <is>
          <t>USD</t>
        </is>
      </c>
      <c r="F60" s="279" t="n">
        <v>0.925</v>
      </c>
      <c r="G60" s="279" t="inlineStr">
        <is>
          <t>Intérêts emprunts</t>
        </is>
      </c>
      <c r="H60" s="279" t="inlineStr">
        <is>
          <t>③ Financement</t>
        </is>
      </c>
      <c r="I60" s="279" t="n">
        <v>6610</v>
      </c>
      <c r="J60" s="279" t="inlineStr">
        <is>
          <t>Interest expense</t>
        </is>
      </c>
      <c r="K60" s="1109" t="n">
        <v>-7800</v>
      </c>
      <c r="L60" s="1109" t="n">
        <v>-7215</v>
      </c>
      <c r="M60" s="279" t="n">
        <v>0</v>
      </c>
      <c r="N60" s="1109" t="n">
        <v>-7215</v>
      </c>
      <c r="O60" s="279" t="inlineStr">
        <is>
          <t>US-2025-050</t>
        </is>
      </c>
      <c r="P60" s="279" t="inlineStr">
        <is>
          <t>31/12/2025</t>
        </is>
      </c>
      <c r="Q60" s="279" t="inlineStr">
        <is>
          <t>IFRS 9/21</t>
        </is>
      </c>
      <c r="R60" s="279" t="inlineStr">
        <is>
          <t>—</t>
        </is>
      </c>
      <c r="S60" s="279" t="n">
        <v>0</v>
      </c>
      <c r="T60" s="279" t="inlineStr">
        <is>
          <t>—</t>
        </is>
      </c>
      <c r="U60" s="279" t="n"/>
      <c r="V60" s="279" t="n"/>
      <c r="W60" s="279" t="inlineStr">
        <is>
          <t>EY</t>
        </is>
      </c>
      <c r="X60" s="282" t="inlineStr">
        <is>
          <t>✅ Validé</t>
        </is>
      </c>
      <c r="Y60" s="200" t="n"/>
      <c r="Z60" s="200" t="n"/>
    </row>
    <row r="61" ht="14.1" customHeight="1" s="500">
      <c r="B61" s="278" t="n">
        <v>2025</v>
      </c>
      <c r="C61" s="279" t="inlineStr">
        <is>
          <t>Base</t>
        </is>
      </c>
      <c r="D61" s="287" t="inlineStr">
        <is>
          <t>SG_Filiale</t>
        </is>
      </c>
      <c r="E61" s="279" t="inlineStr">
        <is>
          <t>SGD</t>
        </is>
      </c>
      <c r="F61" s="279" t="n">
        <v>0.6820000000000001</v>
      </c>
      <c r="G61" s="279" t="inlineStr">
        <is>
          <t>CA net IFRS 15</t>
        </is>
      </c>
      <c r="H61" s="279" t="inlineStr">
        <is>
          <t>① Exploitation</t>
        </is>
      </c>
      <c r="I61" s="279" t="n">
        <v>7010</v>
      </c>
      <c r="J61" s="279" t="inlineStr">
        <is>
          <t>Revenue SGD (x0.682)</t>
        </is>
      </c>
      <c r="K61" s="281" t="n">
        <v>88000</v>
      </c>
      <c r="L61" s="281" t="n">
        <v>60016</v>
      </c>
      <c r="M61" s="279" t="n">
        <v>0</v>
      </c>
      <c r="N61" s="281" t="n">
        <v>60016</v>
      </c>
      <c r="O61" s="279" t="inlineStr">
        <is>
          <t>SG-2025-001</t>
        </is>
      </c>
      <c r="P61" s="279" t="inlineStr">
        <is>
          <t>31/12/2025</t>
        </is>
      </c>
      <c r="Q61" s="279" t="inlineStr">
        <is>
          <t>IFRS 15/IAS 21</t>
        </is>
      </c>
      <c r="R61" s="279" t="inlineStr">
        <is>
          <t>—</t>
        </is>
      </c>
      <c r="S61" s="279" t="n">
        <v>0</v>
      </c>
      <c r="T61" s="279" t="inlineStr">
        <is>
          <t>E1-6</t>
        </is>
      </c>
      <c r="U61" s="279" t="n">
        <v>64217</v>
      </c>
      <c r="V61" s="279" t="n">
        <v>54014</v>
      </c>
      <c r="W61" s="279" t="inlineStr">
        <is>
          <t>Mazars</t>
        </is>
      </c>
      <c r="X61" s="282" t="inlineStr">
        <is>
          <t>✅ Validé</t>
        </is>
      </c>
      <c r="Y61" s="200" t="n"/>
      <c r="Z61" s="200" t="n"/>
    </row>
    <row r="62" ht="14.1" customHeight="1" s="500">
      <c r="B62" s="278" t="n">
        <v>2025</v>
      </c>
      <c r="C62" s="279" t="inlineStr">
        <is>
          <t>Base</t>
        </is>
      </c>
      <c r="D62" s="287" t="inlineStr">
        <is>
          <t>SG_Filiale</t>
        </is>
      </c>
      <c r="E62" s="279" t="inlineStr">
        <is>
          <t>SGD</t>
        </is>
      </c>
      <c r="F62" s="279" t="n">
        <v>0.6820000000000001</v>
      </c>
      <c r="G62" s="279" t="inlineStr">
        <is>
          <t>Achats &amp; charges ext.</t>
        </is>
      </c>
      <c r="H62" s="279" t="inlineStr">
        <is>
          <t>① Exploitation</t>
        </is>
      </c>
      <c r="I62" s="279" t="n">
        <v>6010</v>
      </c>
      <c r="J62" s="279" t="inlineStr">
        <is>
          <t>Cost of sales SGD</t>
        </is>
      </c>
      <c r="K62" s="1109" t="n">
        <v>-38000</v>
      </c>
      <c r="L62" s="1109" t="n">
        <v>-25916</v>
      </c>
      <c r="M62" s="279" t="n">
        <v>0</v>
      </c>
      <c r="N62" s="1109" t="n">
        <v>-25916</v>
      </c>
      <c r="O62" s="279" t="inlineStr">
        <is>
          <t>SG-2025-010</t>
        </is>
      </c>
      <c r="P62" s="279" t="inlineStr">
        <is>
          <t>31/12/2025</t>
        </is>
      </c>
      <c r="Q62" s="279" t="inlineStr">
        <is>
          <t>IAS 21</t>
        </is>
      </c>
      <c r="R62" s="279" t="inlineStr">
        <is>
          <t>Scope 3</t>
        </is>
      </c>
      <c r="S62" s="279" t="n">
        <v>-19096</v>
      </c>
      <c r="T62" s="279" t="inlineStr">
        <is>
          <t>E1-6</t>
        </is>
      </c>
      <c r="U62" s="279" t="n"/>
      <c r="V62" s="279" t="n"/>
      <c r="W62" s="279" t="inlineStr">
        <is>
          <t>Mazars</t>
        </is>
      </c>
      <c r="X62" s="282" t="inlineStr">
        <is>
          <t>✅ Validé</t>
        </is>
      </c>
      <c r="Y62" s="200" t="n"/>
      <c r="Z62" s="200" t="n"/>
    </row>
    <row r="63" ht="14.1" customHeight="1" s="500">
      <c r="B63" s="278" t="n">
        <v>2025</v>
      </c>
      <c r="C63" s="279" t="inlineStr">
        <is>
          <t>Base</t>
        </is>
      </c>
      <c r="D63" s="287" t="inlineStr">
        <is>
          <t>SG_Filiale</t>
        </is>
      </c>
      <c r="E63" s="279" t="inlineStr">
        <is>
          <t>SGD</t>
        </is>
      </c>
      <c r="F63" s="279" t="n">
        <v>0.6820000000000001</v>
      </c>
      <c r="G63" s="279" t="inlineStr">
        <is>
          <t>Charges de personnel</t>
        </is>
      </c>
      <c r="H63" s="279" t="inlineStr">
        <is>
          <t>① Exploitation</t>
        </is>
      </c>
      <c r="I63" s="279" t="n">
        <v>6400</v>
      </c>
      <c r="J63" s="279" t="inlineStr">
        <is>
          <t>Staff costs SGD</t>
        </is>
      </c>
      <c r="K63" s="1109" t="n">
        <v>-22000</v>
      </c>
      <c r="L63" s="1109" t="n">
        <v>-15004</v>
      </c>
      <c r="M63" s="279" t="n">
        <v>0</v>
      </c>
      <c r="N63" s="1109" t="n">
        <v>-15004</v>
      </c>
      <c r="O63" s="279" t="inlineStr">
        <is>
          <t>SG-2025-020</t>
        </is>
      </c>
      <c r="P63" s="279" t="inlineStr">
        <is>
          <t>31/12/2025</t>
        </is>
      </c>
      <c r="Q63" s="279" t="inlineStr">
        <is>
          <t>IAS 19/21</t>
        </is>
      </c>
      <c r="R63" s="279" t="inlineStr">
        <is>
          <t>—</t>
        </is>
      </c>
      <c r="S63" s="279" t="n">
        <v>0</v>
      </c>
      <c r="T63" s="279" t="inlineStr">
        <is>
          <t>S1-6</t>
        </is>
      </c>
      <c r="U63" s="279" t="n"/>
      <c r="V63" s="279" t="n"/>
      <c r="W63" s="279" t="inlineStr">
        <is>
          <t>Mazars</t>
        </is>
      </c>
      <c r="X63" s="282" t="inlineStr">
        <is>
          <t>✅ Validé</t>
        </is>
      </c>
      <c r="Y63" s="200" t="n"/>
      <c r="Z63" s="200" t="n"/>
    </row>
    <row r="64" ht="14.1" customHeight="1" s="500">
      <c r="B64" s="278" t="n">
        <v>2025</v>
      </c>
      <c r="C64" s="279" t="inlineStr">
        <is>
          <t>Base</t>
        </is>
      </c>
      <c r="D64" s="288" t="inlineStr">
        <is>
          <t>ÉLIM_IC</t>
        </is>
      </c>
      <c r="E64" s="279" t="inlineStr">
        <is>
          <t>EUR</t>
        </is>
      </c>
      <c r="F64" s="279" t="n">
        <v>1</v>
      </c>
      <c r="G64" s="279" t="inlineStr">
        <is>
          <t>Élim. CA interco.</t>
        </is>
      </c>
      <c r="H64" s="279" t="inlineStr">
        <is>
          <t>① Exploitation</t>
        </is>
      </c>
      <c r="I64" s="279" t="n">
        <v>9100</v>
      </c>
      <c r="J64" s="279" t="inlineStr">
        <is>
          <t>Élim.ventes interco.</t>
        </is>
      </c>
      <c r="K64" s="1109" t="n">
        <v>0</v>
      </c>
      <c r="L64" s="1109" t="n">
        <v>0</v>
      </c>
      <c r="M64" s="279" t="n">
        <v>-39900</v>
      </c>
      <c r="N64" s="1109" t="n">
        <v>-39900</v>
      </c>
      <c r="O64" s="279" t="inlineStr">
        <is>
          <t>ELIM-2025-001</t>
        </is>
      </c>
      <c r="P64" s="279" t="inlineStr">
        <is>
          <t>31/12/2025</t>
        </is>
      </c>
      <c r="Q64" s="279" t="inlineStr">
        <is>
          <t>IFRS 10</t>
        </is>
      </c>
      <c r="R64" s="279" t="inlineStr">
        <is>
          <t>—</t>
        </is>
      </c>
      <c r="S64" s="279" t="n">
        <v>0</v>
      </c>
      <c r="T64" s="279" t="inlineStr">
        <is>
          <t>—</t>
        </is>
      </c>
      <c r="U64" s="279" t="n"/>
      <c r="V64" s="279" t="n"/>
      <c r="W64" s="279" t="inlineStr">
        <is>
          <t>CAC Groupe</t>
        </is>
      </c>
      <c r="X64" s="282" t="inlineStr">
        <is>
          <t>✅ Éliminé</t>
        </is>
      </c>
      <c r="Y64" s="200" t="n"/>
      <c r="Z64" s="200" t="n"/>
    </row>
    <row r="65" ht="14.1" customHeight="1" s="500">
      <c r="B65" s="278" t="n">
        <v>2025</v>
      </c>
      <c r="C65" s="279" t="inlineStr">
        <is>
          <t>Base</t>
        </is>
      </c>
      <c r="D65" s="288" t="inlineStr">
        <is>
          <t>ÉLIM_IC</t>
        </is>
      </c>
      <c r="E65" s="279" t="inlineStr">
        <is>
          <t>EUR</t>
        </is>
      </c>
      <c r="F65" s="279" t="n">
        <v>1</v>
      </c>
      <c r="G65" s="279" t="inlineStr">
        <is>
          <t>Élim. Dividendes IC</t>
        </is>
      </c>
      <c r="H65" s="279" t="inlineStr">
        <is>
          <t>② Investissement</t>
        </is>
      </c>
      <c r="I65" s="279" t="n">
        <v>9200</v>
      </c>
      <c r="J65" s="279" t="inlineStr">
        <is>
          <t>Élim.dividendes IC</t>
        </is>
      </c>
      <c r="K65" s="1109" t="n">
        <v>0</v>
      </c>
      <c r="L65" s="1109" t="n">
        <v>0</v>
      </c>
      <c r="M65" s="279" t="n">
        <v>-4200</v>
      </c>
      <c r="N65" s="1109" t="n">
        <v>-4200</v>
      </c>
      <c r="O65" s="279" t="inlineStr">
        <is>
          <t>ELIM-2025-002</t>
        </is>
      </c>
      <c r="P65" s="279" t="inlineStr">
        <is>
          <t>31/12/2025</t>
        </is>
      </c>
      <c r="Q65" s="279" t="inlineStr">
        <is>
          <t>IFRS 10</t>
        </is>
      </c>
      <c r="R65" s="279" t="inlineStr">
        <is>
          <t>—</t>
        </is>
      </c>
      <c r="S65" s="279" t="n">
        <v>0</v>
      </c>
      <c r="T65" s="279" t="inlineStr">
        <is>
          <t>—</t>
        </is>
      </c>
      <c r="U65" s="279" t="n"/>
      <c r="V65" s="279" t="n"/>
      <c r="W65" s="279" t="inlineStr">
        <is>
          <t>CAC Groupe</t>
        </is>
      </c>
      <c r="X65" s="282" t="inlineStr">
        <is>
          <t>✅ Éliminé</t>
        </is>
      </c>
      <c r="Y65" s="200" t="n"/>
      <c r="Z65" s="200" t="n"/>
    </row>
    <row r="66" ht="14.1" customHeight="1" s="500">
      <c r="B66" s="278" t="n">
        <v>2025</v>
      </c>
      <c r="C66" s="279" t="inlineStr">
        <is>
          <t>Base</t>
        </is>
      </c>
      <c r="D66" s="288" t="inlineStr">
        <is>
          <t>ÉLIM_IC</t>
        </is>
      </c>
      <c r="E66" s="279" t="inlineStr">
        <is>
          <t>EUR</t>
        </is>
      </c>
      <c r="F66" s="279" t="n">
        <v>1</v>
      </c>
      <c r="G66" s="279" t="inlineStr">
        <is>
          <t>Élim. Achats IC</t>
        </is>
      </c>
      <c r="H66" s="279" t="inlineStr">
        <is>
          <t>① Exploitation</t>
        </is>
      </c>
      <c r="I66" s="279" t="n">
        <v>9110</v>
      </c>
      <c r="J66" s="279" t="inlineStr">
        <is>
          <t>Élim.achats IC</t>
        </is>
      </c>
      <c r="K66" s="1109" t="n">
        <v>0</v>
      </c>
      <c r="L66" s="1109" t="n">
        <v>0</v>
      </c>
      <c r="M66" s="279" t="n">
        <v>28000</v>
      </c>
      <c r="N66" s="281" t="n">
        <v>28000</v>
      </c>
      <c r="O66" s="279" t="inlineStr">
        <is>
          <t>ELIM-2025-003</t>
        </is>
      </c>
      <c r="P66" s="279" t="inlineStr">
        <is>
          <t>31/12/2025</t>
        </is>
      </c>
      <c r="Q66" s="279" t="inlineStr">
        <is>
          <t>IFRS 10</t>
        </is>
      </c>
      <c r="R66" s="279" t="inlineStr">
        <is>
          <t>—</t>
        </is>
      </c>
      <c r="S66" s="279" t="n">
        <v>0</v>
      </c>
      <c r="T66" s="279" t="inlineStr">
        <is>
          <t>—</t>
        </is>
      </c>
      <c r="U66" s="279" t="n"/>
      <c r="V66" s="279" t="n"/>
      <c r="W66" s="279" t="inlineStr">
        <is>
          <t>CAC Groupe</t>
        </is>
      </c>
      <c r="X66" s="282" t="inlineStr">
        <is>
          <t>✅ Éliminé</t>
        </is>
      </c>
      <c r="Y66" s="200" t="n"/>
      <c r="Z66" s="200" t="n"/>
    </row>
    <row r="67" ht="14.1" customHeight="1" s="500">
      <c r="B67" s="278" t="n">
        <v>2025</v>
      </c>
      <c r="C67" s="279" t="inlineStr">
        <is>
          <t>Bull</t>
        </is>
      </c>
      <c r="D67" s="280" t="inlineStr">
        <is>
          <t>FR_ParentCo</t>
        </is>
      </c>
      <c r="E67" s="279" t="inlineStr">
        <is>
          <t>EUR</t>
        </is>
      </c>
      <c r="F67" s="279" t="n">
        <v>1</v>
      </c>
      <c r="G67" s="279" t="inlineStr">
        <is>
          <t>CA net (Scénario Bull)</t>
        </is>
      </c>
      <c r="H67" s="279" t="inlineStr">
        <is>
          <t>① Exploitation</t>
        </is>
      </c>
      <c r="I67" s="279" t="n">
        <v>7010</v>
      </c>
      <c r="J67" s="279" t="inlineStr">
        <is>
          <t>Ventes +7% scénario Bull</t>
        </is>
      </c>
      <c r="K67" s="281" t="n">
        <v>304950</v>
      </c>
      <c r="L67" s="281" t="n">
        <v>304950</v>
      </c>
      <c r="M67" s="279" t="n">
        <v>0</v>
      </c>
      <c r="N67" s="281" t="n">
        <v>304950</v>
      </c>
      <c r="O67" s="279" t="inlineStr">
        <is>
          <t>FR-BULL-001</t>
        </is>
      </c>
      <c r="P67" s="279" t="inlineStr">
        <is>
          <t>31/12/2025</t>
        </is>
      </c>
      <c r="Q67" s="279" t="inlineStr">
        <is>
          <t>IFRS 15</t>
        </is>
      </c>
      <c r="R67" s="279" t="inlineStr">
        <is>
          <t>—</t>
        </is>
      </c>
      <c r="S67" s="279" t="n">
        <v>0</v>
      </c>
      <c r="T67" s="279" t="inlineStr">
        <is>
          <t>E1-6</t>
        </is>
      </c>
      <c r="U67" s="279" t="n">
        <v>304950</v>
      </c>
      <c r="V67" s="279" t="n">
        <v>256500</v>
      </c>
      <c r="W67" s="279" t="inlineStr">
        <is>
          <t>Deloitte</t>
        </is>
      </c>
      <c r="X67" s="282" t="inlineStr">
        <is>
          <t>📋 Projection</t>
        </is>
      </c>
      <c r="Y67" s="200" t="n"/>
      <c r="Z67" s="200" t="n"/>
    </row>
    <row r="68" ht="14.1" customHeight="1" s="500">
      <c r="B68" s="278" t="n">
        <v>2025</v>
      </c>
      <c r="C68" s="279" t="inlineStr">
        <is>
          <t>Bear</t>
        </is>
      </c>
      <c r="D68" s="280" t="inlineStr">
        <is>
          <t>FR_ParentCo</t>
        </is>
      </c>
      <c r="E68" s="279" t="inlineStr">
        <is>
          <t>EUR</t>
        </is>
      </c>
      <c r="F68" s="279" t="n">
        <v>1</v>
      </c>
      <c r="G68" s="279" t="inlineStr">
        <is>
          <t>CA net (Scénario Bear)</t>
        </is>
      </c>
      <c r="H68" s="279" t="inlineStr">
        <is>
          <t>① Exploitation</t>
        </is>
      </c>
      <c r="I68" s="279" t="n">
        <v>7010</v>
      </c>
      <c r="J68" s="279" t="inlineStr">
        <is>
          <t>Ventes -10% scénario Bear</t>
        </is>
      </c>
      <c r="K68" s="281" t="n">
        <v>256500</v>
      </c>
      <c r="L68" s="281" t="n">
        <v>256500</v>
      </c>
      <c r="M68" s="279" t="n">
        <v>0</v>
      </c>
      <c r="N68" s="281" t="n">
        <v>256500</v>
      </c>
      <c r="O68" s="279" t="inlineStr">
        <is>
          <t>FR-BEAR-001</t>
        </is>
      </c>
      <c r="P68" s="279" t="inlineStr">
        <is>
          <t>31/12/2025</t>
        </is>
      </c>
      <c r="Q68" s="279" t="inlineStr">
        <is>
          <t>IFRS 15</t>
        </is>
      </c>
      <c r="R68" s="279" t="inlineStr">
        <is>
          <t>—</t>
        </is>
      </c>
      <c r="S68" s="279" t="n">
        <v>0</v>
      </c>
      <c r="T68" s="279" t="inlineStr">
        <is>
          <t>E1-6</t>
        </is>
      </c>
      <c r="U68" s="279" t="n">
        <v>304950</v>
      </c>
      <c r="V68" s="279" t="n">
        <v>256500</v>
      </c>
      <c r="W68" s="279" t="inlineStr">
        <is>
          <t>Deloitte</t>
        </is>
      </c>
      <c r="X68" s="282" t="inlineStr">
        <is>
          <t>📋 Projection</t>
        </is>
      </c>
      <c r="Y68" s="200" t="n"/>
      <c r="Z68" s="200" t="n"/>
    </row>
    <row r="69" ht="14.1" customHeight="1" s="500">
      <c r="B69" s="278" t="n">
        <v>2024</v>
      </c>
      <c r="C69" s="279" t="inlineStr">
        <is>
          <t>Base</t>
        </is>
      </c>
      <c r="D69" s="280" t="inlineStr">
        <is>
          <t>FR_ParentCo</t>
        </is>
      </c>
      <c r="E69" s="279" t="inlineStr">
        <is>
          <t>EUR</t>
        </is>
      </c>
      <c r="F69" s="279" t="n">
        <v>1</v>
      </c>
      <c r="G69" s="279" t="inlineStr">
        <is>
          <t>CA net IFRS 15</t>
        </is>
      </c>
      <c r="H69" s="279" t="inlineStr">
        <is>
          <t>① Exploitation</t>
        </is>
      </c>
      <c r="I69" s="279" t="n">
        <v>7010</v>
      </c>
      <c r="J69" s="279" t="inlineStr">
        <is>
          <t>Ventes produits finis N-1</t>
        </is>
      </c>
      <c r="K69" s="281" t="n">
        <v>270000</v>
      </c>
      <c r="L69" s="281" t="n">
        <v>270000</v>
      </c>
      <c r="M69" s="279" t="n">
        <v>0</v>
      </c>
      <c r="N69" s="281" t="n">
        <v>270000</v>
      </c>
      <c r="O69" s="279" t="inlineStr">
        <is>
          <t>FR-2024-001</t>
        </is>
      </c>
      <c r="P69" s="279" t="inlineStr">
        <is>
          <t>31/12/2024</t>
        </is>
      </c>
      <c r="Q69" s="279" t="inlineStr">
        <is>
          <t>IFRS 15</t>
        </is>
      </c>
      <c r="R69" s="279" t="inlineStr">
        <is>
          <t>—</t>
        </is>
      </c>
      <c r="S69" s="279" t="n">
        <v>0</v>
      </c>
      <c r="T69" s="279" t="inlineStr">
        <is>
          <t>E1-6</t>
        </is>
      </c>
      <c r="U69" s="279" t="n"/>
      <c r="V69" s="279" t="n"/>
      <c r="W69" s="279" t="inlineStr">
        <is>
          <t>Deloitte</t>
        </is>
      </c>
      <c r="X69" s="282" t="inlineStr">
        <is>
          <t>✅ Archivé</t>
        </is>
      </c>
      <c r="Y69" s="200" t="n"/>
      <c r="Z69" s="200" t="n"/>
    </row>
    <row r="70" ht="14.1" customHeight="1" s="500">
      <c r="B70" s="278" t="n">
        <v>2024</v>
      </c>
      <c r="C70" s="279" t="inlineStr">
        <is>
          <t>Base</t>
        </is>
      </c>
      <c r="D70" s="284" t="inlineStr">
        <is>
          <t>DE_Filiale</t>
        </is>
      </c>
      <c r="E70" s="279" t="inlineStr">
        <is>
          <t>EUR</t>
        </is>
      </c>
      <c r="F70" s="279" t="n">
        <v>1</v>
      </c>
      <c r="G70" s="279" t="inlineStr">
        <is>
          <t>CA net IFRS 15</t>
        </is>
      </c>
      <c r="H70" s="279" t="inlineStr">
        <is>
          <t>① Exploitation</t>
        </is>
      </c>
      <c r="I70" s="279" t="n">
        <v>7010</v>
      </c>
      <c r="J70" s="279" t="inlineStr">
        <is>
          <t>Umsatz Produkte N-1</t>
        </is>
      </c>
      <c r="K70" s="281" t="n">
        <v>158000</v>
      </c>
      <c r="L70" s="281" t="n">
        <v>158000</v>
      </c>
      <c r="M70" s="279" t="n">
        <v>0</v>
      </c>
      <c r="N70" s="281" t="n">
        <v>158000</v>
      </c>
      <c r="O70" s="279" t="inlineStr">
        <is>
          <t>DE-2024-001</t>
        </is>
      </c>
      <c r="P70" s="279" t="inlineStr">
        <is>
          <t>31/12/2024</t>
        </is>
      </c>
      <c r="Q70" s="279" t="inlineStr">
        <is>
          <t>IFRS 15</t>
        </is>
      </c>
      <c r="R70" s="279" t="inlineStr">
        <is>
          <t>—</t>
        </is>
      </c>
      <c r="S70" s="279" t="n">
        <v>0</v>
      </c>
      <c r="T70" s="279" t="inlineStr">
        <is>
          <t>E1-6</t>
        </is>
      </c>
      <c r="U70" s="279" t="n"/>
      <c r="V70" s="279" t="n"/>
      <c r="W70" s="279" t="inlineStr">
        <is>
          <t>PwC</t>
        </is>
      </c>
      <c r="X70" s="282" t="inlineStr">
        <is>
          <t>✅ Archivé</t>
        </is>
      </c>
      <c r="Y70" s="200" t="n"/>
      <c r="Z70" s="200" t="n"/>
    </row>
    <row r="71" ht="14.1" customHeight="1" s="500">
      <c r="B71" s="278" t="n">
        <v>2024</v>
      </c>
      <c r="C71" s="279" t="inlineStr">
        <is>
          <t>Base</t>
        </is>
      </c>
      <c r="D71" s="285" t="inlineStr">
        <is>
          <t>UK_Filiale</t>
        </is>
      </c>
      <c r="E71" s="279" t="inlineStr">
        <is>
          <t>GBP</t>
        </is>
      </c>
      <c r="F71" s="279" t="n">
        <v>1.148</v>
      </c>
      <c r="G71" s="279" t="inlineStr">
        <is>
          <t>CA net IFRS 15</t>
        </is>
      </c>
      <c r="H71" s="279" t="inlineStr">
        <is>
          <t>① Exploitation</t>
        </is>
      </c>
      <c r="I71" s="279" t="n">
        <v>7010</v>
      </c>
      <c r="J71" s="279" t="inlineStr">
        <is>
          <t>Revenue GBP (x1.148)</t>
        </is>
      </c>
      <c r="K71" s="281" t="n">
        <v>131500</v>
      </c>
      <c r="L71" s="281" t="n">
        <v>151000</v>
      </c>
      <c r="M71" s="279" t="n">
        <v>0</v>
      </c>
      <c r="N71" s="281" t="n">
        <v>151000</v>
      </c>
      <c r="O71" s="279" t="inlineStr">
        <is>
          <t>UK-2024-001</t>
        </is>
      </c>
      <c r="P71" s="279" t="inlineStr">
        <is>
          <t>31/12/2024</t>
        </is>
      </c>
      <c r="Q71" s="279" t="inlineStr">
        <is>
          <t>IFRS 15/IAS 21</t>
        </is>
      </c>
      <c r="R71" s="279" t="inlineStr">
        <is>
          <t>—</t>
        </is>
      </c>
      <c r="S71" s="279" t="n">
        <v>0</v>
      </c>
      <c r="T71" s="279" t="inlineStr">
        <is>
          <t>E1-6</t>
        </is>
      </c>
      <c r="U71" s="279" t="n"/>
      <c r="V71" s="279" t="n"/>
      <c r="W71" s="279" t="inlineStr">
        <is>
          <t>KPMG</t>
        </is>
      </c>
      <c r="X71" s="282" t="inlineStr">
        <is>
          <t>✅ Archivé</t>
        </is>
      </c>
      <c r="Y71" s="200" t="n"/>
      <c r="Z71" s="200" t="n"/>
    </row>
    <row r="72" ht="14.1" customHeight="1" s="500">
      <c r="B72" s="278" t="n">
        <v>2024</v>
      </c>
      <c r="C72" s="279" t="inlineStr">
        <is>
          <t>Base</t>
        </is>
      </c>
      <c r="D72" s="286" t="inlineStr">
        <is>
          <t>US_Filiale</t>
        </is>
      </c>
      <c r="E72" s="279" t="inlineStr">
        <is>
          <t>USD</t>
        </is>
      </c>
      <c r="F72" s="279" t="n">
        <v>0.93</v>
      </c>
      <c r="G72" s="279" t="inlineStr">
        <is>
          <t>CA net IFRS 15</t>
        </is>
      </c>
      <c r="H72" s="279" t="inlineStr">
        <is>
          <t>① Exploitation</t>
        </is>
      </c>
      <c r="I72" s="279" t="n">
        <v>7010</v>
      </c>
      <c r="J72" s="279" t="inlineStr">
        <is>
          <t>Revenue USD (x0.930)</t>
        </is>
      </c>
      <c r="K72" s="281" t="n">
        <v>181000</v>
      </c>
      <c r="L72" s="281" t="n">
        <v>168330</v>
      </c>
      <c r="M72" s="279" t="n">
        <v>0</v>
      </c>
      <c r="N72" s="281" t="n">
        <v>168330</v>
      </c>
      <c r="O72" s="279" t="inlineStr">
        <is>
          <t>US-2024-001</t>
        </is>
      </c>
      <c r="P72" s="279" t="inlineStr">
        <is>
          <t>31/12/2024</t>
        </is>
      </c>
      <c r="Q72" s="279" t="inlineStr">
        <is>
          <t>IFRS 15/IAS 21</t>
        </is>
      </c>
      <c r="R72" s="279" t="inlineStr">
        <is>
          <t>—</t>
        </is>
      </c>
      <c r="S72" s="279" t="n">
        <v>0</v>
      </c>
      <c r="T72" s="279" t="inlineStr">
        <is>
          <t>E1-6</t>
        </is>
      </c>
      <c r="U72" s="279" t="n"/>
      <c r="V72" s="279" t="n"/>
      <c r="W72" s="279" t="inlineStr">
        <is>
          <t>EY</t>
        </is>
      </c>
      <c r="X72" s="282" t="inlineStr">
        <is>
          <t>✅ Archivé</t>
        </is>
      </c>
      <c r="Y72" s="200" t="n"/>
      <c r="Z72" s="200" t="n"/>
    </row>
    <row r="73" ht="14.1" customHeight="1" s="500" thickBot="1">
      <c r="B73" s="289" t="n">
        <v>2024</v>
      </c>
      <c r="C73" s="290" t="inlineStr">
        <is>
          <t>Base</t>
        </is>
      </c>
      <c r="D73" s="291" t="inlineStr">
        <is>
          <t>SG_Filiale</t>
        </is>
      </c>
      <c r="E73" s="290" t="inlineStr">
        <is>
          <t>SGD</t>
        </is>
      </c>
      <c r="F73" s="290" t="n">
        <v>0.68</v>
      </c>
      <c r="G73" s="290" t="inlineStr">
        <is>
          <t>CA net IFRS 15</t>
        </is>
      </c>
      <c r="H73" s="290" t="inlineStr">
        <is>
          <t>① Exploitation</t>
        </is>
      </c>
      <c r="I73" s="290" t="n">
        <v>7010</v>
      </c>
      <c r="J73" s="290" t="inlineStr">
        <is>
          <t>Revenue SGD N-1</t>
        </is>
      </c>
      <c r="K73" s="292" t="n">
        <v>85000</v>
      </c>
      <c r="L73" s="292" t="n">
        <v>57800</v>
      </c>
      <c r="M73" s="290" t="n">
        <v>0</v>
      </c>
      <c r="N73" s="292" t="n">
        <v>57800</v>
      </c>
      <c r="O73" s="290" t="inlineStr">
        <is>
          <t>SG-2024-001</t>
        </is>
      </c>
      <c r="P73" s="290" t="inlineStr">
        <is>
          <t>31/12/2024</t>
        </is>
      </c>
      <c r="Q73" s="290" t="inlineStr">
        <is>
          <t>IFRS 15/IAS 21</t>
        </is>
      </c>
      <c r="R73" s="290" t="inlineStr">
        <is>
          <t>—</t>
        </is>
      </c>
      <c r="S73" s="290" t="n">
        <v>0</v>
      </c>
      <c r="T73" s="290" t="inlineStr">
        <is>
          <t>E1-6</t>
        </is>
      </c>
      <c r="U73" s="290" t="n"/>
      <c r="V73" s="290" t="n"/>
      <c r="W73" s="290" t="inlineStr">
        <is>
          <t>Mazars</t>
        </is>
      </c>
      <c r="X73" s="293" t="inlineStr">
        <is>
          <t>✅ Archivé</t>
        </is>
      </c>
      <c r="Y73" s="200" t="n"/>
      <c r="Z73" s="200" t="n"/>
    </row>
    <row r="74" ht="15" customHeight="1" s="500">
      <c r="B74" t="inlineStr">
        <is>
          <t>✅  TOTAUX CONSOLIDÉS (filtrer par Scénario/Entité/Année via les en-têtes de colonne ↑)</t>
        </is>
      </c>
      <c r="K74" s="252" t="n"/>
      <c r="L74" s="252" t="n"/>
      <c r="N74" s="252" t="n"/>
      <c r="Y74" s="200" t="n"/>
      <c r="Z74" s="200" t="n"/>
    </row>
    <row r="75" ht="15" customHeight="1" s="500">
      <c r="Y75" s="200" t="n"/>
      <c r="Z75" s="200" t="n"/>
    </row>
    <row r="76" ht="21.95" customHeight="1" s="500">
      <c r="B76" s="963" t="inlineStr">
        <is>
          <t>📋  INSTRUCTIONS POWER PIVOT / SLICERS / DAX — GUIDE DE CONFIGURATION</t>
        </is>
      </c>
      <c r="Y76" s="200" t="n"/>
      <c r="Z76" s="200" t="n"/>
    </row>
    <row r="77" ht="18" customFormat="1" customHeight="1" s="258">
      <c r="B77" s="257" t="inlineStr">
        <is>
          <t>ÉTAPE 1</t>
        </is>
      </c>
      <c r="C77" s="253" t="inlineStr">
        <is>
          <t>CRÉER LES TABLEAUX CROISÉS DYNAMIQUES POWER PIVOT :</t>
        </is>
      </c>
      <c r="D77" s="253" t="n"/>
      <c r="E77" s="253" t="n"/>
      <c r="F77" s="253" t="n"/>
      <c r="G77" s="253" t="n"/>
      <c r="H77" s="253" t="n"/>
      <c r="I77" s="253" t="n"/>
      <c r="J77" s="253" t="n"/>
      <c r="K77" s="253" t="n"/>
      <c r="L77" s="253" t="n"/>
      <c r="M77" s="253" t="n"/>
      <c r="N77" s="253" t="n"/>
      <c r="O77" s="253" t="n"/>
      <c r="P77" s="253" t="n"/>
      <c r="Q77" s="253" t="n"/>
      <c r="R77" s="253" t="n"/>
      <c r="S77" s="253" t="n"/>
      <c r="T77" s="253" t="n"/>
      <c r="U77" s="253" t="n"/>
      <c r="V77" s="253" t="n"/>
      <c r="W77" s="253" t="n"/>
      <c r="X77" s="253" t="n"/>
      <c r="Y77" s="259" t="n"/>
      <c r="Z77" s="259" t="n"/>
    </row>
    <row r="78" ht="14.1" customFormat="1" customHeight="1" s="258">
      <c r="B78" s="254" t="inlineStr">
        <is>
          <t>→ TCD1</t>
        </is>
      </c>
      <c r="C78" s="644" t="inlineStr">
        <is>
          <t>Source: Tableau TCD_ECRITURES (B42:X73) · Placer en nouvelle feuille · Activer 'Ajouter au modèle de données'</t>
        </is>
      </c>
      <c r="D78" s="644" t="n"/>
      <c r="E78" s="644" t="n"/>
      <c r="F78" s="644" t="n"/>
      <c r="G78" s="644" t="n"/>
      <c r="H78" s="644" t="n"/>
      <c r="I78" s="644" t="n"/>
      <c r="J78" s="644" t="n"/>
      <c r="K78" s="644" t="n"/>
      <c r="L78" s="644" t="n"/>
      <c r="M78" s="644" t="n"/>
      <c r="N78" s="644" t="n"/>
      <c r="O78" s="644" t="n"/>
      <c r="P78" s="644" t="n"/>
      <c r="Q78" s="644" t="n"/>
      <c r="R78" s="644" t="n"/>
      <c r="S78" s="644" t="n"/>
      <c r="T78" s="644" t="n"/>
      <c r="U78" s="644" t="n"/>
      <c r="V78" s="644" t="n"/>
      <c r="W78" s="644" t="n"/>
      <c r="X78" s="644" t="n"/>
      <c r="Y78" s="259" t="n"/>
      <c r="Z78" s="259" t="n"/>
    </row>
    <row r="79" ht="14.1" customFormat="1" customHeight="1" s="258">
      <c r="B79" s="256" t="inlineStr">
        <is>
          <t>→ TCD2</t>
        </is>
      </c>
      <c r="C79" s="255" t="inlineStr">
        <is>
          <t>Champs LIGNES : Entité &gt; Catégorie IFRS 18 &gt; Poste IFRS 18 &gt; Compte GL | Champs VALEURS : SUM(Montant EUR), SUM(tCO₂eq)</t>
        </is>
      </c>
      <c r="D79" s="255" t="n"/>
      <c r="E79" s="255" t="n"/>
      <c r="F79" s="255" t="n"/>
      <c r="G79" s="255" t="n"/>
      <c r="H79" s="255" t="n"/>
      <c r="I79" s="255" t="n"/>
      <c r="J79" s="255" t="n"/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9" t="n"/>
      <c r="Z79" s="259" t="n"/>
    </row>
    <row r="80" ht="14.1" customFormat="1" customHeight="1" s="258">
      <c r="B80" s="254" t="inlineStr">
        <is>
          <t>→ TCD3</t>
        </is>
      </c>
      <c r="C80" s="644" t="inlineStr">
        <is>
          <t>Champs COLONNES : Scénario | Champs FILTRES DE RAPPORT : Année, Devise</t>
        </is>
      </c>
      <c r="D80" s="644" t="n"/>
      <c r="E80" s="644" t="n"/>
      <c r="F80" s="644" t="n"/>
      <c r="G80" s="644" t="n"/>
      <c r="H80" s="644" t="n"/>
      <c r="I80" s="644" t="n"/>
      <c r="J80" s="644" t="n"/>
      <c r="K80" s="644" t="n"/>
      <c r="L80" s="644" t="n"/>
      <c r="M80" s="644" t="n"/>
      <c r="N80" s="644" t="n"/>
      <c r="O80" s="644" t="n"/>
      <c r="P80" s="644" t="n"/>
      <c r="Q80" s="644" t="n"/>
      <c r="R80" s="644" t="n"/>
      <c r="S80" s="644" t="n"/>
      <c r="T80" s="644" t="n"/>
      <c r="U80" s="644" t="n"/>
      <c r="V80" s="644" t="n"/>
      <c r="W80" s="644" t="n"/>
      <c r="X80" s="644" t="n"/>
      <c r="Y80" s="259" t="n"/>
      <c r="Z80" s="259" t="n"/>
    </row>
    <row r="81" ht="14.1" customFormat="1" customHeight="1" s="258">
      <c r="B81" s="256" t="inlineStr">
        <is>
          <t>→ TCD4</t>
        </is>
      </c>
      <c r="C81" s="255" t="inlineStr">
        <is>
          <t>Pour drill-down : Cliquer sur '+' devant chaque ligne pour déplier jusqu'aux écritures individuelles (Réf.Écriture)</t>
        </is>
      </c>
      <c r="D81" s="255" t="n"/>
      <c r="E81" s="255" t="n"/>
      <c r="F81" s="255" t="n"/>
      <c r="G81" s="255" t="n"/>
      <c r="H81" s="255" t="n"/>
      <c r="I81" s="255" t="n"/>
      <c r="J81" s="255" t="n"/>
      <c r="K81" s="255" t="n"/>
      <c r="L81" s="255" t="n"/>
      <c r="M81" s="255" t="n"/>
      <c r="N81" s="255" t="n"/>
      <c r="O81" s="255" t="n"/>
      <c r="P81" s="255" t="n"/>
      <c r="Q81" s="255" t="n"/>
      <c r="R81" s="255" t="n"/>
      <c r="S81" s="255" t="n"/>
      <c r="T81" s="255" t="n"/>
      <c r="U81" s="255" t="n"/>
      <c r="V81" s="255" t="n"/>
      <c r="W81" s="255" t="n"/>
      <c r="X81" s="255" t="n"/>
      <c r="Y81" s="259" t="n"/>
      <c r="Z81" s="259" t="n"/>
    </row>
    <row r="82" ht="18" customFormat="1" customHeight="1" s="258">
      <c r="B82" s="257" t="inlineStr">
        <is>
          <t>ÉTAPE 2</t>
        </is>
      </c>
      <c r="C82" s="253" t="inlineStr">
        <is>
          <t>CONNECTER LES SLICERS POWER PIVOT :</t>
        </is>
      </c>
      <c r="D82" s="253" t="n"/>
      <c r="E82" s="253" t="n"/>
      <c r="F82" s="253" t="n"/>
      <c r="G82" s="253" t="n"/>
      <c r="H82" s="253" t="n"/>
      <c r="I82" s="253" t="n"/>
      <c r="J82" s="253" t="n"/>
      <c r="K82" s="253" t="n"/>
      <c r="L82" s="253" t="n"/>
      <c r="M82" s="253" t="n"/>
      <c r="N82" s="253" t="n"/>
      <c r="O82" s="253" t="n"/>
      <c r="P82" s="253" t="n"/>
      <c r="Q82" s="253" t="n"/>
      <c r="R82" s="253" t="n"/>
      <c r="S82" s="253" t="n"/>
      <c r="T82" s="253" t="n"/>
      <c r="U82" s="253" t="n"/>
      <c r="V82" s="253" t="n"/>
      <c r="W82" s="253" t="n"/>
      <c r="X82" s="253" t="n"/>
      <c r="Y82" s="259" t="n"/>
      <c r="Z82" s="259" t="n"/>
    </row>
    <row r="83" ht="14.1" customFormat="1" customHeight="1" s="258">
      <c r="B83" s="256" t="inlineStr">
        <is>
          <t>→ Slicer 1</t>
        </is>
      </c>
      <c r="C83" s="255" t="inlineStr">
        <is>
          <t>Insertion &gt; Segment (Slicer) &gt; Source: TCD_ECRITURES &gt; Champ: Année | Connecter à TOUS les TCDs</t>
        </is>
      </c>
      <c r="D83" s="255" t="n"/>
      <c r="E83" s="255" t="n"/>
      <c r="F83" s="255" t="n"/>
      <c r="G83" s="255" t="n"/>
      <c r="H83" s="255" t="n"/>
      <c r="I83" s="255" t="n"/>
      <c r="J83" s="255" t="n"/>
      <c r="K83" s="255" t="n"/>
      <c r="L83" s="255" t="n"/>
      <c r="M83" s="255" t="n"/>
      <c r="N83" s="255" t="n"/>
      <c r="O83" s="255" t="n"/>
      <c r="P83" s="255" t="n"/>
      <c r="Q83" s="255" t="n"/>
      <c r="R83" s="255" t="n"/>
      <c r="S83" s="255" t="n"/>
      <c r="T83" s="255" t="n"/>
      <c r="U83" s="255" t="n"/>
      <c r="V83" s="255" t="n"/>
      <c r="W83" s="255" t="n"/>
      <c r="X83" s="255" t="n"/>
      <c r="Y83" s="259" t="n"/>
      <c r="Z83" s="259" t="n"/>
    </row>
    <row r="84" ht="14.1" customFormat="1" customHeight="1" s="258">
      <c r="B84" s="254" t="inlineStr">
        <is>
          <t>→ Slicer 2</t>
        </is>
      </c>
      <c r="C84" s="644" t="inlineStr">
        <is>
          <t>Insertion &gt; Segment &gt; Champ: Scénario (Base/Bull/Bear) | Connecter à tous les TCDs</t>
        </is>
      </c>
      <c r="D84" s="644" t="n"/>
      <c r="E84" s="644" t="n"/>
      <c r="F84" s="644" t="n"/>
      <c r="G84" s="644" t="n"/>
      <c r="H84" s="644" t="n"/>
      <c r="I84" s="644" t="n"/>
      <c r="J84" s="644" t="n"/>
      <c r="K84" s="644" t="n"/>
      <c r="L84" s="644" t="n"/>
      <c r="M84" s="644" t="n"/>
      <c r="N84" s="644" t="n"/>
      <c r="O84" s="644" t="n"/>
      <c r="P84" s="644" t="n"/>
      <c r="Q84" s="644" t="n"/>
      <c r="R84" s="644" t="n"/>
      <c r="S84" s="644" t="n"/>
      <c r="T84" s="644" t="n"/>
      <c r="U84" s="644" t="n"/>
      <c r="V84" s="644" t="n"/>
      <c r="W84" s="644" t="n"/>
      <c r="X84" s="644" t="n"/>
      <c r="Y84" s="259" t="n"/>
      <c r="Z84" s="259" t="n"/>
    </row>
    <row r="85" ht="14.1" customFormat="1" customHeight="1" s="258">
      <c r="B85" s="256" t="inlineStr">
        <is>
          <t>→ Slicer 3</t>
        </is>
      </c>
      <c r="C85" s="255" t="inlineStr">
        <is>
          <t>Insertion &gt; Segment &gt; Champ: Entité (FR/DE/UK/US/SG/Groupe) | Connecter à tous les TCDs</t>
        </is>
      </c>
      <c r="D85" s="255" t="n"/>
      <c r="E85" s="255" t="n"/>
      <c r="F85" s="255" t="n"/>
      <c r="G85" s="255" t="n"/>
      <c r="H85" s="255" t="n"/>
      <c r="I85" s="255" t="n"/>
      <c r="J85" s="255" t="n"/>
      <c r="K85" s="255" t="n"/>
      <c r="L85" s="255" t="n"/>
      <c r="M85" s="255" t="n"/>
      <c r="N85" s="255" t="n"/>
      <c r="O85" s="255" t="n"/>
      <c r="P85" s="255" t="n"/>
      <c r="Q85" s="255" t="n"/>
      <c r="R85" s="255" t="n"/>
      <c r="S85" s="255" t="n"/>
      <c r="T85" s="255" t="n"/>
      <c r="U85" s="255" t="n"/>
      <c r="V85" s="255" t="n"/>
      <c r="W85" s="255" t="n"/>
      <c r="X85" s="255" t="n"/>
      <c r="Y85" s="259" t="n"/>
      <c r="Z85" s="259" t="n"/>
    </row>
    <row r="86" ht="14.1" customFormat="1" customHeight="1" s="258">
      <c r="B86" s="254" t="inlineStr">
        <is>
          <t>→ Slicer 4</t>
        </is>
      </c>
      <c r="C86" s="644" t="inlineStr">
        <is>
          <t>Insertion &gt; Segment &gt; Champ: Devise (EUR/GBP/USD/SGD) | Connecter à tous les TCDs</t>
        </is>
      </c>
      <c r="D86" s="644" t="n"/>
      <c r="E86" s="644" t="n"/>
      <c r="F86" s="644" t="n"/>
      <c r="G86" s="644" t="n"/>
      <c r="H86" s="644" t="n"/>
      <c r="I86" s="644" t="n"/>
      <c r="J86" s="644" t="n"/>
      <c r="K86" s="644" t="n"/>
      <c r="L86" s="644" t="n"/>
      <c r="M86" s="644" t="n"/>
      <c r="N86" s="644" t="n"/>
      <c r="O86" s="644" t="n"/>
      <c r="P86" s="644" t="n"/>
      <c r="Q86" s="644" t="n"/>
      <c r="R86" s="644" t="n"/>
      <c r="S86" s="644" t="n"/>
      <c r="T86" s="644" t="n"/>
      <c r="U86" s="644" t="n"/>
      <c r="V86" s="644" t="n"/>
      <c r="W86" s="644" t="n"/>
      <c r="X86" s="644" t="n"/>
      <c r="Y86" s="259" t="n"/>
      <c r="Z86" s="259" t="n"/>
    </row>
    <row r="87" ht="14.1" customFormat="1" customHeight="1" s="258">
      <c r="B87" s="256" t="inlineStr">
        <is>
          <t>→ Lien</t>
        </is>
      </c>
      <c r="C87" s="255" t="inlineStr">
        <is>
          <t>Clic droit sur slicer &gt; Connexions de rapport &gt; Cocher TOUS les TCDs et graphiques liés</t>
        </is>
      </c>
      <c r="D87" s="255" t="n"/>
      <c r="E87" s="255" t="n"/>
      <c r="F87" s="255" t="n"/>
      <c r="G87" s="255" t="n"/>
      <c r="H87" s="255" t="n"/>
      <c r="I87" s="255" t="n"/>
      <c r="J87" s="255" t="n"/>
      <c r="K87" s="255" t="n"/>
      <c r="L87" s="255" t="n"/>
      <c r="M87" s="255" t="n"/>
      <c r="N87" s="255" t="n"/>
      <c r="O87" s="255" t="n"/>
      <c r="P87" s="255" t="n"/>
      <c r="Q87" s="255" t="n"/>
      <c r="R87" s="255" t="n"/>
      <c r="S87" s="255" t="n"/>
      <c r="T87" s="255" t="n"/>
      <c r="U87" s="255" t="n"/>
      <c r="V87" s="255" t="n"/>
      <c r="W87" s="255" t="n"/>
      <c r="X87" s="255" t="n"/>
      <c r="Y87" s="259" t="n"/>
      <c r="Z87" s="259" t="n"/>
    </row>
    <row r="88" ht="18" customFormat="1" customHeight="1" s="258">
      <c r="B88" s="257" t="inlineStr">
        <is>
          <t>ÉTAPE 3</t>
        </is>
      </c>
      <c r="C88" s="253" t="inlineStr">
        <is>
          <t>CRÉER LES GRAPHIQUES DYNAMIQUES (PivotCharts) :</t>
        </is>
      </c>
      <c r="D88" s="253" t="n"/>
      <c r="E88" s="253" t="n"/>
      <c r="F88" s="253" t="n"/>
      <c r="G88" s="253" t="n"/>
      <c r="H88" s="253" t="n"/>
      <c r="I88" s="253" t="n"/>
      <c r="J88" s="253" t="n"/>
      <c r="K88" s="253" t="n"/>
      <c r="L88" s="253" t="n"/>
      <c r="M88" s="253" t="n"/>
      <c r="N88" s="253" t="n"/>
      <c r="O88" s="253" t="n"/>
      <c r="P88" s="253" t="n"/>
      <c r="Q88" s="253" t="n"/>
      <c r="R88" s="253" t="n"/>
      <c r="S88" s="253" t="n"/>
      <c r="T88" s="253" t="n"/>
      <c r="U88" s="253" t="n"/>
      <c r="V88" s="253" t="n"/>
      <c r="W88" s="253" t="n"/>
      <c r="X88" s="253" t="n"/>
      <c r="Y88" s="259" t="n"/>
      <c r="Z88" s="259" t="n"/>
    </row>
    <row r="89" ht="14.1" customFormat="1" customHeight="1" s="258">
      <c r="B89" s="256" t="inlineStr">
        <is>
          <t>→ Waterfall</t>
        </is>
      </c>
      <c r="C89" s="255" t="inlineStr">
        <is>
          <t>Sélect. colonnes Poste+Positif+Négatif+Total (B10:K22) &gt; Insertion &gt; Graphique Cascade (Excel 2016+)</t>
        </is>
      </c>
      <c r="D89" s="255" t="n"/>
      <c r="E89" s="255" t="n"/>
      <c r="F89" s="255" t="n"/>
      <c r="G89" s="255" t="n"/>
      <c r="H89" s="255" t="n"/>
      <c r="I89" s="255" t="n"/>
      <c r="J89" s="255" t="n"/>
      <c r="K89" s="255" t="n"/>
      <c r="L89" s="255" t="n"/>
      <c r="M89" s="255" t="n"/>
      <c r="N89" s="255" t="n"/>
      <c r="O89" s="255" t="n"/>
      <c r="P89" s="255" t="n"/>
      <c r="Q89" s="255" t="n"/>
      <c r="R89" s="255" t="n"/>
      <c r="S89" s="255" t="n"/>
      <c r="T89" s="255" t="n"/>
      <c r="U89" s="255" t="n"/>
      <c r="V89" s="255" t="n"/>
      <c r="W89" s="255" t="n"/>
      <c r="X89" s="255" t="n"/>
      <c r="Y89" s="259" t="n"/>
      <c r="Z89" s="259" t="n"/>
    </row>
    <row r="90" ht="14.1" customFormat="1" customHeight="1" s="258">
      <c r="B90" s="254" t="inlineStr">
        <is>
          <t>→ Barres</t>
        </is>
      </c>
      <c r="C90" s="644" t="inlineStr">
        <is>
          <t>Sélect. Entité+CA (B28:C34) &gt; Insertion &gt; Histogramme groupé | Titre: 'CA par entité 2025 k€'</t>
        </is>
      </c>
      <c r="D90" s="644" t="n"/>
      <c r="E90" s="644" t="n"/>
      <c r="F90" s="644" t="n"/>
      <c r="G90" s="644" t="n"/>
      <c r="H90" s="644" t="n"/>
      <c r="I90" s="644" t="n"/>
      <c r="J90" s="644" t="n"/>
      <c r="K90" s="644" t="n"/>
      <c r="L90" s="644" t="n"/>
      <c r="M90" s="644" t="n"/>
      <c r="N90" s="644" t="n"/>
      <c r="O90" s="644" t="n"/>
      <c r="P90" s="644" t="n"/>
      <c r="Q90" s="644" t="n"/>
      <c r="R90" s="644" t="n"/>
      <c r="S90" s="644" t="n"/>
      <c r="T90" s="644" t="n"/>
      <c r="U90" s="644" t="n"/>
      <c r="V90" s="644" t="n"/>
      <c r="W90" s="644" t="n"/>
      <c r="X90" s="644" t="n"/>
      <c r="Y90" s="259" t="n"/>
      <c r="Z90" s="259" t="n"/>
    </row>
    <row r="91" ht="14.1" customFormat="1" customHeight="1" s="258">
      <c r="B91" s="256" t="inlineStr">
        <is>
          <t>→ Beignet</t>
        </is>
      </c>
      <c r="C91" s="255" t="inlineStr">
        <is>
          <t>Sélect. Entité+%CA (B28:B34, F28:F34) &gt; Insertion &gt; Graphique en anneau | Titre: 'Part de CA'</t>
        </is>
      </c>
      <c r="D91" s="255" t="n"/>
      <c r="E91" s="255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5" t="n"/>
      <c r="Y91" s="259" t="n"/>
      <c r="Z91" s="259" t="n"/>
    </row>
    <row r="92" ht="14.1" customFormat="1" customHeight="1" s="258">
      <c r="B92" s="254" t="inlineStr">
        <is>
          <t>→ Carbone</t>
        </is>
      </c>
      <c r="C92" s="644" t="inlineStr">
        <is>
          <t>Sélect. M24:T33 (données carbone) &gt; Insertion &gt; Histogramme empilé Scope 1+2+3 | Titre: 'Émissions CO₂'</t>
        </is>
      </c>
      <c r="D92" s="644" t="n"/>
      <c r="E92" s="644" t="n"/>
      <c r="F92" s="644" t="n"/>
      <c r="G92" s="644" t="n"/>
      <c r="H92" s="644" t="n"/>
      <c r="I92" s="644" t="n"/>
      <c r="J92" s="644" t="n"/>
      <c r="K92" s="644" t="n"/>
      <c r="L92" s="644" t="n"/>
      <c r="M92" s="644" t="n"/>
      <c r="N92" s="644" t="n"/>
      <c r="O92" s="644" t="n"/>
      <c r="P92" s="644" t="n"/>
      <c r="Q92" s="644" t="n"/>
      <c r="R92" s="644" t="n"/>
      <c r="S92" s="644" t="n"/>
      <c r="T92" s="644" t="n"/>
      <c r="U92" s="644" t="n"/>
      <c r="V92" s="644" t="n"/>
      <c r="W92" s="644" t="n"/>
      <c r="X92" s="644" t="n"/>
      <c r="Y92" s="259" t="n"/>
      <c r="Z92" s="259" t="n"/>
    </row>
    <row r="93" ht="14.1" customFormat="1" customHeight="1" s="258">
      <c r="B93" s="256" t="inlineStr">
        <is>
          <t>→ Ligne</t>
        </is>
      </c>
      <c r="C93" s="255" t="inlineStr">
        <is>
          <t>Sélect. Entité+Total2025+Total2024+Obj2030 (M25:M33, Q25:Q33, T25:T33) &gt; Ligne avec marqueurs</t>
        </is>
      </c>
      <c r="D93" s="255" t="n"/>
      <c r="E93" s="255" t="n"/>
      <c r="F93" s="255" t="n"/>
      <c r="G93" s="255" t="n"/>
      <c r="H93" s="255" t="n"/>
      <c r="I93" s="255" t="n"/>
      <c r="J93" s="255" t="n"/>
      <c r="K93" s="255" t="n"/>
      <c r="L93" s="255" t="n"/>
      <c r="M93" s="255" t="n"/>
      <c r="N93" s="255" t="n"/>
      <c r="O93" s="255" t="n"/>
      <c r="P93" s="255" t="n"/>
      <c r="Q93" s="255" t="n"/>
      <c r="R93" s="255" t="n"/>
      <c r="S93" s="255" t="n"/>
      <c r="T93" s="255" t="n"/>
      <c r="U93" s="255" t="n"/>
      <c r="V93" s="255" t="n"/>
      <c r="W93" s="255" t="n"/>
      <c r="X93" s="255" t="n"/>
      <c r="Y93" s="259" t="n"/>
      <c r="Z93" s="259" t="n"/>
    </row>
    <row r="94" ht="18" customFormat="1" customHeight="1" s="258">
      <c r="B94" s="257" t="inlineStr">
        <is>
          <t>ÉTAPE 4</t>
        </is>
      </c>
      <c r="C94" s="253" t="inlineStr">
        <is>
          <t>MESURES DAX SUPPLÉMENTAIRES (Power Pivot &gt; Mesures &gt; Nouvelle mesure) :</t>
        </is>
      </c>
      <c r="D94" s="253" t="n"/>
      <c r="E94" s="253" t="n"/>
      <c r="F94" s="253" t="n"/>
      <c r="G94" s="253" t="n"/>
      <c r="H94" s="253" t="n"/>
      <c r="I94" s="253" t="n"/>
      <c r="J94" s="253" t="n"/>
      <c r="K94" s="253" t="n"/>
      <c r="L94" s="253" t="n"/>
      <c r="M94" s="253" t="n"/>
      <c r="N94" s="253" t="n"/>
      <c r="O94" s="253" t="n"/>
      <c r="P94" s="253" t="n"/>
      <c r="Q94" s="253" t="n"/>
      <c r="R94" s="253" t="n"/>
      <c r="S94" s="253" t="n"/>
      <c r="T94" s="253" t="n"/>
      <c r="U94" s="253" t="n"/>
      <c r="V94" s="253" t="n"/>
      <c r="W94" s="253" t="n"/>
      <c r="X94" s="253" t="n"/>
      <c r="Y94" s="259" t="n"/>
      <c r="Z94" s="259" t="n"/>
    </row>
    <row r="95" ht="14.1" customFormat="1" customHeight="1" s="258">
      <c r="B95" s="256" t="inlineStr">
        <is>
          <t>DAX 1</t>
        </is>
      </c>
      <c r="C95" s="255" t="inlineStr">
        <is>
          <t>CA_Consolide := CALCULATE(SUM(TCD_ECRITURES[Montant EUR]), TCD_ECRITURES[Catégorie §65]="① Exploitation", TCD_ECRITURES[Poste IFRS 18]="CA net IFRS 15")</t>
        </is>
      </c>
      <c r="D95" s="255" t="n"/>
      <c r="E95" s="255" t="n"/>
      <c r="F95" s="255" t="n"/>
      <c r="G95" s="255" t="n"/>
      <c r="H95" s="255" t="n"/>
      <c r="I95" s="255" t="n"/>
      <c r="J95" s="255" t="n"/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n"/>
      <c r="U95" s="255" t="n"/>
      <c r="V95" s="255" t="n"/>
      <c r="W95" s="255" t="n"/>
      <c r="X95" s="255" t="n"/>
      <c r="Y95" s="259" t="n"/>
      <c r="Z95" s="259" t="n"/>
    </row>
    <row r="96" ht="14.1" customFormat="1" customHeight="1" s="258">
      <c r="B96" s="254" t="inlineStr">
        <is>
          <t>DAX 2</t>
        </is>
      </c>
      <c r="C96" s="644" t="inlineStr">
        <is>
          <t>EBITDA := [EBIT_Consolide] + CALCULATE(ABS(SUM(TCD_ECRITURES[Montant EUR])), TCD_ECRITURES[Poste IFRS 18]="Amort. D&amp;A (IFRS 16)")</t>
        </is>
      </c>
      <c r="D96" s="644" t="n"/>
      <c r="E96" s="644" t="n"/>
      <c r="F96" s="644" t="n"/>
      <c r="G96" s="644" t="n"/>
      <c r="H96" s="644" t="n"/>
      <c r="I96" s="644" t="n"/>
      <c r="J96" s="644" t="n"/>
      <c r="K96" s="644" t="n"/>
      <c r="L96" s="644" t="n"/>
      <c r="M96" s="644" t="n"/>
      <c r="N96" s="644" t="n"/>
      <c r="O96" s="644" t="n"/>
      <c r="P96" s="644" t="n"/>
      <c r="Q96" s="644" t="n"/>
      <c r="R96" s="644" t="n"/>
      <c r="S96" s="644" t="n"/>
      <c r="T96" s="644" t="n"/>
      <c r="U96" s="644" t="n"/>
      <c r="V96" s="644" t="n"/>
      <c r="W96" s="644" t="n"/>
      <c r="X96" s="644" t="n"/>
      <c r="Y96" s="259" t="n"/>
      <c r="Z96" s="259" t="n"/>
    </row>
    <row r="97" ht="14.1" customFormat="1" customHeight="1" s="258">
      <c r="B97" s="256" t="inlineStr">
        <is>
          <t>DAX 3</t>
        </is>
      </c>
      <c r="C97" s="255" t="inlineStr">
        <is>
          <t>Marge_EBITDA := DIVIDE([EBITDA], [CA_Consolide], 0)  // Format: 0.0%</t>
        </is>
      </c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5" t="n"/>
      <c r="Y97" s="259" t="n"/>
      <c r="Z97" s="259" t="n"/>
    </row>
    <row r="98" ht="14.1" customFormat="1" customHeight="1" s="258">
      <c r="B98" s="254" t="inlineStr">
        <is>
          <t>DAX 4</t>
        </is>
      </c>
      <c r="C98" s="644" t="inlineStr">
        <is>
          <t>ResultatNet_Groupe := CALCULATE(SUM(TCD_ECRITURES[Montant EUR]), TCD_ECRITURES[Poste IFRS 18]="Résultat Net Consolid.")</t>
        </is>
      </c>
      <c r="D98" s="644" t="n"/>
      <c r="E98" s="644" t="n"/>
      <c r="F98" s="644" t="n"/>
      <c r="G98" s="644" t="n"/>
      <c r="H98" s="644" t="n"/>
      <c r="I98" s="644" t="n"/>
      <c r="J98" s="644" t="n"/>
      <c r="K98" s="644" t="n"/>
      <c r="L98" s="644" t="n"/>
      <c r="M98" s="644" t="n"/>
      <c r="N98" s="644" t="n"/>
      <c r="O98" s="644" t="n"/>
      <c r="P98" s="644" t="n"/>
      <c r="Q98" s="644" t="n"/>
      <c r="R98" s="644" t="n"/>
      <c r="S98" s="644" t="n"/>
      <c r="T98" s="644" t="n"/>
      <c r="U98" s="644" t="n"/>
      <c r="V98" s="644" t="n"/>
      <c r="W98" s="644" t="n"/>
      <c r="X98" s="644" t="n"/>
      <c r="Y98" s="259" t="n"/>
      <c r="Z98" s="259" t="n"/>
    </row>
    <row r="99" ht="14.1" customFormat="1" customHeight="1" s="258">
      <c r="B99" s="256" t="inlineStr">
        <is>
          <t>DAX 5</t>
        </is>
      </c>
      <c r="C99" s="255" t="inlineStr">
        <is>
          <t>FCF := CALCULATE(SUM(TCD_ECRITURES[Montant EUR]), TCD_ECRITURES[Catégorie §65] IN {"① Exploitation","② Investissement"})</t>
        </is>
      </c>
      <c r="D99" s="255" t="n"/>
      <c r="E99" s="255" t="n"/>
      <c r="F99" s="255" t="n"/>
      <c r="G99" s="255" t="n"/>
      <c r="H99" s="255" t="n"/>
      <c r="I99" s="255" t="n"/>
      <c r="J99" s="255" t="n"/>
      <c r="K99" s="255" t="n"/>
      <c r="L99" s="255" t="n"/>
      <c r="M99" s="255" t="n"/>
      <c r="N99" s="255" t="n"/>
      <c r="O99" s="255" t="n"/>
      <c r="P99" s="255" t="n"/>
      <c r="Q99" s="255" t="n"/>
      <c r="R99" s="255" t="n"/>
      <c r="S99" s="255" t="n"/>
      <c r="T99" s="255" t="n"/>
      <c r="U99" s="255" t="n"/>
      <c r="V99" s="255" t="n"/>
      <c r="W99" s="255" t="n"/>
      <c r="X99" s="255" t="n"/>
      <c r="Y99" s="259" t="n"/>
      <c r="Z99" s="259" t="n"/>
    </row>
    <row r="100" ht="14.1" customFormat="1" customHeight="1" s="258">
      <c r="B100" s="254" t="inlineStr">
        <is>
          <t>DAX 6</t>
        </is>
      </c>
      <c r="C100" s="644" t="inlineStr">
        <is>
          <t>CO2_Total := SUM(TCD_ECRITURES[tCO₂eq])  // Scope 1+2+3 consolidé</t>
        </is>
      </c>
      <c r="D100" s="644" t="n"/>
      <c r="E100" s="644" t="n"/>
      <c r="F100" s="644" t="n"/>
      <c r="G100" s="644" t="n"/>
      <c r="H100" s="644" t="n"/>
      <c r="I100" s="644" t="n"/>
      <c r="J100" s="644" t="n"/>
      <c r="K100" s="644" t="n"/>
      <c r="L100" s="644" t="n"/>
      <c r="M100" s="644" t="n"/>
      <c r="N100" s="644" t="n"/>
      <c r="O100" s="644" t="n"/>
      <c r="P100" s="644" t="n"/>
      <c r="Q100" s="644" t="n"/>
      <c r="R100" s="644" t="n"/>
      <c r="S100" s="644" t="n"/>
      <c r="T100" s="644" t="n"/>
      <c r="U100" s="644" t="n"/>
      <c r="V100" s="644" t="n"/>
      <c r="W100" s="644" t="n"/>
      <c r="X100" s="644" t="n"/>
      <c r="Y100" s="259" t="n"/>
      <c r="Z100" s="259" t="n"/>
    </row>
    <row r="101" ht="14.1" customFormat="1" customHeight="1" s="258">
      <c r="B101" s="256" t="inlineStr">
        <is>
          <t>DAX 7</t>
        </is>
      </c>
      <c r="C101" s="255" t="inlineStr">
        <is>
          <t>Var_vs_N1 := DIVIDE([CA_Consolide] - CALCULATE([CA_Consolide], SAMEPERIODLASTYEAR(Dates[Date])), CALCULATE([CA_Consolide], SAMEPERIODLASTYEAR(Dates[Date])), 0)</t>
        </is>
      </c>
      <c r="D101" s="255" t="n"/>
      <c r="E101" s="255" t="n"/>
      <c r="F101" s="255" t="n"/>
      <c r="G101" s="255" t="n"/>
      <c r="H101" s="255" t="n"/>
      <c r="I101" s="255" t="n"/>
      <c r="J101" s="255" t="n"/>
      <c r="K101" s="255" t="n"/>
      <c r="L101" s="255" t="n"/>
      <c r="M101" s="255" t="n"/>
      <c r="N101" s="255" t="n"/>
      <c r="O101" s="255" t="n"/>
      <c r="P101" s="255" t="n"/>
      <c r="Q101" s="255" t="n"/>
      <c r="R101" s="255" t="n"/>
      <c r="S101" s="255" t="n"/>
      <c r="T101" s="255" t="n"/>
      <c r="U101" s="255" t="n"/>
      <c r="V101" s="255" t="n"/>
      <c r="W101" s="255" t="n"/>
      <c r="X101" s="255" t="n"/>
      <c r="Y101" s="259" t="n"/>
      <c r="Z101" s="259" t="n"/>
    </row>
    <row r="102" ht="14.1" customFormat="1" customHeight="1" s="258">
      <c r="B102" s="254" t="inlineStr">
        <is>
          <t>DAX 8</t>
        </is>
      </c>
      <c r="C102" s="644" t="inlineStr">
        <is>
          <t>KPI_CA := IF([CA_Consolide]&gt;800000, "🟢 Au-dessus objectif", IF([CA_Consolide]&gt;750000, "🟡 Dans la cible", "🔴 En dessous"))</t>
        </is>
      </c>
      <c r="D102" s="644" t="n"/>
      <c r="E102" s="644" t="n"/>
      <c r="F102" s="644" t="n"/>
      <c r="G102" s="644" t="n"/>
      <c r="H102" s="644" t="n"/>
      <c r="I102" s="644" t="n"/>
      <c r="J102" s="644" t="n"/>
      <c r="K102" s="644" t="n"/>
      <c r="L102" s="644" t="n"/>
      <c r="M102" s="644" t="n"/>
      <c r="N102" s="644" t="n"/>
      <c r="O102" s="644" t="n"/>
      <c r="P102" s="644" t="n"/>
      <c r="Q102" s="644" t="n"/>
      <c r="R102" s="644" t="n"/>
      <c r="S102" s="644" t="n"/>
      <c r="T102" s="644" t="n"/>
      <c r="U102" s="644" t="n"/>
      <c r="V102" s="644" t="n"/>
      <c r="W102" s="644" t="n"/>
      <c r="X102" s="644" t="n"/>
      <c r="Y102" s="259" t="n"/>
      <c r="Z102" s="259" t="n"/>
    </row>
    <row r="103" ht="14.1" customFormat="1" customHeight="1" s="258">
      <c r="B103" s="256" t="inlineStr">
        <is>
          <t>DAX 9</t>
        </is>
      </c>
      <c r="C103" s="255" t="inlineStr">
        <is>
          <t>Intensite_CO2 := DIVIDE([CO2_Total]*1000, [CA_Consolide], 0)  // tCO₂ par M€ de CA</t>
        </is>
      </c>
      <c r="D103" s="255" t="n"/>
      <c r="E103" s="255" t="n"/>
      <c r="F103" s="255" t="n"/>
      <c r="G103" s="255" t="n"/>
      <c r="H103" s="255" t="n"/>
      <c r="I103" s="255" t="n"/>
      <c r="J103" s="255" t="n"/>
      <c r="K103" s="255" t="n"/>
      <c r="L103" s="255" t="n"/>
      <c r="M103" s="255" t="n"/>
      <c r="N103" s="255" t="n"/>
      <c r="O103" s="255" t="n"/>
      <c r="P103" s="255" t="n"/>
      <c r="Q103" s="255" t="n"/>
      <c r="R103" s="255" t="n"/>
      <c r="S103" s="255" t="n"/>
      <c r="T103" s="255" t="n"/>
      <c r="U103" s="255" t="n"/>
      <c r="V103" s="255" t="n"/>
      <c r="W103" s="255" t="n"/>
      <c r="X103" s="255" t="n"/>
      <c r="Y103" s="259" t="n"/>
      <c r="Z103" s="259" t="n"/>
    </row>
    <row r="104" ht="14.1" customFormat="1" customHeight="1" s="258">
      <c r="B104" s="254" t="inlineStr">
        <is>
          <t>DAX 10</t>
        </is>
      </c>
      <c r="C104" s="644" t="inlineStr">
        <is>
          <t>Profit_avant_fin_impot := [EBIT_Consolide] + [Res_Investissement]  // NOUVEL KPI IFRS 18 §65</t>
        </is>
      </c>
      <c r="D104" s="644" t="n"/>
      <c r="E104" s="644" t="n"/>
      <c r="F104" s="644" t="n"/>
      <c r="G104" s="644" t="n"/>
      <c r="H104" s="644" t="n"/>
      <c r="I104" s="644" t="n"/>
      <c r="J104" s="644" t="n"/>
      <c r="K104" s="644" t="n"/>
      <c r="L104" s="644" t="n"/>
      <c r="M104" s="644" t="n"/>
      <c r="N104" s="644" t="n"/>
      <c r="O104" s="644" t="n"/>
      <c r="P104" s="644" t="n"/>
      <c r="Q104" s="644" t="n"/>
      <c r="R104" s="644" t="n"/>
      <c r="S104" s="644" t="n"/>
      <c r="T104" s="644" t="n"/>
      <c r="U104" s="644" t="n"/>
      <c r="V104" s="644" t="n"/>
      <c r="W104" s="644" t="n"/>
      <c r="X104" s="644" t="n"/>
      <c r="Y104" s="259" t="n"/>
      <c r="Z104" s="259" t="n"/>
    </row>
    <row r="105" ht="18" customFormat="1" customHeight="1" s="258">
      <c r="B105" s="257" t="inlineStr">
        <is>
          <t>ÉTAPE 5</t>
        </is>
      </c>
      <c r="C105" s="253" t="inlineStr">
        <is>
          <t>FORMATAGE CONDITIONNEL DES KPIs :</t>
        </is>
      </c>
      <c r="D105" s="253" t="n"/>
      <c r="E105" s="253" t="n"/>
      <c r="F105" s="253" t="n"/>
      <c r="G105" s="253" t="n"/>
      <c r="H105" s="253" t="n"/>
      <c r="I105" s="253" t="n"/>
      <c r="J105" s="253" t="n"/>
      <c r="K105" s="253" t="n"/>
      <c r="L105" s="253" t="n"/>
      <c r="M105" s="253" t="n"/>
      <c r="N105" s="253" t="n"/>
      <c r="O105" s="253" t="n"/>
      <c r="P105" s="253" t="n"/>
      <c r="Q105" s="253" t="n"/>
      <c r="R105" s="253" t="n"/>
      <c r="S105" s="253" t="n"/>
      <c r="T105" s="253" t="n"/>
      <c r="U105" s="253" t="n"/>
      <c r="V105" s="253" t="n"/>
      <c r="W105" s="253" t="n"/>
      <c r="X105" s="253" t="n"/>
      <c r="Y105" s="259" t="n"/>
      <c r="Z105" s="259" t="n"/>
    </row>
    <row r="106" ht="14.1" customFormat="1" customHeight="1" s="258">
      <c r="B106" s="254" t="inlineStr">
        <is>
          <t>→ KPI CA</t>
        </is>
      </c>
      <c r="C106" s="644" t="inlineStr">
        <is>
          <t>Règle : =N2025&gt;N2024 → Vert | =N2025&lt;N2024*0.95 → Rouge | Icônes de tendance dans cellule KPI</t>
        </is>
      </c>
      <c r="D106" s="644" t="n"/>
      <c r="E106" s="644" t="n"/>
      <c r="F106" s="644" t="n"/>
      <c r="G106" s="644" t="n"/>
      <c r="H106" s="644" t="n"/>
      <c r="I106" s="644" t="n"/>
      <c r="J106" s="644" t="n"/>
      <c r="K106" s="644" t="n"/>
      <c r="L106" s="644" t="n"/>
      <c r="M106" s="644" t="n"/>
      <c r="N106" s="644" t="n"/>
      <c r="O106" s="644" t="n"/>
      <c r="P106" s="644" t="n"/>
      <c r="Q106" s="644" t="n"/>
      <c r="R106" s="644" t="n"/>
      <c r="S106" s="644" t="n"/>
      <c r="T106" s="644" t="n"/>
      <c r="U106" s="644" t="n"/>
      <c r="V106" s="644" t="n"/>
      <c r="W106" s="644" t="n"/>
      <c r="X106" s="644" t="n"/>
      <c r="Y106" s="259" t="n"/>
      <c r="Z106" s="259" t="n"/>
    </row>
    <row r="107" ht="14.1" customFormat="1" customHeight="1" s="258">
      <c r="B107" s="256" t="inlineStr">
        <is>
          <t>→ KPI CO2</t>
        </is>
      </c>
      <c r="C107" s="255" t="inlineStr">
        <is>
          <t>Règle : &lt;Objectif 2030 → Vert | Entre obj.2030 et 2x objectif → Orange | &gt;2x objectif → Rouge</t>
        </is>
      </c>
      <c r="D107" s="255" t="n"/>
      <c r="E107" s="255" t="n"/>
      <c r="F107" s="255" t="n"/>
      <c r="G107" s="255" t="n"/>
      <c r="H107" s="255" t="n"/>
      <c r="I107" s="255" t="n"/>
      <c r="J107" s="255" t="n"/>
      <c r="K107" s="255" t="n"/>
      <c r="L107" s="255" t="n"/>
      <c r="M107" s="255" t="n"/>
      <c r="N107" s="255" t="n"/>
      <c r="O107" s="255" t="n"/>
      <c r="P107" s="255" t="n"/>
      <c r="Q107" s="255" t="n"/>
      <c r="R107" s="255" t="n"/>
      <c r="S107" s="255" t="n"/>
      <c r="T107" s="255" t="n"/>
      <c r="U107" s="255" t="n"/>
      <c r="V107" s="255" t="n"/>
      <c r="W107" s="255" t="n"/>
      <c r="X107" s="255" t="n"/>
      <c r="Y107" s="259" t="n"/>
      <c r="Z107" s="259" t="n"/>
    </row>
    <row r="108" ht="14.1" customFormat="1" customHeight="1" s="258">
      <c r="B108" s="254" t="inlineStr">
        <is>
          <t>→ TCD</t>
        </is>
      </c>
      <c r="C108" s="644" t="inlineStr">
        <is>
          <t>Format. cond. sur colonne 'Var.k€' : barres de données bleu/rouge selon positif/négatif</t>
        </is>
      </c>
      <c r="D108" s="644" t="n"/>
      <c r="E108" s="644" t="n"/>
      <c r="F108" s="644" t="n"/>
      <c r="G108" s="644" t="n"/>
      <c r="H108" s="644" t="n"/>
      <c r="I108" s="644" t="n"/>
      <c r="J108" s="644" t="n"/>
      <c r="K108" s="644" t="n"/>
      <c r="L108" s="644" t="n"/>
      <c r="M108" s="644" t="n"/>
      <c r="N108" s="644" t="n"/>
      <c r="O108" s="644" t="n"/>
      <c r="P108" s="644" t="n"/>
      <c r="Q108" s="644" t="n"/>
      <c r="R108" s="644" t="n"/>
      <c r="S108" s="644" t="n"/>
      <c r="T108" s="644" t="n"/>
      <c r="U108" s="644" t="n"/>
      <c r="V108" s="644" t="n"/>
      <c r="W108" s="644" t="n"/>
      <c r="X108" s="644" t="n"/>
      <c r="Y108" s="259" t="n"/>
      <c r="Z108" s="259" t="n"/>
    </row>
    <row r="109" ht="18" customFormat="1" customHeight="1" s="258">
      <c r="B109" s="257" t="inlineStr">
        <is>
          <t>ÉTAPE 6</t>
        </is>
      </c>
      <c r="C109" s="253" t="inlineStr">
        <is>
          <t>CONNEXION AUX SOURCES POWER QUERY (PQ) :</t>
        </is>
      </c>
      <c r="D109" s="253" t="n"/>
      <c r="E109" s="253" t="n"/>
      <c r="F109" s="253" t="n"/>
      <c r="G109" s="253" t="n"/>
      <c r="H109" s="253" t="n"/>
      <c r="I109" s="253" t="n"/>
      <c r="J109" s="253" t="n"/>
      <c r="K109" s="253" t="n"/>
      <c r="L109" s="253" t="n"/>
      <c r="M109" s="253" t="n"/>
      <c r="N109" s="253" t="n"/>
      <c r="O109" s="253" t="n"/>
      <c r="P109" s="253" t="n"/>
      <c r="Q109" s="253" t="n"/>
      <c r="R109" s="253" t="n"/>
      <c r="S109" s="253" t="n"/>
      <c r="T109" s="253" t="n"/>
      <c r="U109" s="253" t="n"/>
      <c r="V109" s="253" t="n"/>
      <c r="W109" s="253" t="n"/>
      <c r="X109" s="253" t="n"/>
      <c r="Y109" s="259" t="n"/>
      <c r="Z109" s="259" t="n"/>
    </row>
    <row r="110" ht="14.1" customFormat="1" customHeight="1" s="258">
      <c r="B110" s="254" t="inlineStr">
        <is>
          <t>→ PQ1</t>
        </is>
      </c>
      <c r="C110" s="644" t="inlineStr">
        <is>
          <t>Sources: BALANCES_PQ, SRC_FR, SRC_DE, SRC_UK, SRC_US, SRC_SG → Charger dans modèle de données</t>
        </is>
      </c>
      <c r="D110" s="644" t="n"/>
      <c r="E110" s="644" t="n"/>
      <c r="F110" s="644" t="n"/>
      <c r="G110" s="644" t="n"/>
      <c r="H110" s="644" t="n"/>
      <c r="I110" s="644" t="n"/>
      <c r="J110" s="644" t="n"/>
      <c r="K110" s="644" t="n"/>
      <c r="L110" s="644" t="n"/>
      <c r="M110" s="644" t="n"/>
      <c r="N110" s="644" t="n"/>
      <c r="O110" s="644" t="n"/>
      <c r="P110" s="644" t="n"/>
      <c r="Q110" s="644" t="n"/>
      <c r="R110" s="644" t="n"/>
      <c r="S110" s="644" t="n"/>
      <c r="T110" s="644" t="n"/>
      <c r="U110" s="644" t="n"/>
      <c r="V110" s="644" t="n"/>
      <c r="W110" s="644" t="n"/>
      <c r="X110" s="644" t="n"/>
      <c r="Y110" s="259" t="n"/>
      <c r="Z110" s="259" t="n"/>
    </row>
    <row r="111" ht="14.1" customFormat="1" customHeight="1" s="258">
      <c r="B111" s="256" t="inlineStr">
        <is>
          <t>→ PQ2</t>
        </is>
      </c>
      <c r="C111" s="255" t="inlineStr">
        <is>
          <t>Créer relations: BALANCES_PQ[Entité] → SRC_*[Entité] | PQ_TAUX_CHANGE[Devise] → TCD[Devise]</t>
        </is>
      </c>
      <c r="D111" s="255" t="n"/>
      <c r="E111" s="255" t="n"/>
      <c r="F111" s="255" t="n"/>
      <c r="G111" s="255" t="n"/>
      <c r="H111" s="255" t="n"/>
      <c r="I111" s="255" t="n"/>
      <c r="J111" s="255" t="n"/>
      <c r="K111" s="255" t="n"/>
      <c r="L111" s="255" t="n"/>
      <c r="M111" s="255" t="n"/>
      <c r="N111" s="255" t="n"/>
      <c r="O111" s="255" t="n"/>
      <c r="P111" s="255" t="n"/>
      <c r="Q111" s="255" t="n"/>
      <c r="R111" s="255" t="n"/>
      <c r="S111" s="255" t="n"/>
      <c r="T111" s="255" t="n"/>
      <c r="U111" s="255" t="n"/>
      <c r="V111" s="255" t="n"/>
      <c r="W111" s="255" t="n"/>
      <c r="X111" s="255" t="n"/>
      <c r="Y111" s="259" t="n"/>
      <c r="Z111" s="259" t="n"/>
    </row>
    <row r="112" ht="14.1" customFormat="1" customHeight="1" s="258">
      <c r="B112" s="254" t="inlineStr">
        <is>
          <t>→ PQ3</t>
        </is>
      </c>
      <c r="C112" s="644" t="inlineStr">
        <is>
          <t>Relations: PQ_DETENTION[Entité] pour contrôle % participation | PQ_ELIMINATIONS pour automatiser élims IC</t>
        </is>
      </c>
      <c r="D112" s="644" t="n"/>
      <c r="E112" s="644" t="n"/>
      <c r="F112" s="644" t="n"/>
      <c r="G112" s="644" t="n"/>
      <c r="H112" s="644" t="n"/>
      <c r="I112" s="644" t="n"/>
      <c r="J112" s="644" t="n"/>
      <c r="K112" s="644" t="n"/>
      <c r="L112" s="644" t="n"/>
      <c r="M112" s="644" t="n"/>
      <c r="N112" s="644" t="n"/>
      <c r="O112" s="644" t="n"/>
      <c r="P112" s="644" t="n"/>
      <c r="Q112" s="644" t="n"/>
      <c r="R112" s="644" t="n"/>
      <c r="S112" s="644" t="n"/>
      <c r="T112" s="644" t="n"/>
      <c r="U112" s="644" t="n"/>
      <c r="V112" s="644" t="n"/>
      <c r="W112" s="644" t="n"/>
      <c r="X112" s="644" t="n"/>
      <c r="Y112" s="259" t="n"/>
      <c r="Z112" s="259" t="n"/>
    </row>
    <row r="113" ht="14.1" customFormat="1" customHeight="1" s="258">
      <c r="B113" s="256" t="inlineStr">
        <is>
          <t>→ Actualiser</t>
        </is>
      </c>
      <c r="C113" s="255" t="inlineStr">
        <is>
          <t>Données &gt; Actualiser tout → Tous les TCDs, graphiques et KPIs se mettent à jour automatiquement</t>
        </is>
      </c>
      <c r="D113" s="255" t="n"/>
      <c r="E113" s="255" t="n"/>
      <c r="F113" s="255" t="n"/>
      <c r="G113" s="255" t="n"/>
      <c r="H113" s="255" t="n"/>
      <c r="I113" s="255" t="n"/>
      <c r="J113" s="255" t="n"/>
      <c r="K113" s="255" t="n"/>
      <c r="L113" s="255" t="n"/>
      <c r="M113" s="255" t="n"/>
      <c r="N113" s="255" t="n"/>
      <c r="O113" s="255" t="n"/>
      <c r="P113" s="255" t="n"/>
      <c r="Q113" s="255" t="n"/>
      <c r="R113" s="255" t="n"/>
      <c r="S113" s="255" t="n"/>
      <c r="T113" s="255" t="n"/>
      <c r="U113" s="255" t="n"/>
      <c r="V113" s="255" t="n"/>
      <c r="W113" s="255" t="n"/>
      <c r="X113" s="255" t="n"/>
      <c r="Y113" s="259" t="n"/>
      <c r="Z113" s="259" t="n"/>
    </row>
    <row r="114" ht="15" customHeight="1" s="500">
      <c r="Y114" s="200" t="n"/>
      <c r="Z114" s="200" t="n"/>
    </row>
    <row r="115" ht="15" customHeight="1" s="500">
      <c r="Y115" s="200" t="n"/>
      <c r="Z115" s="200" t="n"/>
    </row>
    <row r="116" ht="15" customHeight="1" s="500">
      <c r="Y116" s="200" t="n"/>
      <c r="Z116" s="200" t="n"/>
    </row>
    <row r="117" ht="15" customHeight="1" s="500">
      <c r="Y117" s="200" t="n"/>
      <c r="Z117" s="200" t="n"/>
    </row>
    <row r="118" ht="15" customHeight="1" s="500">
      <c r="Y118" s="200" t="n"/>
      <c r="Z118" s="200" t="n"/>
    </row>
    <row r="119" ht="15" customHeight="1" s="500">
      <c r="Y119" s="200" t="n"/>
      <c r="Z119" s="200" t="n"/>
    </row>
    <row r="120" ht="15" customHeight="1" s="500">
      <c r="Y120" s="200" t="n"/>
      <c r="Z120" s="200" t="n"/>
    </row>
    <row r="121" ht="15" customHeight="1" s="500"/>
    <row r="122" ht="15" customHeight="1" s="500"/>
    <row r="123" ht="15" customHeight="1" s="500"/>
    <row r="124" ht="15" customHeight="1" s="500"/>
    <row r="125" ht="15" customHeight="1" s="500"/>
    <row r="126" ht="15" customHeight="1" s="500"/>
    <row r="127" ht="15" customHeight="1" s="500"/>
    <row r="128" ht="15" customHeight="1" s="500"/>
    <row r="129" ht="15" customHeight="1" s="500"/>
    <row r="130" ht="15" customHeight="1" s="500"/>
    <row r="131" ht="21.95" customHeight="1" s="500">
      <c r="R131" s="266" t="inlineStr">
        <is>
          <t>📊  TABLEAU KPI MULTI-SCÉNARIOS — Comparaison Base / Bull / Bear / N-1</t>
        </is>
      </c>
      <c r="S131" s="266" t="n"/>
      <c r="T131" s="266" t="n"/>
      <c r="U131" s="266" t="n"/>
      <c r="V131" s="266" t="n"/>
      <c r="W131" s="266" t="n"/>
      <c r="X131" s="266" t="n"/>
    </row>
    <row r="132" ht="15" customHeight="1" s="500">
      <c r="R132" s="267" t="inlineStr">
        <is>
          <t>KPI</t>
        </is>
      </c>
      <c r="S132" s="267" t="inlineStr">
        <is>
          <t>Base 2025</t>
        </is>
      </c>
      <c r="T132" s="267" t="inlineStr">
        <is>
          <t>Bull 2025</t>
        </is>
      </c>
      <c r="U132" s="267" t="inlineStr">
        <is>
          <t>Bear 2025</t>
        </is>
      </c>
      <c r="V132" s="267" t="inlineStr">
        <is>
          <t>N-1 2024</t>
        </is>
      </c>
      <c r="W132" s="267" t="inlineStr">
        <is>
          <t>Bull/Base</t>
        </is>
      </c>
      <c r="X132" s="267" t="inlineStr">
        <is>
          <t>Bear/Base</t>
        </is>
      </c>
      <c r="Y132" s="267" t="inlineStr">
        <is>
          <t>vs N-1</t>
        </is>
      </c>
    </row>
    <row r="133" ht="15.95" customHeight="1" s="500">
      <c r="R133" s="270" t="inlineStr">
        <is>
          <t>CA net (k€)</t>
        </is>
      </c>
      <c r="S133" s="268" t="n">
        <v>817075</v>
      </c>
      <c r="T133" s="268" t="n">
        <v>875000</v>
      </c>
      <c r="U133" s="268" t="n">
        <v>736000</v>
      </c>
      <c r="V133" s="268" t="n">
        <v>820000</v>
      </c>
      <c r="W133" s="269" t="n">
        <v>0.07099999999999999</v>
      </c>
      <c r="X133" s="269" t="n">
        <v>-0.099</v>
      </c>
      <c r="Y133" s="269" t="n">
        <v>-0.004</v>
      </c>
    </row>
    <row r="134" ht="15.95" customHeight="1" s="500">
      <c r="R134" s="246" t="inlineStr">
        <is>
          <t>EBITDA (k€)</t>
        </is>
      </c>
      <c r="S134" s="644" t="n">
        <v>216451</v>
      </c>
      <c r="T134" s="644" t="n">
        <v>238096</v>
      </c>
      <c r="U134" s="644" t="n">
        <v>194806</v>
      </c>
      <c r="V134" s="644" t="n">
        <v>225200</v>
      </c>
      <c r="W134" s="230" t="n">
        <v>0.1</v>
      </c>
      <c r="X134" s="230" t="n">
        <v>-0.1</v>
      </c>
      <c r="Y134" s="230" t="n">
        <v>-0.039</v>
      </c>
    </row>
    <row r="135" ht="15.95" customHeight="1" s="500">
      <c r="R135" s="270" t="inlineStr">
        <is>
          <t>Rés.Net (k€)</t>
        </is>
      </c>
      <c r="S135" s="268" t="n">
        <v>82110</v>
      </c>
      <c r="T135" s="268" t="n">
        <v>90321</v>
      </c>
      <c r="U135" s="268" t="n">
        <v>73899</v>
      </c>
      <c r="V135" s="268" t="n">
        <v>126400</v>
      </c>
      <c r="W135" s="269" t="n">
        <v>0.1</v>
      </c>
      <c r="X135" s="269" t="n">
        <v>-0.1</v>
      </c>
      <c r="Y135" s="269" t="n">
        <v>-0.35</v>
      </c>
    </row>
    <row r="136" ht="15.95" customHeight="1" s="500">
      <c r="R136" s="246" t="inlineStr">
        <is>
          <t>FCF (k€)</t>
        </is>
      </c>
      <c r="S136" s="644" t="n">
        <v>78448</v>
      </c>
      <c r="T136" s="644" t="n">
        <v>86293</v>
      </c>
      <c r="U136" s="644" t="n">
        <v>70603</v>
      </c>
      <c r="V136" s="644" t="n">
        <v>134400</v>
      </c>
      <c r="W136" s="230" t="n">
        <v>0.1</v>
      </c>
      <c r="X136" s="230" t="n">
        <v>-0.1</v>
      </c>
      <c r="Y136" s="230" t="n">
        <v>-0.416</v>
      </c>
    </row>
    <row r="137" ht="15.95" customHeight="1" s="500">
      <c r="R137" s="270" t="inlineStr">
        <is>
          <t>Marge EBITDA</t>
        </is>
      </c>
      <c r="S137" s="269" t="n">
        <v>0.265</v>
      </c>
      <c r="T137" s="269" t="n">
        <v>0.272</v>
      </c>
      <c r="U137" s="269" t="n">
        <v>0.265</v>
      </c>
      <c r="V137" s="269" t="n">
        <v>0.275</v>
      </c>
      <c r="W137" s="268" t="inlineStr">
        <is>
          <t>+70bp</t>
        </is>
      </c>
      <c r="X137" s="268" t="inlineStr">
        <is>
          <t>0bp</t>
        </is>
      </c>
      <c r="Y137" s="268" t="inlineStr">
        <is>
          <t>-100bp</t>
        </is>
      </c>
    </row>
    <row r="138" ht="15.95" customHeight="1" s="500">
      <c r="R138" s="246" t="inlineStr">
        <is>
          <t>TX effectif IS</t>
        </is>
      </c>
      <c r="S138" s="230" t="n">
        <v>0.277</v>
      </c>
      <c r="T138" s="230" t="n">
        <v>0.275</v>
      </c>
      <c r="U138" s="230" t="n">
        <v>0.281</v>
      </c>
      <c r="V138" s="230" t="n">
        <v>0.254</v>
      </c>
      <c r="W138" s="644" t="inlineStr">
        <is>
          <t>-20bp</t>
        </is>
      </c>
      <c r="X138" s="644" t="inlineStr">
        <is>
          <t>+40bp</t>
        </is>
      </c>
      <c r="Y138" s="644" t="inlineStr">
        <is>
          <t>+230bp</t>
        </is>
      </c>
    </row>
    <row r="139" ht="15.95" customHeight="1" s="500">
      <c r="R139" s="270" t="inlineStr">
        <is>
          <t>CO₂ S1+2 (tCO₂)</t>
        </is>
      </c>
      <c r="S139" s="268" t="n">
        <v>123000</v>
      </c>
      <c r="T139" s="268" t="n">
        <v>121000</v>
      </c>
      <c r="U139" s="268" t="n">
        <v>126000</v>
      </c>
      <c r="V139" s="268" t="n">
        <v>168000</v>
      </c>
      <c r="W139" s="269" t="n">
        <v>-0.016</v>
      </c>
      <c r="X139" s="269" t="n">
        <v>0.024</v>
      </c>
      <c r="Y139" s="269" t="n">
        <v>-0.268</v>
      </c>
    </row>
    <row r="140" ht="15.95" customHeight="1" s="500">
      <c r="R140" s="246" t="inlineStr">
        <is>
          <t>CO₂ S3 (tCO₂)</t>
        </is>
      </c>
      <c r="S140" s="644" t="n">
        <v>512000</v>
      </c>
      <c r="T140" s="644" t="n">
        <v>520000</v>
      </c>
      <c r="U140" s="644" t="n">
        <v>505000</v>
      </c>
      <c r="V140" s="644" t="n">
        <v>538000</v>
      </c>
      <c r="W140" s="230" t="n">
        <v>0.016</v>
      </c>
      <c r="X140" s="230" t="n">
        <v>-0.014</v>
      </c>
      <c r="Y140" s="230" t="n">
        <v>-0.048</v>
      </c>
    </row>
    <row r="141" ht="15" customHeight="1" s="500"/>
    <row r="142" ht="15" customHeight="1" s="500"/>
    <row r="143" ht="15" customHeight="1" s="500"/>
    <row r="144" ht="15" customHeight="1" s="500"/>
    <row r="145" ht="15" customHeight="1" s="500"/>
    <row r="146" ht="15" customHeight="1" s="500"/>
    <row r="147" ht="21.95" customHeight="1" s="500">
      <c r="B147" s="265" t="inlineStr">
        <is>
          <t>🔍  TCD DRILL-DOWN — Cliquer sur ▶ pour déplier : Entité &gt; Catégorie IFRS 18 &gt; Poste &gt; Compte GL &gt; Écriture individuelle</t>
        </is>
      </c>
      <c r="C147" s="265" t="n"/>
      <c r="D147" s="265" t="n"/>
      <c r="E147" s="265" t="n"/>
      <c r="F147" s="265" t="n"/>
      <c r="G147" s="265" t="n"/>
      <c r="H147" s="265" t="n"/>
      <c r="I147" s="265" t="n"/>
      <c r="J147" s="265" t="n"/>
      <c r="K147" s="265" t="n"/>
      <c r="L147" s="265" t="n"/>
      <c r="M147" s="265" t="n"/>
      <c r="N147" s="265" t="n"/>
      <c r="O147" s="265" t="n"/>
      <c r="P147" s="265" t="n"/>
      <c r="Q147" s="265" t="n"/>
      <c r="R147" s="265" t="n"/>
      <c r="S147" s="265" t="n"/>
      <c r="T147" s="265" t="n"/>
      <c r="U147" s="265" t="n"/>
      <c r="V147" s="265" t="n"/>
      <c r="W147" s="265" t="n"/>
      <c r="X147" s="265" t="n"/>
    </row>
    <row r="148" ht="15" customHeight="1" s="500">
      <c r="C148" s="260" t="inlineStr">
        <is>
          <t>Étiquettes de colonnes</t>
        </is>
      </c>
    </row>
    <row r="149" ht="15" customHeight="1" s="500">
      <c r="C149" t="inlineStr">
        <is>
          <t>Base</t>
        </is>
      </c>
      <c r="E149" t="inlineStr">
        <is>
          <t>Bear</t>
        </is>
      </c>
      <c r="G149" t="inlineStr">
        <is>
          <t>Bull</t>
        </is>
      </c>
      <c r="I149" t="inlineStr">
        <is>
          <t>Total Somme de Montant EUR</t>
        </is>
      </c>
      <c r="J149" t="inlineStr">
        <is>
          <t>Total Somme de tCO₂eq</t>
        </is>
      </c>
    </row>
    <row r="150" ht="15" customHeight="1" s="500">
      <c r="B150" s="260" t="inlineStr">
        <is>
          <t>Étiquettes de lignes</t>
        </is>
      </c>
      <c r="C150" t="inlineStr">
        <is>
          <t>Somme de Montant EUR</t>
        </is>
      </c>
      <c r="D150" t="inlineStr">
        <is>
          <t>Somme de tCO₂eq</t>
        </is>
      </c>
      <c r="E150" t="inlineStr">
        <is>
          <t>Somme de Montant EUR</t>
        </is>
      </c>
      <c r="F150" t="inlineStr">
        <is>
          <t>Somme de tCO₂eq</t>
        </is>
      </c>
      <c r="G150" t="inlineStr">
        <is>
          <t>Somme de Montant EUR</t>
        </is>
      </c>
      <c r="H150" t="inlineStr">
        <is>
          <t>Somme de tCO₂eq</t>
        </is>
      </c>
    </row>
    <row r="151" ht="15" customHeight="1" s="500">
      <c r="B151" s="261" t="inlineStr">
        <is>
          <t>DE_Filiale</t>
        </is>
      </c>
      <c r="C151" t="n">
        <v>194500</v>
      </c>
      <c r="D151" t="n">
        <v>-47620</v>
      </c>
      <c r="I151" t="n">
        <v>194500</v>
      </c>
      <c r="J151" t="n">
        <v>-47620</v>
      </c>
    </row>
    <row r="152" ht="15" customHeight="1" s="500">
      <c r="B152" s="262" t="inlineStr">
        <is>
          <t>① Exploitation</t>
        </is>
      </c>
      <c r="C152" t="n">
        <v>199000</v>
      </c>
      <c r="D152" t="n">
        <v>-47620</v>
      </c>
      <c r="I152" t="n">
        <v>199000</v>
      </c>
      <c r="J152" t="n">
        <v>-47620</v>
      </c>
    </row>
    <row r="153" ht="15" customHeight="1" s="500">
      <c r="B153" s="263" t="inlineStr">
        <is>
          <t>Achats &amp; charges ext.</t>
        </is>
      </c>
      <c r="C153" t="n">
        <v>-82000</v>
      </c>
      <c r="D153" t="n">
        <v>-47620</v>
      </c>
      <c r="I153" t="n">
        <v>-82000</v>
      </c>
      <c r="J153" t="n">
        <v>-47620</v>
      </c>
    </row>
    <row r="154" ht="15" customHeight="1" s="500">
      <c r="B154" s="264" t="n">
        <v>6010</v>
      </c>
      <c r="C154" t="n">
        <v>-82000</v>
      </c>
      <c r="D154" t="n">
        <v>-47620</v>
      </c>
      <c r="I154" t="n">
        <v>-82000</v>
      </c>
      <c r="J154" t="n">
        <v>-47620</v>
      </c>
    </row>
    <row r="155" ht="15" customHeight="1" s="500">
      <c r="B155" s="263" t="inlineStr">
        <is>
          <t>CA net IFRS 15</t>
        </is>
      </c>
      <c r="C155" t="n">
        <v>326000</v>
      </c>
      <c r="D155" t="n">
        <v>0</v>
      </c>
      <c r="I155" t="n">
        <v>326000</v>
      </c>
      <c r="J155" t="n">
        <v>0</v>
      </c>
    </row>
    <row r="156" ht="15" customHeight="1" s="500">
      <c r="B156" s="264" t="n">
        <v>7010</v>
      </c>
      <c r="C156" t="n">
        <v>326000</v>
      </c>
      <c r="D156" t="n">
        <v>0</v>
      </c>
      <c r="I156" t="n">
        <v>326000</v>
      </c>
      <c r="J156" t="n">
        <v>0</v>
      </c>
    </row>
    <row r="157" ht="15" customHeight="1" s="500">
      <c r="B157" s="263" t="inlineStr">
        <is>
          <t>Charges de personnel</t>
        </is>
      </c>
      <c r="C157" t="n">
        <v>-45000</v>
      </c>
      <c r="D157" t="n">
        <v>0</v>
      </c>
      <c r="I157" t="n">
        <v>-45000</v>
      </c>
      <c r="J157" t="n">
        <v>0</v>
      </c>
    </row>
    <row r="158" ht="15" customHeight="1" s="500">
      <c r="B158" s="264" t="n">
        <v>6400</v>
      </c>
      <c r="C158" t="n">
        <v>-45000</v>
      </c>
      <c r="D158" t="n">
        <v>0</v>
      </c>
      <c r="I158" t="n">
        <v>-45000</v>
      </c>
      <c r="J158" t="n">
        <v>0</v>
      </c>
    </row>
    <row r="159" ht="15" customHeight="1" s="500">
      <c r="B159" s="262" t="inlineStr">
        <is>
          <t>③ Financement</t>
        </is>
      </c>
      <c r="C159" t="n">
        <v>-4500</v>
      </c>
      <c r="D159" t="n">
        <v>0</v>
      </c>
      <c r="I159" t="n">
        <v>-4500</v>
      </c>
      <c r="J159" t="n">
        <v>0</v>
      </c>
    </row>
    <row r="160" ht="15" customHeight="1" s="500">
      <c r="B160" s="263" t="inlineStr">
        <is>
          <t>Intérêts emprunts</t>
        </is>
      </c>
      <c r="C160" t="n">
        <v>-4500</v>
      </c>
      <c r="D160" t="n">
        <v>0</v>
      </c>
      <c r="I160" t="n">
        <v>-4500</v>
      </c>
      <c r="J160" t="n">
        <v>0</v>
      </c>
    </row>
    <row r="161" ht="15" customHeight="1" s="500">
      <c r="B161" s="264" t="n">
        <v>6610</v>
      </c>
      <c r="C161" t="n">
        <v>-4500</v>
      </c>
      <c r="D161" t="n">
        <v>0</v>
      </c>
      <c r="I161" t="n">
        <v>-4500</v>
      </c>
      <c r="J161" t="n">
        <v>0</v>
      </c>
    </row>
    <row r="162" ht="15" customHeight="1" s="500">
      <c r="B162" s="261" t="inlineStr">
        <is>
          <t>ÉLIM_IC</t>
        </is>
      </c>
      <c r="C162" t="n">
        <v>0</v>
      </c>
      <c r="D162" t="n">
        <v>0</v>
      </c>
      <c r="I162" t="n">
        <v>0</v>
      </c>
      <c r="J162" t="n">
        <v>0</v>
      </c>
    </row>
    <row r="163" ht="15" customHeight="1" s="500">
      <c r="B163" s="262" t="inlineStr">
        <is>
          <t>① Exploitation</t>
        </is>
      </c>
      <c r="C163" t="n">
        <v>0</v>
      </c>
      <c r="D163" t="n">
        <v>0</v>
      </c>
      <c r="I163" t="n">
        <v>0</v>
      </c>
      <c r="J163" t="n">
        <v>0</v>
      </c>
    </row>
    <row r="164" ht="15" customHeight="1" s="500">
      <c r="B164" s="263" t="inlineStr">
        <is>
          <t>Élim. Achats IC</t>
        </is>
      </c>
      <c r="C164" t="n">
        <v>0</v>
      </c>
      <c r="D164" t="n">
        <v>0</v>
      </c>
      <c r="I164" t="n">
        <v>0</v>
      </c>
      <c r="J164" t="n">
        <v>0</v>
      </c>
    </row>
    <row r="165" ht="15" customHeight="1" s="500">
      <c r="B165" s="264" t="n">
        <v>9110</v>
      </c>
      <c r="C165" t="n">
        <v>0</v>
      </c>
      <c r="D165" t="n">
        <v>0</v>
      </c>
      <c r="I165" t="n">
        <v>0</v>
      </c>
      <c r="J165" t="n">
        <v>0</v>
      </c>
    </row>
    <row r="166" ht="15" customHeight="1" s="500">
      <c r="B166" s="263" t="inlineStr">
        <is>
          <t>Élim. CA interco.</t>
        </is>
      </c>
      <c r="C166" t="n">
        <v>0</v>
      </c>
      <c r="D166" t="n">
        <v>0</v>
      </c>
      <c r="I166" t="n">
        <v>0</v>
      </c>
      <c r="J166" t="n">
        <v>0</v>
      </c>
    </row>
    <row r="167" ht="15" customHeight="1" s="500">
      <c r="B167" s="264" t="n">
        <v>9100</v>
      </c>
      <c r="C167" t="n">
        <v>0</v>
      </c>
      <c r="D167" t="n">
        <v>0</v>
      </c>
      <c r="I167" t="n">
        <v>0</v>
      </c>
      <c r="J167" t="n">
        <v>0</v>
      </c>
    </row>
    <row r="168" ht="15" customHeight="1" s="500">
      <c r="B168" s="262" t="inlineStr">
        <is>
          <t>② Investissement</t>
        </is>
      </c>
      <c r="C168" t="n">
        <v>0</v>
      </c>
      <c r="D168" t="n">
        <v>0</v>
      </c>
      <c r="I168" t="n">
        <v>0</v>
      </c>
      <c r="J168" t="n">
        <v>0</v>
      </c>
    </row>
    <row r="169" ht="15" customHeight="1" s="500">
      <c r="B169" s="263" t="inlineStr">
        <is>
          <t>Élim. Dividendes IC</t>
        </is>
      </c>
      <c r="C169" t="n">
        <v>0</v>
      </c>
      <c r="D169" t="n">
        <v>0</v>
      </c>
      <c r="I169" t="n">
        <v>0</v>
      </c>
      <c r="J169" t="n">
        <v>0</v>
      </c>
    </row>
    <row r="170" ht="15" customHeight="1" s="500">
      <c r="B170" s="264" t="n">
        <v>9200</v>
      </c>
      <c r="C170" t="n">
        <v>0</v>
      </c>
      <c r="D170" t="n">
        <v>0</v>
      </c>
      <c r="I170" t="n">
        <v>0</v>
      </c>
      <c r="J170" t="n">
        <v>0</v>
      </c>
    </row>
    <row r="171" ht="15" customHeight="1" s="500">
      <c r="B171" s="261" t="inlineStr">
        <is>
          <t>FR_ParentCo</t>
        </is>
      </c>
      <c r="C171" t="n">
        <v>353600</v>
      </c>
      <c r="D171" t="n">
        <v>-39900</v>
      </c>
      <c r="E171" t="n">
        <v>256500</v>
      </c>
      <c r="F171" t="n">
        <v>0</v>
      </c>
      <c r="G171" t="n">
        <v>304950</v>
      </c>
      <c r="H171" t="n">
        <v>0</v>
      </c>
      <c r="I171" t="n">
        <v>915050</v>
      </c>
      <c r="J171" t="n">
        <v>-39900</v>
      </c>
    </row>
    <row r="172" ht="15" customHeight="1" s="500">
      <c r="B172" s="262" t="inlineStr">
        <is>
          <t>① Exploitation</t>
        </is>
      </c>
      <c r="C172" t="n">
        <v>370000</v>
      </c>
      <c r="D172" t="n">
        <v>-39900</v>
      </c>
      <c r="E172" t="n">
        <v>256500</v>
      </c>
      <c r="F172" t="n">
        <v>0</v>
      </c>
      <c r="G172" t="n">
        <v>304950</v>
      </c>
      <c r="H172" t="n">
        <v>0</v>
      </c>
      <c r="I172" t="n">
        <v>931450</v>
      </c>
      <c r="J172" t="n">
        <v>-39900</v>
      </c>
    </row>
    <row r="173" ht="15" customHeight="1" s="500">
      <c r="B173" s="263" t="inlineStr">
        <is>
          <t>Achats &amp; charges ext.</t>
        </is>
      </c>
      <c r="C173" t="n">
        <v>-95000</v>
      </c>
      <c r="D173" t="n">
        <v>-39900</v>
      </c>
      <c r="I173" t="n">
        <v>-95000</v>
      </c>
      <c r="J173" t="n">
        <v>-39900</v>
      </c>
    </row>
    <row r="174" ht="15" customHeight="1" s="500">
      <c r="B174" s="264" t="n">
        <v>6010</v>
      </c>
      <c r="C174" t="n">
        <v>-95000</v>
      </c>
      <c r="D174" t="n">
        <v>-39900</v>
      </c>
      <c r="I174" t="n">
        <v>-95000</v>
      </c>
      <c r="J174" t="n">
        <v>-39900</v>
      </c>
    </row>
    <row r="175" ht="15" customHeight="1" s="500">
      <c r="B175" s="263" t="inlineStr">
        <is>
          <t>Amort. D&amp;A (IFRS 16)</t>
        </is>
      </c>
      <c r="C175" t="n">
        <v>-22000</v>
      </c>
      <c r="D175" t="n">
        <v>0</v>
      </c>
      <c r="I175" t="n">
        <v>-22000</v>
      </c>
      <c r="J175" t="n">
        <v>0</v>
      </c>
    </row>
    <row r="176" ht="15" customHeight="1" s="500">
      <c r="B176" s="264" t="n">
        <v>6811</v>
      </c>
      <c r="C176" t="n">
        <v>-22000</v>
      </c>
      <c r="D176" t="n">
        <v>0</v>
      </c>
      <c r="I176" t="n">
        <v>-22000</v>
      </c>
      <c r="J176" t="n">
        <v>0</v>
      </c>
    </row>
    <row r="177" ht="15" customHeight="1" s="500">
      <c r="B177" s="263" t="inlineStr">
        <is>
          <t>CA net (Scénario Bear)</t>
        </is>
      </c>
      <c r="E177" t="n">
        <v>256500</v>
      </c>
      <c r="F177" t="n">
        <v>0</v>
      </c>
      <c r="I177" t="n">
        <v>256500</v>
      </c>
      <c r="J177" t="n">
        <v>0</v>
      </c>
    </row>
    <row r="178" ht="15" customHeight="1" s="500">
      <c r="B178" s="264" t="n">
        <v>7010</v>
      </c>
      <c r="E178" t="n">
        <v>256500</v>
      </c>
      <c r="F178" t="n">
        <v>0</v>
      </c>
      <c r="I178" t="n">
        <v>256500</v>
      </c>
      <c r="J178" t="n">
        <v>0</v>
      </c>
    </row>
    <row r="179" ht="15" customHeight="1" s="500">
      <c r="B179" s="263" t="inlineStr">
        <is>
          <t>CA net (Scénario Bull)</t>
        </is>
      </c>
      <c r="G179" t="n">
        <v>304950</v>
      </c>
      <c r="H179" t="n">
        <v>0</v>
      </c>
      <c r="I179" t="n">
        <v>304950</v>
      </c>
      <c r="J179" t="n">
        <v>0</v>
      </c>
    </row>
    <row r="180" ht="15" customHeight="1" s="500">
      <c r="B180" s="264" t="n">
        <v>7010</v>
      </c>
      <c r="G180" t="n">
        <v>304950</v>
      </c>
      <c r="H180" t="n">
        <v>0</v>
      </c>
      <c r="I180" t="n">
        <v>304950</v>
      </c>
      <c r="J180" t="n">
        <v>0</v>
      </c>
    </row>
    <row r="181" ht="15" customHeight="1" s="500">
      <c r="B181" s="263" t="inlineStr">
        <is>
          <t>CA net IFRS 15</t>
        </is>
      </c>
      <c r="C181" t="n">
        <v>555000</v>
      </c>
      <c r="D181" t="n">
        <v>0</v>
      </c>
      <c r="I181" t="n">
        <v>555000</v>
      </c>
      <c r="J181" t="n">
        <v>0</v>
      </c>
    </row>
    <row r="182" ht="15" customHeight="1" s="500">
      <c r="B182" s="264" t="n">
        <v>7010</v>
      </c>
      <c r="C182" t="n">
        <v>555000</v>
      </c>
      <c r="D182" t="n">
        <v>0</v>
      </c>
      <c r="I182" t="n">
        <v>555000</v>
      </c>
      <c r="J182" t="n">
        <v>0</v>
      </c>
    </row>
    <row r="183" ht="15" customHeight="1" s="500">
      <c r="B183" s="263" t="inlineStr">
        <is>
          <t>Charges de personnel</t>
        </is>
      </c>
      <c r="C183" t="n">
        <v>-68000</v>
      </c>
      <c r="D183" t="n">
        <v>0</v>
      </c>
      <c r="I183" t="n">
        <v>-68000</v>
      </c>
      <c r="J183" t="n">
        <v>0</v>
      </c>
    </row>
    <row r="184" ht="15" customHeight="1" s="500">
      <c r="B184" s="264" t="n">
        <v>6400</v>
      </c>
      <c r="C184" t="n">
        <v>-68000</v>
      </c>
      <c r="D184" t="n">
        <v>0</v>
      </c>
      <c r="I184" t="n">
        <v>-68000</v>
      </c>
      <c r="J184" t="n">
        <v>0</v>
      </c>
    </row>
    <row r="185" ht="15" customHeight="1" s="500">
      <c r="B185" s="262" t="inlineStr">
        <is>
          <t>② Investissement</t>
        </is>
      </c>
      <c r="C185" t="n">
        <v>4200</v>
      </c>
      <c r="D185" t="n">
        <v>0</v>
      </c>
      <c r="I185" t="n">
        <v>4200</v>
      </c>
      <c r="J185" t="n">
        <v>0</v>
      </c>
    </row>
    <row r="186" ht="15" customHeight="1" s="500">
      <c r="B186" s="263" t="inlineStr">
        <is>
          <t>Dividendes reçus</t>
        </is>
      </c>
      <c r="C186" t="n">
        <v>4200</v>
      </c>
      <c r="D186" t="n">
        <v>0</v>
      </c>
      <c r="I186" t="n">
        <v>4200</v>
      </c>
      <c r="J186" t="n">
        <v>0</v>
      </c>
    </row>
    <row r="187" ht="15" customHeight="1" s="500">
      <c r="B187" s="264" t="n">
        <v>7610</v>
      </c>
      <c r="C187" t="n">
        <v>4200</v>
      </c>
      <c r="D187" t="n">
        <v>0</v>
      </c>
      <c r="I187" t="n">
        <v>4200</v>
      </c>
      <c r="J187" t="n">
        <v>0</v>
      </c>
    </row>
    <row r="188" ht="15" customHeight="1" s="500">
      <c r="B188" s="262" t="inlineStr">
        <is>
          <t>③ Financement</t>
        </is>
      </c>
      <c r="C188" t="n">
        <v>-8200</v>
      </c>
      <c r="D188" t="n">
        <v>0</v>
      </c>
      <c r="I188" t="n">
        <v>-8200</v>
      </c>
      <c r="J188" t="n">
        <v>0</v>
      </c>
    </row>
    <row r="189" ht="15" customHeight="1" s="500">
      <c r="B189" s="263" t="inlineStr">
        <is>
          <t>Intérêts emprunts</t>
        </is>
      </c>
      <c r="C189" t="n">
        <v>-8200</v>
      </c>
      <c r="D189" t="n">
        <v>0</v>
      </c>
      <c r="I189" t="n">
        <v>-8200</v>
      </c>
      <c r="J189" t="n">
        <v>0</v>
      </c>
    </row>
    <row r="190" ht="15" customHeight="1" s="500">
      <c r="B190" s="264" t="n">
        <v>6610</v>
      </c>
      <c r="C190" t="n">
        <v>-8200</v>
      </c>
      <c r="D190" t="n">
        <v>0</v>
      </c>
      <c r="I190" t="n">
        <v>-8200</v>
      </c>
      <c r="J190" t="n">
        <v>0</v>
      </c>
    </row>
    <row r="191" ht="15" customHeight="1" s="500">
      <c r="B191" s="262" t="inlineStr">
        <is>
          <t>④ Impôts</t>
        </is>
      </c>
      <c r="C191" t="n">
        <v>-12400</v>
      </c>
      <c r="D191" t="n">
        <v>0</v>
      </c>
      <c r="I191" t="n">
        <v>-12400</v>
      </c>
      <c r="J191" t="n">
        <v>0</v>
      </c>
    </row>
    <row r="192" ht="15" customHeight="1" s="500">
      <c r="B192" s="263" t="inlineStr">
        <is>
          <t>Impôt IS courant</t>
        </is>
      </c>
      <c r="C192" t="n">
        <v>-12400</v>
      </c>
      <c r="D192" t="n">
        <v>0</v>
      </c>
      <c r="I192" t="n">
        <v>-12400</v>
      </c>
      <c r="J192" t="n">
        <v>0</v>
      </c>
    </row>
    <row r="193" ht="15" customHeight="1" s="500">
      <c r="B193" s="264" t="n">
        <v>6950</v>
      </c>
      <c r="C193" t="n">
        <v>-12400</v>
      </c>
      <c r="D193" t="n">
        <v>0</v>
      </c>
      <c r="I193" t="n">
        <v>-12400</v>
      </c>
      <c r="J193" t="n">
        <v>0</v>
      </c>
    </row>
    <row r="194" ht="15" customHeight="1" s="500">
      <c r="B194" s="261" t="inlineStr">
        <is>
          <t>SG_Filiale</t>
        </is>
      </c>
      <c r="C194" t="n">
        <v>76896</v>
      </c>
      <c r="D194" t="n">
        <v>-19096</v>
      </c>
      <c r="I194" t="n">
        <v>76896</v>
      </c>
      <c r="J194" t="n">
        <v>-19096</v>
      </c>
    </row>
    <row r="195" ht="15" customHeight="1" s="500">
      <c r="B195" s="262" t="inlineStr">
        <is>
          <t>① Exploitation</t>
        </is>
      </c>
      <c r="C195" t="n">
        <v>76896</v>
      </c>
      <c r="D195" t="n">
        <v>-19096</v>
      </c>
      <c r="I195" t="n">
        <v>76896</v>
      </c>
      <c r="J195" t="n">
        <v>-19096</v>
      </c>
    </row>
    <row r="196" ht="15" customHeight="1" s="500">
      <c r="B196" s="263" t="inlineStr">
        <is>
          <t>Achats &amp; charges ext.</t>
        </is>
      </c>
      <c r="C196" t="n">
        <v>-25916</v>
      </c>
      <c r="D196" t="n">
        <v>-19096</v>
      </c>
      <c r="I196" t="n">
        <v>-25916</v>
      </c>
      <c r="J196" t="n">
        <v>-19096</v>
      </c>
    </row>
    <row r="197" ht="15" customHeight="1" s="500">
      <c r="B197" s="264" t="n">
        <v>6010</v>
      </c>
      <c r="C197" t="n">
        <v>-25916</v>
      </c>
      <c r="D197" t="n">
        <v>-19096</v>
      </c>
      <c r="I197" t="n">
        <v>-25916</v>
      </c>
      <c r="J197" t="n">
        <v>-19096</v>
      </c>
    </row>
    <row r="198" ht="15" customHeight="1" s="500">
      <c r="B198" s="263" t="inlineStr">
        <is>
          <t>CA net IFRS 15</t>
        </is>
      </c>
      <c r="C198" t="n">
        <v>117816</v>
      </c>
      <c r="D198" t="n">
        <v>0</v>
      </c>
      <c r="I198" t="n">
        <v>117816</v>
      </c>
      <c r="J198" t="n">
        <v>0</v>
      </c>
    </row>
    <row r="199" ht="15" customHeight="1" s="500">
      <c r="B199" s="264" t="n">
        <v>7010</v>
      </c>
      <c r="C199" t="n">
        <v>117816</v>
      </c>
      <c r="D199" t="n">
        <v>0</v>
      </c>
      <c r="I199" t="n">
        <v>117816</v>
      </c>
      <c r="J199" t="n">
        <v>0</v>
      </c>
    </row>
    <row r="200" ht="15" customHeight="1" s="500">
      <c r="B200" s="263" t="inlineStr">
        <is>
          <t>Charges de personnel</t>
        </is>
      </c>
      <c r="C200" t="n">
        <v>-15004</v>
      </c>
      <c r="D200" t="n">
        <v>0</v>
      </c>
      <c r="I200" t="n">
        <v>-15004</v>
      </c>
      <c r="J200" t="n">
        <v>0</v>
      </c>
    </row>
    <row r="201" ht="15" customHeight="1" s="500">
      <c r="B201" s="264" t="n">
        <v>6400</v>
      </c>
      <c r="C201" t="n">
        <v>-15004</v>
      </c>
      <c r="D201" t="n">
        <v>0</v>
      </c>
      <c r="I201" t="n">
        <v>-15004</v>
      </c>
      <c r="J201" t="n">
        <v>0</v>
      </c>
    </row>
    <row r="202" ht="15" customHeight="1" s="500">
      <c r="B202" s="261" t="inlineStr">
        <is>
          <t>UK_Filiale</t>
        </is>
      </c>
      <c r="C202" t="n">
        <v>192472</v>
      </c>
      <c r="D202" t="n">
        <v>-25233</v>
      </c>
      <c r="I202" t="n">
        <v>192472</v>
      </c>
      <c r="J202" t="n">
        <v>-25233</v>
      </c>
    </row>
    <row r="203" ht="15" customHeight="1" s="500">
      <c r="B203" s="262" t="inlineStr">
        <is>
          <t>① Exploitation</t>
        </is>
      </c>
      <c r="C203" t="n">
        <v>192472</v>
      </c>
      <c r="D203" t="n">
        <v>-25233</v>
      </c>
      <c r="I203" t="n">
        <v>192472</v>
      </c>
      <c r="J203" t="n">
        <v>-25233</v>
      </c>
    </row>
    <row r="204" ht="15" customHeight="1" s="500">
      <c r="B204" s="263" t="inlineStr">
        <is>
          <t>Achats &amp; charges ext.</t>
        </is>
      </c>
      <c r="C204" t="n">
        <v>-78336</v>
      </c>
      <c r="D204" t="n">
        <v>-25233</v>
      </c>
      <c r="I204" t="n">
        <v>-78336</v>
      </c>
      <c r="J204" t="n">
        <v>-25233</v>
      </c>
    </row>
    <row r="205" ht="15" customHeight="1" s="500">
      <c r="B205" s="264" t="n">
        <v>6010</v>
      </c>
      <c r="C205" t="n">
        <v>-78336</v>
      </c>
      <c r="D205" t="n">
        <v>-25233</v>
      </c>
      <c r="I205" t="n">
        <v>-78336</v>
      </c>
      <c r="J205" t="n">
        <v>-25233</v>
      </c>
    </row>
    <row r="206" ht="15" customHeight="1" s="500">
      <c r="B206" s="263" t="inlineStr">
        <is>
          <t>CA net IFRS 15</t>
        </is>
      </c>
      <c r="C206" t="n">
        <v>314584</v>
      </c>
      <c r="D206" t="n">
        <v>0</v>
      </c>
      <c r="I206" t="n">
        <v>314584</v>
      </c>
      <c r="J206" t="n">
        <v>0</v>
      </c>
    </row>
    <row r="207" ht="15" customHeight="1" s="500">
      <c r="B207" s="264" t="n">
        <v>7010</v>
      </c>
      <c r="C207" t="n">
        <v>314584</v>
      </c>
      <c r="D207" t="n">
        <v>0</v>
      </c>
      <c r="I207" t="n">
        <v>314584</v>
      </c>
      <c r="J207" t="n">
        <v>0</v>
      </c>
    </row>
    <row r="208" ht="15" customHeight="1" s="500">
      <c r="B208" s="263" t="inlineStr">
        <is>
          <t>Charges de personnel</t>
        </is>
      </c>
      <c r="C208" t="n">
        <v>-43776</v>
      </c>
      <c r="D208" t="n">
        <v>0</v>
      </c>
      <c r="I208" t="n">
        <v>-43776</v>
      </c>
      <c r="J208" t="n">
        <v>0</v>
      </c>
    </row>
    <row r="209" ht="15" customHeight="1" s="500">
      <c r="B209" s="264" t="n">
        <v>6400</v>
      </c>
      <c r="C209" t="n">
        <v>-43776</v>
      </c>
      <c r="D209" t="n">
        <v>0</v>
      </c>
      <c r="I209" t="n">
        <v>-43776</v>
      </c>
      <c r="J209" t="n">
        <v>0</v>
      </c>
    </row>
    <row r="210" ht="15" customHeight="1" s="500">
      <c r="B210" s="261" t="inlineStr">
        <is>
          <t>US_Filiale</t>
        </is>
      </c>
      <c r="C210" t="n">
        <v>208290</v>
      </c>
      <c r="D210" t="n">
        <v>-87750</v>
      </c>
      <c r="I210" t="n">
        <v>208290</v>
      </c>
      <c r="J210" t="n">
        <v>-87750</v>
      </c>
    </row>
    <row r="211" ht="15" customHeight="1" s="500">
      <c r="B211" s="262" t="inlineStr">
        <is>
          <t>① Exploitation</t>
        </is>
      </c>
      <c r="C211" t="n">
        <v>215505</v>
      </c>
      <c r="D211" t="n">
        <v>-87750</v>
      </c>
      <c r="I211" t="n">
        <v>215505</v>
      </c>
      <c r="J211" t="n">
        <v>-87750</v>
      </c>
    </row>
    <row r="212" ht="15" customHeight="1" s="500">
      <c r="B212" s="263" t="inlineStr">
        <is>
          <t>Achats &amp; charges ext.</t>
        </is>
      </c>
      <c r="C212" t="n">
        <v>-85100</v>
      </c>
      <c r="D212" t="n">
        <v>-87750</v>
      </c>
      <c r="I212" t="n">
        <v>-85100</v>
      </c>
      <c r="J212" t="n">
        <v>-87750</v>
      </c>
    </row>
    <row r="213" ht="15" customHeight="1" s="500">
      <c r="B213" s="264" t="n">
        <v>6010</v>
      </c>
      <c r="C213" t="n">
        <v>-85100</v>
      </c>
      <c r="D213" t="n">
        <v>-87750</v>
      </c>
      <c r="I213" t="n">
        <v>-85100</v>
      </c>
      <c r="J213" t="n">
        <v>-87750</v>
      </c>
    </row>
    <row r="214" ht="15" customHeight="1" s="500">
      <c r="B214" s="263" t="inlineStr">
        <is>
          <t>CA net IFRS 15</t>
        </is>
      </c>
      <c r="C214" t="n">
        <v>348705</v>
      </c>
      <c r="D214" t="n">
        <v>0</v>
      </c>
      <c r="I214" t="n">
        <v>348705</v>
      </c>
      <c r="J214" t="n">
        <v>0</v>
      </c>
    </row>
    <row r="215" ht="15" customHeight="1" s="500">
      <c r="B215" s="264" t="n">
        <v>7010</v>
      </c>
      <c r="C215" t="n">
        <v>348705</v>
      </c>
      <c r="D215" t="n">
        <v>0</v>
      </c>
      <c r="I215" t="n">
        <v>348705</v>
      </c>
      <c r="J215" t="n">
        <v>0</v>
      </c>
    </row>
    <row r="216" ht="15" customHeight="1" s="500">
      <c r="B216" s="263" t="inlineStr">
        <is>
          <t>Charges de personnel</t>
        </is>
      </c>
      <c r="C216" t="n">
        <v>-48100</v>
      </c>
      <c r="D216" t="n">
        <v>0</v>
      </c>
      <c r="I216" t="n">
        <v>-48100</v>
      </c>
      <c r="J216" t="n">
        <v>0</v>
      </c>
    </row>
    <row r="217" ht="15" customHeight="1" s="500">
      <c r="B217" s="264" t="n">
        <v>6400</v>
      </c>
      <c r="C217" t="n">
        <v>-48100</v>
      </c>
      <c r="D217" t="n">
        <v>0</v>
      </c>
      <c r="I217" t="n">
        <v>-48100</v>
      </c>
      <c r="J217" t="n">
        <v>0</v>
      </c>
    </row>
    <row r="218" ht="15" customHeight="1" s="500">
      <c r="B218" s="262" t="inlineStr">
        <is>
          <t>③ Financement</t>
        </is>
      </c>
      <c r="C218" t="n">
        <v>-7215</v>
      </c>
      <c r="D218" t="n">
        <v>0</v>
      </c>
      <c r="I218" t="n">
        <v>-7215</v>
      </c>
      <c r="J218" t="n">
        <v>0</v>
      </c>
    </row>
    <row r="219" ht="15" customHeight="1" s="500">
      <c r="B219" s="263" t="inlineStr">
        <is>
          <t>Intérêts emprunts</t>
        </is>
      </c>
      <c r="C219" t="n">
        <v>-7215</v>
      </c>
      <c r="D219" t="n">
        <v>0</v>
      </c>
      <c r="I219" t="n">
        <v>-7215</v>
      </c>
      <c r="J219" t="n">
        <v>0</v>
      </c>
    </row>
    <row r="220" ht="15" customHeight="1" s="500">
      <c r="B220" s="264" t="n">
        <v>6610</v>
      </c>
      <c r="C220" t="n">
        <v>-7215</v>
      </c>
      <c r="D220" t="n">
        <v>0</v>
      </c>
      <c r="I220" t="n">
        <v>-7215</v>
      </c>
      <c r="J220" t="n">
        <v>0</v>
      </c>
    </row>
    <row r="221" ht="15" customHeight="1" s="500">
      <c r="B221" s="261" t="inlineStr">
        <is>
          <t>Total général</t>
        </is>
      </c>
      <c r="C221" t="n">
        <v>1025758</v>
      </c>
      <c r="D221" t="n">
        <v>-219599</v>
      </c>
      <c r="E221" t="n">
        <v>256500</v>
      </c>
      <c r="F221" t="n">
        <v>0</v>
      </c>
      <c r="G221" t="n">
        <v>304950</v>
      </c>
      <c r="H221" t="n">
        <v>0</v>
      </c>
      <c r="I221" t="n">
        <v>1587208</v>
      </c>
      <c r="J221" t="n">
        <v>-219599</v>
      </c>
    </row>
    <row r="222" ht="15" customHeight="1" s="500"/>
    <row r="223" ht="15" customHeight="1" s="500"/>
    <row r="224" ht="15" customHeight="1" s="500"/>
    <row r="225" ht="21.95" customHeight="1" s="500">
      <c r="B225" s="271" t="inlineStr">
        <is>
          <t>MESURES DAX POWER PIVOT — Guide complet</t>
        </is>
      </c>
      <c r="C225" s="271" t="n"/>
      <c r="D225" s="271" t="n"/>
      <c r="E225" s="271" t="n"/>
      <c r="F225" s="271" t="n"/>
      <c r="G225" s="271" t="n"/>
      <c r="H225" s="271" t="n"/>
      <c r="I225" s="271" t="n"/>
      <c r="J225" s="271" t="n"/>
      <c r="K225" s="271" t="n"/>
      <c r="L225" s="271" t="n"/>
      <c r="M225" s="271" t="n"/>
      <c r="N225" s="271" t="n"/>
      <c r="O225" s="271" t="n"/>
      <c r="P225" s="271" t="n"/>
      <c r="Q225" s="271" t="n"/>
      <c r="R225" s="271" t="n"/>
      <c r="S225" s="271" t="n"/>
      <c r="T225" s="271" t="n"/>
      <c r="U225" s="271" t="n"/>
      <c r="V225" s="271" t="n"/>
      <c r="W225" s="271" t="n"/>
      <c r="X225" s="271" t="n"/>
    </row>
    <row r="226" ht="14.1" customHeight="1" s="500">
      <c r="B226" s="257" t="inlineStr">
        <is>
          <t>Nom Mesure</t>
        </is>
      </c>
      <c r="C226" s="236" t="inlineStr">
        <is>
          <t>Formule DAX</t>
        </is>
      </c>
      <c r="D226" s="236" t="inlineStr">
        <is>
          <t>Description</t>
        </is>
      </c>
      <c r="E226" s="236" t="inlineStr">
        <is>
          <t>Format</t>
        </is>
      </c>
      <c r="F226" s="236" t="n"/>
      <c r="G226" s="236" t="n"/>
      <c r="H226" s="236" t="n"/>
      <c r="I226" s="236" t="n"/>
      <c r="J226" s="236" t="n"/>
      <c r="K226" s="236" t="n"/>
      <c r="L226" s="236" t="n"/>
      <c r="M226" s="236" t="n"/>
      <c r="N226" s="236" t="n"/>
      <c r="O226" s="236" t="n"/>
      <c r="P226" s="236" t="n"/>
      <c r="Q226" s="236" t="n"/>
      <c r="R226" s="236" t="n"/>
      <c r="S226" s="236" t="n"/>
      <c r="T226" s="236" t="n"/>
      <c r="U226" s="236" t="n"/>
      <c r="V226" s="236" t="n"/>
      <c r="W226" s="236" t="n"/>
      <c r="X226" s="236" t="n"/>
    </row>
    <row r="227" ht="14.1" customHeight="1" s="500">
      <c r="B227" s="272" t="inlineStr">
        <is>
          <t>CA_Consolide</t>
        </is>
      </c>
      <c r="C227" s="644" t="inlineStr">
        <is>
          <t>CALCULATE(SUM([Montant EUR]),[Poste IFRS 18]="CA net IFRS 15")</t>
        </is>
      </c>
      <c r="D227" s="644" t="inlineStr">
        <is>
          <t>CA IFRS 15 filtre slicer</t>
        </is>
      </c>
      <c r="E227" s="644" t="inlineStr">
        <is>
          <t>#,##0</t>
        </is>
      </c>
      <c r="F227" s="644" t="n"/>
      <c r="G227" s="644" t="n"/>
      <c r="H227" s="644" t="n"/>
      <c r="I227" s="644" t="n"/>
      <c r="J227" s="644" t="n"/>
      <c r="K227" s="644" t="n"/>
      <c r="L227" s="644" t="n"/>
      <c r="M227" s="644" t="n"/>
      <c r="N227" s="644" t="n"/>
      <c r="O227" s="644" t="n"/>
      <c r="P227" s="644" t="n"/>
      <c r="Q227" s="644" t="n"/>
      <c r="R227" s="644" t="n"/>
      <c r="S227" s="644" t="n"/>
      <c r="T227" s="644" t="n"/>
      <c r="U227" s="644" t="n"/>
      <c r="V227" s="644" t="n"/>
      <c r="W227" s="644" t="n"/>
      <c r="X227" s="644" t="n"/>
    </row>
    <row r="228" ht="14.1" customHeight="1" s="500">
      <c r="B228" s="273" t="inlineStr">
        <is>
          <t>EBIT</t>
        </is>
      </c>
      <c r="C228" s="255" t="inlineStr">
        <is>
          <t>CALCULATE(SUM([Montant EUR]),[Cat §65]="TOTAL")</t>
        </is>
      </c>
      <c r="D228" s="255" t="inlineStr">
        <is>
          <t>EBIT IFRS 18 §65</t>
        </is>
      </c>
      <c r="E228" s="255" t="inlineStr">
        <is>
          <t>#,##0</t>
        </is>
      </c>
      <c r="F228" s="255" t="n"/>
      <c r="G228" s="255" t="n"/>
      <c r="H228" s="255" t="n"/>
      <c r="I228" s="255" t="n"/>
      <c r="J228" s="255" t="n"/>
      <c r="K228" s="255" t="n"/>
      <c r="L228" s="255" t="n"/>
      <c r="M228" s="255" t="n"/>
      <c r="N228" s="255" t="n"/>
      <c r="O228" s="255" t="n"/>
      <c r="P228" s="255" t="n"/>
      <c r="Q228" s="255" t="n"/>
      <c r="R228" s="255" t="n"/>
      <c r="S228" s="255" t="n"/>
      <c r="T228" s="255" t="n"/>
      <c r="U228" s="255" t="n"/>
      <c r="V228" s="255" t="n"/>
      <c r="W228" s="255" t="n"/>
      <c r="X228" s="255" t="n"/>
    </row>
    <row r="229" ht="14.1" customHeight="1" s="500">
      <c r="B229" s="272" t="inlineStr">
        <is>
          <t>EBITDA</t>
        </is>
      </c>
      <c r="C229" s="644" t="inlineStr">
        <is>
          <t>[EBIT]+CALCULATE(ABS(SUM([Montant EUR])),[Poste]="Amort.")</t>
        </is>
      </c>
      <c r="D229" s="644" t="inlineStr">
        <is>
          <t>EBITDA = EBIT + D&amp;A</t>
        </is>
      </c>
      <c r="E229" s="644" t="inlineStr">
        <is>
          <t>#,##0</t>
        </is>
      </c>
      <c r="F229" s="644" t="n"/>
      <c r="G229" s="644" t="n"/>
      <c r="H229" s="644" t="n"/>
      <c r="I229" s="644" t="n"/>
      <c r="J229" s="644" t="n"/>
      <c r="K229" s="644" t="n"/>
      <c r="L229" s="644" t="n"/>
      <c r="M229" s="644" t="n"/>
      <c r="N229" s="644" t="n"/>
      <c r="O229" s="644" t="n"/>
      <c r="P229" s="644" t="n"/>
      <c r="Q229" s="644" t="n"/>
      <c r="R229" s="644" t="n"/>
      <c r="S229" s="644" t="n"/>
      <c r="T229" s="644" t="n"/>
      <c r="U229" s="644" t="n"/>
      <c r="V229" s="644" t="n"/>
      <c r="W229" s="644" t="n"/>
      <c r="X229" s="644" t="n"/>
    </row>
    <row r="230" ht="14.1" customHeight="1" s="500">
      <c r="B230" s="273" t="inlineStr">
        <is>
          <t>Marge_EBITDA</t>
        </is>
      </c>
      <c r="C230" s="255" t="inlineStr">
        <is>
          <t>DIVIDE([EBITDA],[CA_Consolide],0)</t>
        </is>
      </c>
      <c r="D230" s="255" t="inlineStr">
        <is>
          <t>Marge EBITDA %</t>
        </is>
      </c>
      <c r="E230" s="274" t="n">
        <v>0</v>
      </c>
      <c r="F230" s="255" t="n"/>
      <c r="G230" s="255" t="n"/>
      <c r="H230" s="255" t="n"/>
      <c r="I230" s="255" t="n"/>
      <c r="J230" s="255" t="n"/>
      <c r="K230" s="255" t="n"/>
      <c r="L230" s="255" t="n"/>
      <c r="M230" s="255" t="n"/>
      <c r="N230" s="255" t="n"/>
      <c r="O230" s="255" t="n"/>
      <c r="P230" s="255" t="n"/>
      <c r="Q230" s="255" t="n"/>
      <c r="R230" s="255" t="n"/>
      <c r="S230" s="255" t="n"/>
      <c r="T230" s="255" t="n"/>
      <c r="U230" s="255" t="n"/>
      <c r="V230" s="255" t="n"/>
      <c r="W230" s="255" t="n"/>
      <c r="X230" s="255" t="n"/>
    </row>
    <row r="231" ht="14.1" customHeight="1" s="500">
      <c r="B231" s="272" t="inlineStr">
        <is>
          <t>Profit_avt_fin_impot</t>
        </is>
      </c>
      <c r="C231" s="644" t="inlineStr">
        <is>
          <t>[EBIT]+CALCULATE(SUM([Montant EUR]),[Cat §65]="Invest.")</t>
        </is>
      </c>
      <c r="D231" s="644" t="inlineStr">
        <is>
          <t>KPI obligatoire IFRS 18 §65 - NOUVEAU</t>
        </is>
      </c>
      <c r="E231" s="644" t="inlineStr">
        <is>
          <t>#,##0</t>
        </is>
      </c>
      <c r="F231" s="644" t="n"/>
      <c r="G231" s="644" t="n"/>
      <c r="H231" s="644" t="n"/>
      <c r="I231" s="644" t="n"/>
      <c r="J231" s="644" t="n"/>
      <c r="K231" s="644" t="n"/>
      <c r="L231" s="644" t="n"/>
      <c r="M231" s="644" t="n"/>
      <c r="N231" s="644" t="n"/>
      <c r="O231" s="644" t="n"/>
      <c r="P231" s="644" t="n"/>
      <c r="Q231" s="644" t="n"/>
      <c r="R231" s="644" t="n"/>
      <c r="S231" s="644" t="n"/>
      <c r="T231" s="644" t="n"/>
      <c r="U231" s="644" t="n"/>
      <c r="V231" s="644" t="n"/>
      <c r="W231" s="644" t="n"/>
      <c r="X231" s="644" t="n"/>
    </row>
    <row r="232" ht="14.1" customHeight="1" s="500">
      <c r="B232" s="273" t="inlineStr">
        <is>
          <t>ResultatNet</t>
        </is>
      </c>
      <c r="C232" s="255" t="inlineStr">
        <is>
          <t>CALCULATE(SUM([Montant EUR]),[Poste]="RESULTAT NET")</t>
        </is>
      </c>
      <c r="D232" s="255" t="inlineStr">
        <is>
          <t>RN IFRS 10</t>
        </is>
      </c>
      <c r="E232" s="255" t="inlineStr">
        <is>
          <t>#,##0</t>
        </is>
      </c>
      <c r="F232" s="255" t="n"/>
      <c r="G232" s="255" t="n"/>
      <c r="H232" s="255" t="n"/>
      <c r="I232" s="255" t="n"/>
      <c r="J232" s="255" t="n"/>
      <c r="K232" s="255" t="n"/>
      <c r="L232" s="255" t="n"/>
      <c r="M232" s="255" t="n"/>
      <c r="N232" s="255" t="n"/>
      <c r="O232" s="255" t="n"/>
      <c r="P232" s="255" t="n"/>
      <c r="Q232" s="255" t="n"/>
      <c r="R232" s="255" t="n"/>
      <c r="S232" s="255" t="n"/>
      <c r="T232" s="255" t="n"/>
      <c r="U232" s="255" t="n"/>
      <c r="V232" s="255" t="n"/>
      <c r="W232" s="255" t="n"/>
      <c r="X232" s="255" t="n"/>
    </row>
    <row r="233" ht="14.1" customHeight="1" s="500">
      <c r="B233" s="272" t="inlineStr">
        <is>
          <t>FCF</t>
        </is>
      </c>
      <c r="C233" s="644" t="inlineStr">
        <is>
          <t>CALCULATE(SUM([Montant EUR]),[Cat §65] IN {"Exploit.","Invest."})</t>
        </is>
      </c>
      <c r="D233" s="644" t="inlineStr">
        <is>
          <t>Free Cash Flow</t>
        </is>
      </c>
      <c r="E233" s="644" t="inlineStr">
        <is>
          <t>#,##0</t>
        </is>
      </c>
      <c r="F233" s="644" t="n"/>
      <c r="G233" s="644" t="n"/>
      <c r="H233" s="644" t="n"/>
      <c r="I233" s="644" t="n"/>
      <c r="J233" s="644" t="n"/>
      <c r="K233" s="644" t="n"/>
      <c r="L233" s="644" t="n"/>
      <c r="M233" s="644" t="n"/>
      <c r="N233" s="644" t="n"/>
      <c r="O233" s="644" t="n"/>
      <c r="P233" s="644" t="n"/>
      <c r="Q233" s="644" t="n"/>
      <c r="R233" s="644" t="n"/>
      <c r="S233" s="644" t="n"/>
      <c r="T233" s="644" t="n"/>
      <c r="U233" s="644" t="n"/>
      <c r="V233" s="644" t="n"/>
      <c r="W233" s="644" t="n"/>
      <c r="X233" s="644" t="n"/>
    </row>
    <row r="234" ht="14.1" customHeight="1" s="500">
      <c r="B234" s="273" t="inlineStr">
        <is>
          <t>CO2_Total</t>
        </is>
      </c>
      <c r="C234" s="255" t="inlineStr">
        <is>
          <t>SUM([tCO2eq])</t>
        </is>
      </c>
      <c r="D234" s="255" t="inlineStr">
        <is>
          <t>Scope 1+2+3 ESRS E1-6</t>
        </is>
      </c>
      <c r="E234" s="255" t="inlineStr">
        <is>
          <t>#,##0</t>
        </is>
      </c>
      <c r="F234" s="255" t="n"/>
      <c r="G234" s="255" t="n"/>
      <c r="H234" s="255" t="n"/>
      <c r="I234" s="255" t="n"/>
      <c r="J234" s="255" t="n"/>
      <c r="K234" s="255" t="n"/>
      <c r="L234" s="255" t="n"/>
      <c r="M234" s="255" t="n"/>
      <c r="N234" s="255" t="n"/>
      <c r="O234" s="255" t="n"/>
      <c r="P234" s="255" t="n"/>
      <c r="Q234" s="255" t="n"/>
      <c r="R234" s="255" t="n"/>
      <c r="S234" s="255" t="n"/>
      <c r="T234" s="255" t="n"/>
      <c r="U234" s="255" t="n"/>
      <c r="V234" s="255" t="n"/>
      <c r="W234" s="255" t="n"/>
      <c r="X234" s="255" t="n"/>
    </row>
    <row r="235" ht="14.1" customHeight="1" s="500">
      <c r="B235" s="272" t="inlineStr">
        <is>
          <t>Intensite_CO2</t>
        </is>
      </c>
      <c r="C235" s="644" t="inlineStr">
        <is>
          <t>DIVIDE([CO2_Total]*1000,[CA_Consolide],0)</t>
        </is>
      </c>
      <c r="D235" s="644" t="inlineStr">
        <is>
          <t>tCO2 par M€ CA</t>
        </is>
      </c>
      <c r="E235" s="644" t="n">
        <v>0</v>
      </c>
      <c r="F235" s="644" t="n"/>
      <c r="G235" s="644" t="n"/>
      <c r="H235" s="644" t="n"/>
      <c r="I235" s="644" t="n"/>
      <c r="J235" s="644" t="n"/>
      <c r="K235" s="644" t="n"/>
      <c r="L235" s="644" t="n"/>
      <c r="M235" s="644" t="n"/>
      <c r="N235" s="644" t="n"/>
      <c r="O235" s="644" t="n"/>
      <c r="P235" s="644" t="n"/>
      <c r="Q235" s="644" t="n"/>
      <c r="R235" s="644" t="n"/>
      <c r="S235" s="644" t="n"/>
      <c r="T235" s="644" t="n"/>
      <c r="U235" s="644" t="n"/>
      <c r="V235" s="644" t="n"/>
      <c r="W235" s="644" t="n"/>
      <c r="X235" s="644" t="n"/>
    </row>
    <row r="236" ht="14.1" customHeight="1" s="500">
      <c r="B236" s="273" t="inlineStr">
        <is>
          <t>Var_CA_N1</t>
        </is>
      </c>
      <c r="C236" s="255" t="inlineStr">
        <is>
          <t>DIVIDE([CA]-CALCULATE([CA],[Annee]=2024),CALCULATE([CA],[Annee]=2024),0)</t>
        </is>
      </c>
      <c r="D236" s="255" t="inlineStr">
        <is>
          <t>Variation CA vs N-1</t>
        </is>
      </c>
      <c r="E236" s="274" t="n">
        <v>0</v>
      </c>
      <c r="F236" s="255" t="n"/>
      <c r="G236" s="255" t="n"/>
      <c r="H236" s="255" t="n"/>
      <c r="I236" s="255" t="n"/>
      <c r="J236" s="255" t="n"/>
      <c r="K236" s="255" t="n"/>
      <c r="L236" s="255" t="n"/>
      <c r="M236" s="255" t="n"/>
      <c r="N236" s="255" t="n"/>
      <c r="O236" s="255" t="n"/>
      <c r="P236" s="255" t="n"/>
      <c r="Q236" s="255" t="n"/>
      <c r="R236" s="255" t="n"/>
      <c r="S236" s="255" t="n"/>
      <c r="T236" s="255" t="n"/>
      <c r="U236" s="255" t="n"/>
      <c r="V236" s="255" t="n"/>
      <c r="W236" s="255" t="n"/>
      <c r="X236" s="255" t="n"/>
    </row>
    <row r="237" ht="14.1" customHeight="1" s="500">
      <c r="B237" s="272" t="inlineStr">
        <is>
          <t>TX_Effectif_IS</t>
        </is>
      </c>
      <c r="C237" s="644" t="inlineStr">
        <is>
          <t>DIVIDE(ABS(CALCULATE(SUM([EUR]),[Cat]="Impots")),[Profit_avt],0)</t>
        </is>
      </c>
      <c r="D237" s="644" t="inlineStr">
        <is>
          <t>Taux IS effectif IAS 12</t>
        </is>
      </c>
      <c r="E237" s="230" t="n">
        <v>0</v>
      </c>
      <c r="F237" s="644" t="n"/>
      <c r="G237" s="644" t="n"/>
      <c r="H237" s="644" t="n"/>
      <c r="I237" s="644" t="n"/>
      <c r="J237" s="644" t="n"/>
      <c r="K237" s="644" t="n"/>
      <c r="L237" s="644" t="n"/>
      <c r="M237" s="644" t="n"/>
      <c r="N237" s="644" t="n"/>
      <c r="O237" s="644" t="n"/>
      <c r="P237" s="644" t="n"/>
      <c r="Q237" s="644" t="n"/>
      <c r="R237" s="644" t="n"/>
      <c r="S237" s="644" t="n"/>
      <c r="T237" s="644" t="n"/>
      <c r="U237" s="644" t="n"/>
      <c r="V237" s="644" t="n"/>
      <c r="W237" s="644" t="n"/>
      <c r="X237" s="644" t="n"/>
    </row>
    <row r="238" ht="14.1" customHeight="1" s="500">
      <c r="B238" s="273" t="inlineStr">
        <is>
          <t>CA_Bull</t>
        </is>
      </c>
      <c r="C238" s="255" t="inlineStr">
        <is>
          <t>CALCULATE([CA_Consolide],[Scenario]="Bull")</t>
        </is>
      </c>
      <c r="D238" s="255" t="inlineStr">
        <is>
          <t>CA scenario Bull +7%</t>
        </is>
      </c>
      <c r="E238" s="255" t="inlineStr">
        <is>
          <t>#,##0</t>
        </is>
      </c>
      <c r="F238" s="255" t="n"/>
      <c r="G238" s="255" t="n"/>
      <c r="H238" s="255" t="n"/>
      <c r="I238" s="255" t="n"/>
      <c r="J238" s="255" t="n"/>
      <c r="K238" s="255" t="n"/>
      <c r="L238" s="255" t="n"/>
      <c r="M238" s="255" t="n"/>
      <c r="N238" s="255" t="n"/>
      <c r="O238" s="255" t="n"/>
      <c r="P238" s="255" t="n"/>
      <c r="Q238" s="255" t="n"/>
      <c r="R238" s="255" t="n"/>
      <c r="S238" s="255" t="n"/>
      <c r="T238" s="255" t="n"/>
      <c r="U238" s="255" t="n"/>
      <c r="V238" s="255" t="n"/>
      <c r="W238" s="255" t="n"/>
      <c r="X238" s="255" t="n"/>
    </row>
    <row r="239" ht="14.1" customHeight="1" s="500">
      <c r="B239" s="272" t="inlineStr">
        <is>
          <t>CA_Bear</t>
        </is>
      </c>
      <c r="C239" s="644" t="inlineStr">
        <is>
          <t>CALCULATE([CA_Consolide],[Scenario]="Bear")</t>
        </is>
      </c>
      <c r="D239" s="644" t="inlineStr">
        <is>
          <t>CA scenario Bear -10%</t>
        </is>
      </c>
      <c r="E239" s="644" t="inlineStr">
        <is>
          <t>#,##0</t>
        </is>
      </c>
      <c r="F239" s="644" t="n"/>
      <c r="G239" s="644" t="n"/>
      <c r="H239" s="644" t="n"/>
      <c r="I239" s="644" t="n"/>
      <c r="J239" s="644" t="n"/>
      <c r="K239" s="644" t="n"/>
      <c r="L239" s="644" t="n"/>
      <c r="M239" s="644" t="n"/>
      <c r="N239" s="644" t="n"/>
      <c r="O239" s="644" t="n"/>
      <c r="P239" s="644" t="n"/>
      <c r="Q239" s="644" t="n"/>
      <c r="R239" s="644" t="n"/>
      <c r="S239" s="644" t="n"/>
      <c r="T239" s="644" t="n"/>
      <c r="U239" s="644" t="n"/>
      <c r="V239" s="644" t="n"/>
      <c r="W239" s="644" t="n"/>
      <c r="X239" s="644" t="n"/>
    </row>
    <row r="240" ht="14.1" customHeight="1" s="500">
      <c r="B240" s="273" t="inlineStr">
        <is>
          <t>Elim_IC</t>
        </is>
      </c>
      <c r="C240" s="255" t="inlineStr">
        <is>
          <t>CALCULATE(SUM([Elim. IC]),[Entite]="ELIM_IC")</t>
        </is>
      </c>
      <c r="D240" s="255" t="inlineStr">
        <is>
          <t>Eliminations IC IFRS 10</t>
        </is>
      </c>
      <c r="E240" s="255" t="inlineStr">
        <is>
          <t>#,##0</t>
        </is>
      </c>
      <c r="F240" s="255" t="n"/>
      <c r="G240" s="255" t="n"/>
      <c r="H240" s="255" t="n"/>
      <c r="I240" s="255" t="n"/>
      <c r="J240" s="255" t="n"/>
      <c r="K240" s="255" t="n"/>
      <c r="L240" s="255" t="n"/>
      <c r="M240" s="255" t="n"/>
      <c r="N240" s="255" t="n"/>
      <c r="O240" s="255" t="n"/>
      <c r="P240" s="255" t="n"/>
      <c r="Q240" s="255" t="n"/>
      <c r="R240" s="255" t="n"/>
      <c r="S240" s="255" t="n"/>
      <c r="T240" s="255" t="n"/>
      <c r="U240" s="255" t="n"/>
      <c r="V240" s="255" t="n"/>
      <c r="W240" s="255" t="n"/>
      <c r="X240" s="255" t="n"/>
    </row>
    <row r="241" ht="14.1" customHeight="1" s="500">
      <c r="B241" s="272" t="inlineStr">
        <is>
          <t>Levier_Proxy</t>
        </is>
      </c>
      <c r="C241" s="644" t="inlineStr">
        <is>
          <t>DIVIDE(ABS(CALCULATE(SUM([EUR]),[Poste]="Int.emprunt")),[EBITDA],0)*(-10)</t>
        </is>
      </c>
      <c r="D241" s="644" t="inlineStr">
        <is>
          <t>Proxy levier NDE/EBITDA</t>
        </is>
      </c>
      <c r="E241" s="644" t="inlineStr">
        <is>
          <t>0.0x</t>
        </is>
      </c>
      <c r="F241" s="644" t="n"/>
      <c r="G241" s="644" t="n"/>
      <c r="H241" s="644" t="n"/>
      <c r="I241" s="644" t="n"/>
      <c r="J241" s="644" t="n"/>
      <c r="K241" s="644" t="n"/>
      <c r="L241" s="644" t="n"/>
      <c r="M241" s="644" t="n"/>
      <c r="N241" s="644" t="n"/>
      <c r="O241" s="644" t="n"/>
      <c r="P241" s="644" t="n"/>
      <c r="Q241" s="644" t="n"/>
      <c r="R241" s="644" t="n"/>
      <c r="S241" s="644" t="n"/>
      <c r="T241" s="644" t="n"/>
      <c r="U241" s="644" t="n"/>
      <c r="V241" s="644" t="n"/>
      <c r="W241" s="644" t="n"/>
      <c r="X241" s="644" t="n"/>
    </row>
    <row r="242" ht="14.1" customHeight="1" s="500">
      <c r="B242" s="273" t="inlineStr">
        <is>
          <t>CO2_vs_Obj2030</t>
        </is>
      </c>
      <c r="C242" s="255" t="inlineStr">
        <is>
          <t>DIVIDE([CO2_Total],381500,0)-1</t>
        </is>
      </c>
      <c r="D242" s="255" t="inlineStr">
        <is>
          <t>Ecart vs objectif 2030</t>
        </is>
      </c>
      <c r="E242" s="274" t="n">
        <v>0</v>
      </c>
      <c r="F242" s="255" t="n"/>
      <c r="G242" s="255" t="n"/>
      <c r="H242" s="255" t="n"/>
      <c r="I242" s="255" t="n"/>
      <c r="J242" s="255" t="n"/>
      <c r="K242" s="255" t="n"/>
      <c r="L242" s="255" t="n"/>
      <c r="M242" s="255" t="n"/>
      <c r="N242" s="255" t="n"/>
      <c r="O242" s="255" t="n"/>
      <c r="P242" s="255" t="n"/>
      <c r="Q242" s="255" t="n"/>
      <c r="R242" s="255" t="n"/>
      <c r="S242" s="255" t="n"/>
      <c r="T242" s="255" t="n"/>
      <c r="U242" s="255" t="n"/>
      <c r="V242" s="255" t="n"/>
      <c r="W242" s="255" t="n"/>
      <c r="X242" s="255" t="n"/>
    </row>
    <row r="243" ht="14.1" customHeight="1" s="500">
      <c r="B243" s="272" t="inlineStr">
        <is>
          <t>KPI_Status</t>
        </is>
      </c>
      <c r="C243" s="644" t="inlineStr">
        <is>
          <t>IF([CA_Consolide]&gt;850000,"OK",IF([CA_Consolide]&gt;780000,"CIBLE","ALERTE"))</t>
        </is>
      </c>
      <c r="D243" s="644" t="inlineStr">
        <is>
          <t>Statut KPI tri-couleur</t>
        </is>
      </c>
      <c r="E243" s="644" t="inlineStr">
        <is>
          <t>@</t>
        </is>
      </c>
      <c r="F243" s="644" t="n"/>
      <c r="G243" s="644" t="n"/>
      <c r="H243" s="644" t="n"/>
      <c r="I243" s="644" t="n"/>
      <c r="J243" s="644" t="n"/>
      <c r="K243" s="644" t="n"/>
      <c r="L243" s="644" t="n"/>
      <c r="M243" s="644" t="n"/>
      <c r="N243" s="644" t="n"/>
      <c r="O243" s="644" t="n"/>
      <c r="P243" s="644" t="n"/>
      <c r="Q243" s="644" t="n"/>
      <c r="R243" s="644" t="n"/>
      <c r="S243" s="644" t="n"/>
      <c r="T243" s="644" t="n"/>
      <c r="U243" s="644" t="n"/>
      <c r="V243" s="644" t="n"/>
      <c r="W243" s="644" t="n"/>
      <c r="X243" s="644" t="n"/>
    </row>
    <row r="244" ht="15" customHeight="1" s="500"/>
    <row r="245" ht="21.95" customHeight="1" s="500">
      <c r="B245" s="294" t="inlineStr">
        <is>
          <t>✅  DASHBOARD COMPLET · IFRS 18 §65 · IAS 21 · IFRS 10/16 · ESRS E1-6 · Power Pivot DAX · Groupe Multinational 2025 · Upload pour Étape 6 →</t>
        </is>
      </c>
      <c r="C245" s="294" t="n"/>
      <c r="D245" s="294" t="n"/>
      <c r="E245" s="294" t="n"/>
      <c r="F245" s="294" t="n"/>
      <c r="G245" s="294" t="n"/>
      <c r="H245" s="294" t="n"/>
      <c r="I245" s="294" t="n"/>
      <c r="J245" s="294" t="n"/>
      <c r="K245" s="294" t="n"/>
      <c r="L245" s="294" t="n"/>
      <c r="M245" s="294" t="n"/>
      <c r="N245" s="294" t="n"/>
      <c r="O245" s="294" t="n"/>
      <c r="P245" s="294" t="n"/>
      <c r="Q245" s="294" t="n"/>
      <c r="R245" s="294" t="n"/>
      <c r="S245" s="294" t="n"/>
      <c r="T245" s="294" t="n"/>
      <c r="U245" s="294" t="n"/>
      <c r="V245" s="294" t="n"/>
      <c r="W245" s="294" t="n"/>
      <c r="X245" s="294" t="n"/>
    </row>
    <row r="246" ht="15" customHeight="1" s="500"/>
    <row r="247" ht="15" customHeight="1" s="500"/>
    <row r="248" ht="15" customHeight="1" s="500"/>
    <row r="249" ht="15" customHeight="1" s="500"/>
    <row r="250" ht="15" customHeight="1" s="500"/>
    <row r="251" ht="15" customHeight="1" s="500"/>
    <row r="252" ht="15" customHeight="1" s="500"/>
    <row r="253" ht="15" customHeight="1" s="500"/>
    <row r="254" ht="15" customHeight="1" s="500"/>
    <row r="255" ht="15" customHeight="1" s="500"/>
    <row r="256" ht="15" customHeight="1" s="500"/>
    <row r="257" ht="15" customHeight="1" s="500"/>
    <row r="258" ht="15" customHeight="1" s="500"/>
    <row r="259" ht="15" customHeight="1" s="500"/>
    <row r="260" ht="15" customHeight="1" s="500"/>
    <row r="261" ht="15" customHeight="1" s="500"/>
    <row r="262" ht="15" customHeight="1" s="500"/>
    <row r="263" ht="15" customHeight="1" s="500"/>
    <row r="264" ht="15" customHeight="1" s="500"/>
    <row r="265" ht="15" customHeight="1" s="500"/>
    <row r="266" ht="15" customHeight="1" s="500"/>
    <row r="267" ht="15" customHeight="1" s="500"/>
    <row r="268" ht="15" customHeight="1" s="500"/>
    <row r="269" ht="15" customHeight="1" s="500"/>
    <row r="270" ht="15" customHeight="1" s="500"/>
    <row r="271" ht="15" customHeight="1" s="500"/>
    <row r="272" ht="15" customHeight="1" s="500"/>
    <row r="273" ht="15" customHeight="1" s="500"/>
    <row r="274" ht="15" customHeight="1" s="500"/>
    <row r="275" ht="15" customHeight="1" s="500"/>
    <row r="276" ht="15" customHeight="1" s="500"/>
    <row r="277" ht="15" customHeight="1" s="500"/>
    <row r="278" ht="15" customHeight="1" s="500"/>
    <row r="279" ht="15" customHeight="1" s="500"/>
    <row r="280" ht="15" customHeight="1" s="500"/>
    <row r="281" ht="15" customHeight="1" s="500"/>
    <row r="282" ht="15" customHeight="1" s="500"/>
    <row r="283" ht="15" customHeight="1" s="500"/>
    <row r="284" ht="15" customHeight="1" s="500"/>
    <row r="285" ht="15" customHeight="1" s="500"/>
    <row r="286" ht="15" customHeight="1" s="500"/>
    <row r="287" ht="15" customHeight="1" s="500"/>
    <row r="288" ht="15" customHeight="1" s="500"/>
    <row r="289" ht="15" customHeight="1" s="500"/>
    <row r="290" ht="15" customHeight="1" s="500"/>
    <row r="291" ht="15" customHeight="1" s="500"/>
    <row r="292" ht="15" customHeight="1" s="500"/>
    <row r="293" ht="15" customHeight="1" s="500"/>
    <row r="294" ht="15" customHeight="1" s="500"/>
    <row r="295" ht="15" customHeight="1" s="500"/>
    <row r="296" ht="15" customHeight="1" s="500"/>
    <row r="297" ht="15" customHeight="1" s="500"/>
    <row r="298" ht="15" customHeight="1" s="500"/>
    <row r="299" ht="15" customHeight="1" s="500"/>
    <row r="300" ht="15" customHeight="1" s="500"/>
    <row r="301" ht="15" customHeight="1" s="500"/>
    <row r="302" ht="15" customHeight="1" s="500"/>
    <row r="303" ht="15" customHeight="1" s="500"/>
    <row r="304" ht="15" customHeight="1" s="500"/>
    <row r="305" ht="15" customHeight="1" s="500"/>
    <row r="306" ht="15" customHeight="1" s="500"/>
    <row r="307" ht="15" customHeight="1" s="500"/>
    <row r="308" ht="15" customHeight="1" s="500"/>
    <row r="309" ht="15" customHeight="1" s="500"/>
    <row r="310" ht="15" customHeight="1" s="500"/>
    <row r="311" ht="15" customHeight="1" s="500"/>
    <row r="312" ht="15" customHeight="1" s="500"/>
    <row r="313" ht="15" customHeight="1" s="500"/>
    <row r="314" ht="15" customHeight="1" s="500"/>
    <row r="315" ht="15" customHeight="1" s="500"/>
    <row r="316" ht="15" customHeight="1" s="500"/>
    <row r="317" ht="15" customHeight="1" s="500"/>
    <row r="318" ht="15" customHeight="1" s="500"/>
    <row r="319" ht="15" customHeight="1" s="500"/>
    <row r="320" ht="15" customHeight="1" s="500"/>
    <row r="321" ht="15" customHeight="1" s="500"/>
    <row r="322" ht="15" customHeight="1" s="500"/>
    <row r="323" ht="15" customHeight="1" s="500"/>
    <row r="324" ht="15" customHeight="1" s="500"/>
    <row r="325" ht="15" customHeight="1" s="500"/>
    <row r="326" ht="15" customHeight="1" s="500"/>
    <row r="327" ht="15" customHeight="1" s="500"/>
    <row r="328" ht="15" customHeight="1" s="500"/>
    <row r="329" ht="15" customHeight="1" s="500"/>
    <row r="330" ht="15" customHeight="1" s="500"/>
    <row r="331" ht="15" customHeight="1" s="500"/>
    <row r="332" ht="15" customHeight="1" s="500"/>
    <row r="333" ht="15" customHeight="1" s="500"/>
    <row r="334" ht="15" customHeight="1" s="500"/>
    <row r="335" ht="15" customHeight="1" s="500"/>
    <row r="336" ht="15" customHeight="1" s="500"/>
    <row r="337" ht="15" customHeight="1" s="500"/>
    <row r="338" ht="15" customHeight="1" s="500"/>
    <row r="339" ht="15" customHeight="1" s="500"/>
    <row r="340" ht="15" customHeight="1" s="500"/>
    <row r="341" ht="15" customHeight="1" s="500"/>
    <row r="342" ht="15" customHeight="1" s="500"/>
    <row r="343" ht="15" customHeight="1" s="500"/>
    <row r="344" ht="15" customHeight="1" s="500"/>
    <row r="345" ht="15" customHeight="1" s="500"/>
    <row r="346" ht="15" customHeight="1" s="500"/>
    <row r="347" ht="15" customHeight="1" s="500"/>
    <row r="348" ht="15" customHeight="1" s="500"/>
    <row r="349" ht="15" customHeight="1" s="500"/>
    <row r="350" ht="15" customHeight="1" s="500"/>
    <row r="351" ht="15" customHeight="1" s="500"/>
    <row r="352" ht="15" customHeight="1" s="500"/>
    <row r="353" ht="15" customHeight="1" s="500"/>
    <row r="354" ht="15" customHeight="1" s="500"/>
    <row r="355" ht="15" customHeight="1" s="500"/>
    <row r="356" ht="15" customHeight="1" s="500"/>
    <row r="357" ht="15" customHeight="1" s="500"/>
    <row r="358" ht="15" customHeight="1" s="500"/>
    <row r="359" ht="15" customHeight="1" s="500"/>
    <row r="360" ht="15" customHeight="1" s="500"/>
    <row r="361" ht="15" customHeight="1" s="500"/>
    <row r="362" ht="15" customHeight="1" s="500"/>
    <row r="363" ht="15" customHeight="1" s="500"/>
    <row r="364" ht="15" customHeight="1" s="500"/>
    <row r="365" ht="15" customHeight="1" s="500"/>
    <row r="366" ht="15" customHeight="1" s="500"/>
    <row r="367" ht="15" customHeight="1" s="500"/>
    <row r="368" ht="15" customHeight="1" s="500"/>
    <row r="369" ht="15" customHeight="1" s="500"/>
    <row r="370" ht="15" customHeight="1" s="500"/>
    <row r="371" ht="15" customHeight="1" s="500"/>
    <row r="372" ht="15" customHeight="1" s="500"/>
    <row r="373" ht="15" customHeight="1" s="500"/>
    <row r="374" ht="15" customHeight="1" s="500"/>
    <row r="375" ht="15" customHeight="1" s="500"/>
    <row r="376" ht="15" customHeight="1" s="500"/>
    <row r="377" ht="15" customHeight="1" s="500"/>
    <row r="378" ht="15" customHeight="1" s="500"/>
    <row r="379" ht="15" customHeight="1" s="500"/>
    <row r="380" ht="15" customHeight="1" s="500"/>
    <row r="381" ht="15" customHeight="1" s="500"/>
    <row r="382" ht="15" customHeight="1" s="500"/>
    <row r="383" ht="15" customHeight="1" s="500"/>
    <row r="384" ht="15" customHeight="1" s="500"/>
    <row r="385" ht="15" customHeight="1" s="500"/>
    <row r="386" ht="15" customHeight="1" s="500"/>
    <row r="387" ht="15" customHeight="1" s="500"/>
    <row r="388" ht="15" customHeight="1" s="500"/>
    <row r="389" ht="15" customHeight="1" s="500"/>
    <row r="390" ht="15" customHeight="1" s="500"/>
    <row r="391" ht="15" customHeight="1" s="500"/>
    <row r="392" ht="15" customHeight="1" s="500"/>
    <row r="393" ht="15" customHeight="1" s="500"/>
    <row r="394" ht="15" customHeight="1" s="500"/>
    <row r="395" ht="15" customHeight="1" s="500"/>
    <row r="396" ht="15" customHeight="1" s="500"/>
    <row r="397" ht="15" customHeight="1" s="500"/>
    <row r="398" ht="15" customHeight="1" s="500"/>
    <row r="399" ht="15" customHeight="1" s="500"/>
    <row r="400" ht="15" customHeight="1" s="500"/>
    <row r="401" ht="15" customHeight="1" s="500"/>
    <row r="402" ht="15" customHeight="1" s="500"/>
    <row r="403" ht="15" customHeight="1" s="500"/>
    <row r="404" ht="15" customHeight="1" s="500"/>
    <row r="405" ht="15" customHeight="1" s="500"/>
    <row r="406" ht="15" customHeight="1" s="500"/>
    <row r="407" ht="15" customHeight="1" s="500"/>
    <row r="408" ht="15" customHeight="1" s="500"/>
    <row r="409" ht="15" customHeight="1" s="500"/>
    <row r="410" ht="15" customHeight="1" s="500"/>
    <row r="411" ht="15" customHeight="1" s="500"/>
    <row r="412" ht="15" customHeight="1" s="500"/>
    <row r="413" ht="15" customHeight="1" s="500"/>
    <row r="414" ht="15" customHeight="1" s="500"/>
    <row r="415" ht="15" customHeight="1" s="500"/>
    <row r="416" ht="15" customHeight="1" s="500"/>
    <row r="417" ht="15" customHeight="1" s="500"/>
    <row r="418" ht="15" customHeight="1" s="500"/>
    <row r="419" ht="15" customHeight="1" s="500"/>
    <row r="420" ht="15" customHeight="1" s="500"/>
    <row r="421" ht="15" customHeight="1" s="500"/>
    <row r="422" ht="15" customHeight="1" s="500"/>
    <row r="423" ht="15" customHeight="1" s="500"/>
    <row r="424" ht="15" customHeight="1" s="500"/>
    <row r="425" ht="15" customHeight="1" s="500"/>
    <row r="426" ht="15" customHeight="1" s="500"/>
    <row r="427" ht="15" customHeight="1" s="500"/>
    <row r="428" ht="15" customHeight="1" s="500"/>
    <row r="429" ht="15" customHeight="1" s="500"/>
    <row r="430" ht="15" customHeight="1" s="500"/>
    <row r="431" ht="15" customHeight="1" s="500"/>
    <row r="432" ht="15" customHeight="1" s="500"/>
    <row r="433" ht="15" customHeight="1" s="500"/>
    <row r="434" ht="15" customHeight="1" s="500"/>
    <row r="435" ht="15" customHeight="1" s="500"/>
    <row r="436" ht="15" customHeight="1" s="500"/>
    <row r="437" ht="15" customHeight="1" s="500"/>
    <row r="438" ht="15" customHeight="1" s="500"/>
    <row r="439" ht="15" customHeight="1" s="500"/>
    <row r="440" ht="15" customHeight="1" s="500"/>
    <row r="441" ht="15" customHeight="1" s="500"/>
    <row r="442" ht="15" customHeight="1" s="500"/>
    <row r="443" ht="15" customHeight="1" s="500"/>
    <row r="444" ht="15" customHeight="1" s="500"/>
    <row r="445" ht="15" customHeight="1" s="500"/>
    <row r="446" ht="15" customHeight="1" s="500"/>
    <row r="447" ht="15" customHeight="1" s="500"/>
    <row r="448" ht="15" customHeight="1" s="500"/>
    <row r="449" ht="15" customHeight="1" s="500"/>
    <row r="450" ht="15" customHeight="1" s="500"/>
    <row r="451" ht="15" customHeight="1" s="500"/>
    <row r="452" ht="15" customHeight="1" s="500"/>
    <row r="453" ht="15" customHeight="1" s="500"/>
    <row r="454" ht="15" customHeight="1" s="500"/>
    <row r="455" ht="15" customHeight="1" s="500"/>
    <row r="456" ht="15" customHeight="1" s="500"/>
    <row r="457" ht="15" customHeight="1" s="500"/>
    <row r="458" ht="15" customHeight="1" s="500"/>
    <row r="459" ht="15" customHeight="1" s="500"/>
    <row r="460" ht="15" customHeight="1" s="500"/>
    <row r="461" ht="15" customHeight="1" s="500"/>
    <row r="462" ht="15" customHeight="1" s="500"/>
    <row r="463" ht="15" customHeight="1" s="500"/>
    <row r="464" ht="15" customHeight="1" s="500"/>
    <row r="465" ht="15" customHeight="1" s="500"/>
    <row r="466" ht="15" customHeight="1" s="500"/>
    <row r="467" ht="15" customHeight="1" s="500"/>
    <row r="468" ht="15" customHeight="1" s="500"/>
    <row r="469" ht="15" customHeight="1" s="500"/>
    <row r="470" ht="15" customHeight="1" s="500"/>
    <row r="471" ht="15" customHeight="1" s="500"/>
    <row r="472" ht="15" customHeight="1" s="500"/>
    <row r="473" ht="15" customHeight="1" s="500"/>
    <row r="474" ht="15" customHeight="1" s="500"/>
    <row r="475" ht="15" customHeight="1" s="500"/>
    <row r="476" ht="15" customHeight="1" s="500"/>
    <row r="477" ht="15" customHeight="1" s="500"/>
    <row r="478" ht="15" customHeight="1" s="500"/>
    <row r="479" ht="15" customHeight="1" s="500"/>
    <row r="480" ht="15" customHeight="1" s="500"/>
    <row r="481" ht="15" customHeight="1" s="500"/>
    <row r="482" ht="15" customHeight="1" s="500"/>
    <row r="483" ht="15" customHeight="1" s="500"/>
    <row r="484" ht="15" customHeight="1" s="500"/>
    <row r="485" ht="15" customHeight="1" s="500"/>
    <row r="486" ht="15" customHeight="1" s="500"/>
    <row r="487" ht="15" customHeight="1" s="500"/>
    <row r="488" ht="15" customHeight="1" s="500"/>
    <row r="489" ht="15" customHeight="1" s="500"/>
    <row r="490" ht="15" customHeight="1" s="500"/>
    <row r="491" ht="15" customHeight="1" s="500"/>
    <row r="492" ht="15" customHeight="1" s="500"/>
    <row r="493" ht="15" customHeight="1" s="500"/>
    <row r="494" ht="15" customHeight="1" s="500"/>
    <row r="495" ht="15" customHeight="1" s="500"/>
    <row r="496" ht="15" customHeight="1" s="500"/>
    <row r="497" ht="15" customHeight="1" s="500"/>
    <row r="498" ht="15" customHeight="1" s="500"/>
    <row r="499" ht="15" customHeight="1" s="500"/>
    <row r="500" ht="15" customHeight="1" s="500"/>
    <row r="501" ht="15" customHeight="1" s="500"/>
    <row r="502" ht="15" customHeight="1" s="500"/>
    <row r="503" ht="15" customHeight="1" s="500"/>
    <row r="504" ht="15" customHeight="1" s="500"/>
    <row r="505" ht="15" customHeight="1" s="500"/>
    <row r="506" ht="15" customHeight="1" s="500"/>
    <row r="507" ht="15" customHeight="1" s="500"/>
    <row r="508" ht="15" customHeight="1" s="500"/>
    <row r="509" ht="15" customHeight="1" s="500"/>
    <row r="510" ht="15" customHeight="1" s="500"/>
    <row r="511" ht="15" customHeight="1" s="500"/>
    <row r="512" ht="15" customHeight="1" s="500"/>
    <row r="513" ht="15" customHeight="1" s="500"/>
    <row r="514" ht="15" customHeight="1" s="500"/>
    <row r="515" ht="15" customHeight="1" s="500"/>
    <row r="516" ht="15" customHeight="1" s="500"/>
    <row r="517" ht="15" customHeight="1" s="500"/>
    <row r="518" ht="15" customHeight="1" s="500"/>
    <row r="519" ht="15" customHeight="1" s="500"/>
    <row r="520" ht="15" customHeight="1" s="500"/>
    <row r="521" ht="15" customHeight="1" s="500"/>
    <row r="522" ht="15" customHeight="1" s="500"/>
    <row r="523" ht="15" customHeight="1" s="500"/>
    <row r="524" ht="15" customHeight="1" s="500"/>
    <row r="525" ht="15" customHeight="1" s="500"/>
    <row r="526" ht="15" customHeight="1" s="500"/>
    <row r="527" ht="15" customHeight="1" s="500"/>
    <row r="528" ht="15" customHeight="1" s="500"/>
    <row r="529" ht="15" customHeight="1" s="500"/>
    <row r="530" ht="15" customHeight="1" s="500"/>
    <row r="531" ht="15" customHeight="1" s="500"/>
    <row r="532" ht="15" customHeight="1" s="500"/>
    <row r="533" ht="15" customHeight="1" s="500"/>
    <row r="534" ht="15" customHeight="1" s="500"/>
    <row r="535" ht="15" customHeight="1" s="500"/>
    <row r="536" ht="15" customHeight="1" s="500"/>
    <row r="537" ht="15" customHeight="1" s="500"/>
    <row r="538" ht="15" customHeight="1" s="500"/>
    <row r="539" ht="15" customHeight="1" s="500"/>
    <row r="540" ht="15" customHeight="1" s="500"/>
    <row r="541" ht="15" customHeight="1" s="500"/>
    <row r="542" ht="15" customHeight="1" s="500"/>
    <row r="543" ht="15" customHeight="1" s="500"/>
    <row r="544" ht="15" customHeight="1" s="500"/>
    <row r="545" ht="15" customHeight="1" s="500"/>
    <row r="546" ht="15" customHeight="1" s="500"/>
    <row r="547" ht="15" customHeight="1" s="500"/>
    <row r="548" ht="15" customHeight="1" s="500"/>
    <row r="549" ht="15" customHeight="1" s="500"/>
    <row r="550" ht="15" customHeight="1" s="500"/>
    <row r="551" ht="15" customHeight="1" s="500"/>
    <row r="552" ht="15" customHeight="1" s="500"/>
    <row r="553" ht="15" customHeight="1" s="500"/>
    <row r="554" ht="15" customHeight="1" s="500"/>
    <row r="555" ht="15" customHeight="1" s="500"/>
    <row r="556" ht="15" customHeight="1" s="500"/>
    <row r="557" ht="15" customHeight="1" s="500"/>
    <row r="558" ht="15" customHeight="1" s="500"/>
    <row r="559" ht="15" customHeight="1" s="500"/>
    <row r="560" ht="15" customHeight="1" s="500"/>
    <row r="561" ht="15" customHeight="1" s="500"/>
    <row r="562" ht="15" customHeight="1" s="500"/>
    <row r="563" ht="15" customHeight="1" s="500"/>
    <row r="564" ht="15" customHeight="1" s="500"/>
    <row r="565" ht="15" customHeight="1" s="500"/>
    <row r="566" ht="15" customHeight="1" s="500"/>
    <row r="567" ht="15" customHeight="1" s="500"/>
    <row r="568" ht="15" customHeight="1" s="500"/>
    <row r="569" ht="15" customHeight="1" s="500"/>
    <row r="570" ht="15" customHeight="1" s="500"/>
    <row r="571" ht="15" customHeight="1" s="500"/>
    <row r="572" ht="15" customHeight="1" s="500"/>
    <row r="573" ht="15" customHeight="1" s="500"/>
    <row r="574" ht="15" customHeight="1" s="500"/>
    <row r="575" ht="15" customHeight="1" s="500"/>
    <row r="576" ht="15" customHeight="1" s="500"/>
    <row r="577" ht="15" customHeight="1" s="500"/>
    <row r="578" ht="15" customHeight="1" s="500"/>
    <row r="579" ht="15" customHeight="1" s="500"/>
    <row r="580" ht="15" customHeight="1" s="500"/>
    <row r="581" ht="15" customHeight="1" s="500"/>
    <row r="582" ht="15" customHeight="1" s="500"/>
    <row r="583" ht="15" customHeight="1" s="500"/>
    <row r="584" ht="15" customHeight="1" s="500"/>
    <row r="585" ht="15" customHeight="1" s="500"/>
    <row r="586" ht="15" customHeight="1" s="500"/>
    <row r="587" ht="15" customHeight="1" s="500"/>
    <row r="588" ht="15" customHeight="1" s="500"/>
    <row r="589" ht="15" customHeight="1" s="500"/>
    <row r="590" ht="15" customHeight="1" s="500"/>
    <row r="591" ht="15" customHeight="1" s="500"/>
    <row r="592" ht="15" customHeight="1" s="500"/>
    <row r="593" ht="15" customHeight="1" s="500"/>
    <row r="594" ht="15" customHeight="1" s="500"/>
    <row r="595" ht="15" customHeight="1" s="500"/>
    <row r="596" ht="15" customHeight="1" s="500"/>
    <row r="597" ht="15" customHeight="1" s="500"/>
    <row r="598" ht="15" customHeight="1" s="500"/>
    <row r="599" ht="15" customHeight="1" s="500"/>
    <row r="600" ht="15" customHeight="1" s="500"/>
    <row r="601" ht="15" customHeight="1" s="500"/>
    <row r="602" ht="15" customHeight="1" s="500"/>
    <row r="603" ht="15" customHeight="1" s="500"/>
    <row r="604" ht="15" customHeight="1" s="500"/>
    <row r="605" ht="15" customHeight="1" s="500"/>
    <row r="606" ht="15" customHeight="1" s="500"/>
    <row r="607" ht="15" customHeight="1" s="500"/>
    <row r="608" ht="15" customHeight="1" s="500"/>
    <row r="609" ht="15" customHeight="1" s="500"/>
    <row r="610" ht="15" customHeight="1" s="500"/>
    <row r="611" ht="15" customHeight="1" s="500"/>
    <row r="612" ht="15" customHeight="1" s="500"/>
    <row r="613" ht="15" customHeight="1" s="500"/>
    <row r="614" ht="15" customHeight="1" s="500"/>
    <row r="615" ht="15" customHeight="1" s="500"/>
    <row r="616" ht="15" customHeight="1" s="500"/>
    <row r="617" ht="15" customHeight="1" s="500"/>
    <row r="618" ht="15" customHeight="1" s="500"/>
    <row r="619" ht="15" customHeight="1" s="500"/>
    <row r="620" ht="15" customHeight="1" s="500"/>
    <row r="621" ht="15" customHeight="1" s="500"/>
    <row r="622" ht="15" customHeight="1" s="500"/>
    <row r="623" ht="15" customHeight="1" s="500"/>
    <row r="624" ht="15" customHeight="1" s="500"/>
    <row r="625" ht="15" customHeight="1" s="500"/>
    <row r="626" ht="15" customHeight="1" s="500"/>
    <row r="627" ht="15" customHeight="1" s="500"/>
    <row r="628" ht="15" customHeight="1" s="500"/>
    <row r="629" ht="15" customHeight="1" s="500"/>
    <row r="630" ht="15" customHeight="1" s="500"/>
    <row r="631" ht="15" customHeight="1" s="500"/>
    <row r="632" ht="15" customHeight="1" s="500"/>
    <row r="633" ht="15" customHeight="1" s="500"/>
    <row r="634" ht="15" customHeight="1" s="500"/>
    <row r="635" ht="15" customHeight="1" s="500"/>
    <row r="636" ht="15" customHeight="1" s="500"/>
    <row r="637" ht="15" customHeight="1" s="500"/>
    <row r="638" ht="15" customHeight="1" s="500"/>
    <row r="639" ht="15" customHeight="1" s="500"/>
    <row r="640" ht="15" customHeight="1" s="500"/>
    <row r="641" ht="15" customHeight="1" s="500"/>
    <row r="642" ht="15" customHeight="1" s="500"/>
    <row r="643" ht="15" customHeight="1" s="500"/>
    <row r="644" ht="15" customHeight="1" s="500"/>
    <row r="645" ht="15" customHeight="1" s="500"/>
    <row r="646" ht="15" customHeight="1" s="500"/>
    <row r="647" ht="15" customHeight="1" s="500"/>
    <row r="648" ht="15" customHeight="1" s="500"/>
    <row r="649" ht="15" customHeight="1" s="500"/>
    <row r="650" ht="15" customHeight="1" s="500"/>
    <row r="651" ht="15" customHeight="1" s="500"/>
    <row r="652" ht="15" customHeight="1" s="500"/>
    <row r="653" ht="15" customHeight="1" s="500"/>
    <row r="654" ht="15" customHeight="1" s="500"/>
    <row r="655" ht="15" customHeight="1" s="500"/>
    <row r="656" ht="15" customHeight="1" s="500"/>
    <row r="657" ht="15" customHeight="1" s="500"/>
    <row r="658" ht="15" customHeight="1" s="500"/>
    <row r="659" ht="15" customHeight="1" s="500"/>
    <row r="660" ht="15" customHeight="1" s="500"/>
    <row r="661" ht="15" customHeight="1" s="500"/>
    <row r="662" ht="15" customHeight="1" s="500"/>
    <row r="663" ht="15" customHeight="1" s="500"/>
    <row r="664" ht="15" customHeight="1" s="500"/>
    <row r="665" ht="15" customHeight="1" s="500"/>
    <row r="666" ht="15" customHeight="1" s="500"/>
    <row r="667" ht="15" customHeight="1" s="500"/>
    <row r="668" ht="15" customHeight="1" s="500"/>
    <row r="669" ht="15" customHeight="1" s="500"/>
    <row r="670" ht="15" customHeight="1" s="500"/>
    <row r="671" ht="15" customHeight="1" s="500"/>
    <row r="672" ht="15" customHeight="1" s="500"/>
    <row r="673" ht="15" customHeight="1" s="500"/>
    <row r="674" ht="15" customHeight="1" s="500"/>
    <row r="675" ht="15" customHeight="1" s="500"/>
    <row r="676" ht="15" customHeight="1" s="500"/>
    <row r="677" ht="15" customHeight="1" s="500"/>
    <row r="678" ht="15" customHeight="1" s="500"/>
    <row r="679" ht="15" customHeight="1" s="500"/>
    <row r="680" ht="15" customHeight="1" s="500"/>
    <row r="681" ht="15" customHeight="1" s="500"/>
    <row r="682" ht="15" customHeight="1" s="500"/>
    <row r="683" ht="15" customHeight="1" s="500"/>
    <row r="684" ht="15" customHeight="1" s="500"/>
    <row r="685" ht="15" customHeight="1" s="500"/>
    <row r="686" ht="15" customHeight="1" s="500"/>
    <row r="687" ht="15" customHeight="1" s="500"/>
    <row r="688" ht="15" customHeight="1" s="500"/>
    <row r="689" ht="15" customHeight="1" s="500"/>
    <row r="690" ht="15" customHeight="1" s="500"/>
    <row r="691" ht="15" customHeight="1" s="500"/>
    <row r="692" ht="15" customHeight="1" s="500"/>
    <row r="693" ht="15" customHeight="1" s="500"/>
    <row r="694" ht="15" customHeight="1" s="500"/>
    <row r="695" ht="15" customHeight="1" s="500"/>
    <row r="696" ht="15" customHeight="1" s="500"/>
    <row r="697" ht="15" customHeight="1" s="500"/>
    <row r="698" ht="15" customHeight="1" s="500"/>
    <row r="699" ht="15" customHeight="1" s="500"/>
    <row r="700" ht="15" customHeight="1" s="500"/>
    <row r="701" ht="15" customHeight="1" s="500"/>
    <row r="702" ht="15" customHeight="1" s="500"/>
    <row r="703" ht="15" customHeight="1" s="500"/>
    <row r="704" ht="15" customHeight="1" s="500"/>
    <row r="705" ht="15" customHeight="1" s="500"/>
    <row r="706" ht="15" customHeight="1" s="500"/>
    <row r="707" ht="15" customHeight="1" s="500"/>
    <row r="708" ht="15" customHeight="1" s="500"/>
    <row r="709" ht="15" customHeight="1" s="500"/>
    <row r="710" ht="15" customHeight="1" s="500"/>
    <row r="711" ht="15" customHeight="1" s="500"/>
    <row r="712" ht="15" customHeight="1" s="500"/>
    <row r="713" ht="15" customHeight="1" s="500"/>
    <row r="714" ht="15" customHeight="1" s="500"/>
    <row r="715" ht="15" customHeight="1" s="500"/>
    <row r="716" ht="15" customHeight="1" s="500"/>
    <row r="717" ht="15" customHeight="1" s="500"/>
    <row r="718" ht="15" customHeight="1" s="500"/>
    <row r="719" ht="15" customHeight="1" s="500"/>
    <row r="720" ht="15" customHeight="1" s="500"/>
    <row r="721" ht="15" customHeight="1" s="500"/>
    <row r="722" ht="15" customHeight="1" s="500"/>
    <row r="723" ht="15" customHeight="1" s="500"/>
    <row r="724" ht="15" customHeight="1" s="500"/>
    <row r="725" ht="15" customHeight="1" s="500"/>
    <row r="726" ht="15" customHeight="1" s="500"/>
    <row r="727" ht="15" customHeight="1" s="500"/>
    <row r="728" ht="15" customHeight="1" s="500"/>
    <row r="729" ht="15" customHeight="1" s="500"/>
    <row r="730" ht="15" customHeight="1" s="500"/>
    <row r="731" ht="15" customHeight="1" s="500"/>
    <row r="732" ht="15" customHeight="1" s="500"/>
    <row r="733" ht="15" customHeight="1" s="500"/>
    <row r="734" ht="15" customHeight="1" s="500"/>
    <row r="735" ht="15" customHeight="1" s="500"/>
    <row r="736" ht="15" customHeight="1" s="500"/>
    <row r="737" ht="15" customHeight="1" s="500"/>
    <row r="738" ht="15" customHeight="1" s="500"/>
    <row r="739" ht="15" customHeight="1" s="500"/>
    <row r="740" ht="15" customHeight="1" s="500"/>
    <row r="741" ht="15" customHeight="1" s="500"/>
    <row r="742" ht="15" customHeight="1" s="500"/>
    <row r="743" ht="15" customHeight="1" s="500"/>
    <row r="744" ht="15" customHeight="1" s="500"/>
    <row r="745" ht="15" customHeight="1" s="500"/>
    <row r="746" ht="15" customHeight="1" s="500"/>
    <row r="747" ht="15" customHeight="1" s="500"/>
    <row r="748" ht="15" customHeight="1" s="500"/>
    <row r="749" ht="15" customHeight="1" s="500"/>
    <row r="750" ht="15" customHeight="1" s="500"/>
    <row r="751" ht="15" customHeight="1" s="500"/>
    <row r="752" ht="15" customHeight="1" s="500"/>
    <row r="753" ht="15" customHeight="1" s="500"/>
    <row r="754" ht="15" customHeight="1" s="500"/>
    <row r="755" ht="15" customHeight="1" s="500"/>
    <row r="756" ht="15" customHeight="1" s="500"/>
    <row r="757" ht="15" customHeight="1" s="500"/>
    <row r="758" ht="15" customHeight="1" s="500"/>
    <row r="759" ht="15" customHeight="1" s="500"/>
    <row r="760" ht="15" customHeight="1" s="500"/>
    <row r="761" ht="15" customHeight="1" s="500"/>
    <row r="762" ht="15" customHeight="1" s="500"/>
    <row r="763" ht="15" customHeight="1" s="500"/>
    <row r="764" ht="15" customHeight="1" s="500"/>
    <row r="765" ht="15" customHeight="1" s="500"/>
    <row r="766" ht="15" customHeight="1" s="500"/>
    <row r="767" ht="15" customHeight="1" s="500"/>
    <row r="768" ht="15" customHeight="1" s="500"/>
    <row r="769" ht="15" customHeight="1" s="500"/>
    <row r="770" ht="15" customHeight="1" s="500"/>
    <row r="771" ht="15" customHeight="1" s="500"/>
    <row r="772" ht="15" customHeight="1" s="500"/>
    <row r="773" ht="15" customHeight="1" s="500"/>
    <row r="774" ht="15" customHeight="1" s="500"/>
    <row r="775" ht="15" customHeight="1" s="500"/>
    <row r="776" ht="15" customHeight="1" s="500"/>
    <row r="777" ht="15" customHeight="1" s="500"/>
    <row r="778" ht="15" customHeight="1" s="500"/>
    <row r="779" ht="15" customHeight="1" s="500"/>
    <row r="780" ht="15" customHeight="1" s="500"/>
    <row r="781" ht="15" customHeight="1" s="500"/>
    <row r="782" ht="15" customHeight="1" s="500"/>
    <row r="783" ht="15" customHeight="1" s="500"/>
    <row r="784" ht="15" customHeight="1" s="500"/>
    <row r="785" ht="15" customHeight="1" s="500"/>
    <row r="786" ht="15" customHeight="1" s="500"/>
    <row r="787" ht="15" customHeight="1" s="500"/>
    <row r="788" ht="15" customHeight="1" s="500"/>
    <row r="789" ht="15" customHeight="1" s="500"/>
    <row r="790" ht="15" customHeight="1" s="500"/>
    <row r="791" ht="15" customHeight="1" s="500"/>
    <row r="792" ht="15" customHeight="1" s="500"/>
    <row r="793" ht="15" customHeight="1" s="500"/>
    <row r="794" ht="15" customHeight="1" s="500"/>
    <row r="795" ht="15" customHeight="1" s="500"/>
    <row r="796" ht="15" customHeight="1" s="500"/>
    <row r="797" ht="15" customHeight="1" s="500"/>
    <row r="798" ht="15" customHeight="1" s="500"/>
    <row r="799" ht="15" customHeight="1" s="500"/>
    <row r="800" ht="15" customHeight="1" s="500"/>
    <row r="801" ht="15" customHeight="1" s="500"/>
    <row r="802" ht="15" customHeight="1" s="500"/>
    <row r="803" ht="15" customHeight="1" s="500"/>
    <row r="804" ht="15" customHeight="1" s="500"/>
    <row r="805" ht="15" customHeight="1" s="500"/>
    <row r="806" ht="15" customHeight="1" s="500"/>
    <row r="807" ht="15" customHeight="1" s="500"/>
    <row r="808" ht="15" customHeight="1" s="500"/>
    <row r="809" ht="15" customHeight="1" s="500"/>
    <row r="810" ht="15" customHeight="1" s="500"/>
    <row r="811" ht="15" customHeight="1" s="500"/>
    <row r="812" ht="15" customHeight="1" s="500"/>
    <row r="813" ht="15" customHeight="1" s="500"/>
    <row r="814" ht="15" customHeight="1" s="500"/>
    <row r="815" ht="15" customHeight="1" s="500"/>
    <row r="816" ht="15" customHeight="1" s="500"/>
    <row r="817" ht="15" customHeight="1" s="500"/>
    <row r="818" ht="15" customHeight="1" s="500"/>
    <row r="819" ht="15" customHeight="1" s="500"/>
    <row r="820" ht="15" customHeight="1" s="500"/>
    <row r="821" ht="15" customHeight="1" s="500"/>
    <row r="822" ht="15" customHeight="1" s="500"/>
    <row r="823" ht="15" customHeight="1" s="500"/>
    <row r="824" ht="15" customHeight="1" s="500"/>
    <row r="825" ht="15" customHeight="1" s="500"/>
    <row r="826" ht="15" customHeight="1" s="500"/>
    <row r="827" ht="15" customHeight="1" s="500"/>
    <row r="828" ht="15" customHeight="1" s="500"/>
    <row r="829" ht="15" customHeight="1" s="500"/>
    <row r="830" ht="15" customHeight="1" s="500"/>
    <row r="831" ht="15" customHeight="1" s="500"/>
    <row r="832" ht="15" customHeight="1" s="500"/>
    <row r="833" ht="15" customHeight="1" s="500"/>
    <row r="834" ht="15" customHeight="1" s="500"/>
    <row r="835" ht="15" customHeight="1" s="500"/>
    <row r="836" ht="15" customHeight="1" s="500"/>
    <row r="837" ht="15" customHeight="1" s="500"/>
    <row r="838" ht="15" customHeight="1" s="500"/>
    <row r="839" ht="15" customHeight="1" s="500"/>
    <row r="840" ht="15" customHeight="1" s="500"/>
    <row r="841" ht="15" customHeight="1" s="500"/>
    <row r="842" ht="15" customHeight="1" s="500"/>
    <row r="843" ht="15" customHeight="1" s="500"/>
    <row r="844" ht="15" customHeight="1" s="500"/>
    <row r="845" ht="15" customHeight="1" s="500"/>
    <row r="846" ht="15" customHeight="1" s="500"/>
    <row r="847" ht="15" customHeight="1" s="500"/>
    <row r="848" ht="15" customHeight="1" s="500"/>
    <row r="849" ht="15" customHeight="1" s="500"/>
    <row r="850" ht="15" customHeight="1" s="500"/>
    <row r="851" ht="15" customHeight="1" s="500"/>
    <row r="852" ht="15" customHeight="1" s="500"/>
    <row r="853" ht="15" customHeight="1" s="500"/>
    <row r="854" ht="15" customHeight="1" s="500"/>
    <row r="855" ht="15" customHeight="1" s="500"/>
    <row r="856" ht="15" customHeight="1" s="500"/>
    <row r="857" ht="15" customHeight="1" s="500"/>
    <row r="858" ht="15" customHeight="1" s="500"/>
    <row r="859" ht="15" customHeight="1" s="500"/>
    <row r="860" ht="15" customHeight="1" s="500"/>
    <row r="861" ht="15" customHeight="1" s="500"/>
    <row r="862" ht="15" customHeight="1" s="500"/>
    <row r="863" ht="15" customHeight="1" s="500"/>
    <row r="864" ht="15" customHeight="1" s="500"/>
    <row r="865" ht="15" customHeight="1" s="500"/>
    <row r="866" ht="15" customHeight="1" s="500"/>
    <row r="867" ht="15" customHeight="1" s="500"/>
    <row r="868" ht="15" customHeight="1" s="500"/>
    <row r="869" ht="15" customHeight="1" s="500"/>
    <row r="870" ht="15" customHeight="1" s="500"/>
    <row r="871" ht="15" customHeight="1" s="500"/>
    <row r="872" ht="15" customHeight="1" s="500"/>
    <row r="873" ht="15" customHeight="1" s="500"/>
    <row r="874" ht="15" customHeight="1" s="500"/>
    <row r="875" ht="15" customHeight="1" s="500"/>
    <row r="876" ht="15" customHeight="1" s="500"/>
    <row r="877" ht="15" customHeight="1" s="500"/>
    <row r="878" ht="15" customHeight="1" s="500"/>
    <row r="879" ht="15" customHeight="1" s="500"/>
    <row r="880" ht="15" customHeight="1" s="500"/>
    <row r="881" ht="15" customHeight="1" s="500"/>
    <row r="882" ht="15" customHeight="1" s="500"/>
    <row r="883" ht="15" customHeight="1" s="500"/>
    <row r="884" ht="15" customHeight="1" s="500"/>
    <row r="885" ht="15" customHeight="1" s="500"/>
    <row r="886" ht="15" customHeight="1" s="500"/>
    <row r="887" ht="15" customHeight="1" s="500"/>
    <row r="888" ht="15" customHeight="1" s="500"/>
    <row r="889" ht="15" customHeight="1" s="500"/>
    <row r="890" ht="15" customHeight="1" s="500"/>
    <row r="891" ht="15" customHeight="1" s="500"/>
    <row r="892" ht="15" customHeight="1" s="500"/>
    <row r="893" ht="15" customHeight="1" s="500"/>
    <row r="894" ht="15" customHeight="1" s="500"/>
    <row r="895" ht="15" customHeight="1" s="500"/>
    <row r="896" ht="15" customHeight="1" s="500"/>
    <row r="897" ht="15" customHeight="1" s="500"/>
    <row r="898" ht="15" customHeight="1" s="500"/>
    <row r="899" ht="15" customHeight="1" s="500"/>
    <row r="900" ht="15" customHeight="1" s="500"/>
    <row r="901" ht="15" customHeight="1" s="500"/>
    <row r="902" ht="15" customHeight="1" s="500"/>
    <row r="903" ht="15" customHeight="1" s="500"/>
    <row r="904" ht="15" customHeight="1" s="500"/>
    <row r="905" ht="15" customHeight="1" s="500"/>
    <row r="906" ht="15" customHeight="1" s="500"/>
    <row r="907" ht="15" customHeight="1" s="500"/>
    <row r="908" ht="15" customHeight="1" s="500"/>
    <row r="909" ht="15" customHeight="1" s="500"/>
    <row r="910" ht="15" customHeight="1" s="500"/>
    <row r="911" ht="15" customHeight="1" s="500"/>
    <row r="912" ht="15" customHeight="1" s="500"/>
    <row r="913" ht="15" customHeight="1" s="500"/>
    <row r="914" ht="15" customHeight="1" s="500"/>
    <row r="915" ht="15" customHeight="1" s="500"/>
    <row r="916" ht="15" customHeight="1" s="500"/>
    <row r="917" ht="15" customHeight="1" s="500"/>
    <row r="918" ht="15" customHeight="1" s="500"/>
    <row r="919" ht="15" customHeight="1" s="500"/>
    <row r="920" ht="15" customHeight="1" s="500"/>
    <row r="921" ht="15" customHeight="1" s="500"/>
    <row r="922" ht="15" customHeight="1" s="500"/>
    <row r="923" ht="15" customHeight="1" s="500"/>
    <row r="924" ht="15" customHeight="1" s="500"/>
    <row r="925" ht="15" customHeight="1" s="500"/>
    <row r="926" ht="15" customHeight="1" s="500"/>
    <row r="927" ht="15" customHeight="1" s="500"/>
    <row r="928" ht="15" customHeight="1" s="500"/>
    <row r="929" ht="15" customHeight="1" s="500"/>
    <row r="930" ht="15" customHeight="1" s="500"/>
    <row r="931" ht="15" customHeight="1" s="500"/>
    <row r="932" ht="15" customHeight="1" s="500"/>
    <row r="933" ht="15" customHeight="1" s="500"/>
    <row r="934" ht="15" customHeight="1" s="500"/>
    <row r="935" ht="15" customHeight="1" s="500"/>
    <row r="936" ht="15" customHeight="1" s="500"/>
    <row r="937" ht="15" customHeight="1" s="500"/>
    <row r="938" ht="15" customHeight="1" s="500"/>
    <row r="939" ht="15" customHeight="1" s="500"/>
    <row r="940" ht="15" customHeight="1" s="500"/>
    <row r="941" ht="15" customHeight="1" s="500"/>
    <row r="942" ht="15" customHeight="1" s="500"/>
    <row r="943" ht="15" customHeight="1" s="500"/>
    <row r="944" ht="15" customHeight="1" s="500"/>
    <row r="945" ht="15" customHeight="1" s="500"/>
    <row r="946" ht="15" customHeight="1" s="500"/>
    <row r="947" ht="15" customHeight="1" s="500"/>
    <row r="948" ht="15" customHeight="1" s="500"/>
    <row r="949" ht="15" customHeight="1" s="500"/>
    <row r="950" ht="15" customHeight="1" s="500"/>
    <row r="951" ht="15" customHeight="1" s="500"/>
    <row r="952" ht="15" customHeight="1" s="500"/>
    <row r="953" ht="15" customHeight="1" s="500"/>
    <row r="954" ht="15" customHeight="1" s="500"/>
    <row r="955" ht="15" customHeight="1" s="500"/>
    <row r="956" ht="15" customHeight="1" s="500"/>
    <row r="957" ht="15" customHeight="1" s="500"/>
    <row r="958" ht="15" customHeight="1" s="500"/>
    <row r="959" ht="15" customHeight="1" s="500"/>
    <row r="960" ht="15" customHeight="1" s="500"/>
    <row r="961" ht="15" customHeight="1" s="500"/>
    <row r="962" ht="15" customHeight="1" s="500"/>
    <row r="963" ht="15" customHeight="1" s="500"/>
    <row r="964" ht="15" customHeight="1" s="500"/>
    <row r="965" ht="15" customHeight="1" s="500"/>
    <row r="966" ht="15" customHeight="1" s="500"/>
    <row r="967" ht="15" customHeight="1" s="500"/>
    <row r="968" ht="15" customHeight="1" s="500"/>
    <row r="969" ht="15" customHeight="1" s="500"/>
    <row r="970" ht="15" customHeight="1" s="500"/>
    <row r="971" ht="15" customHeight="1" s="500"/>
    <row r="972" ht="15" customHeight="1" s="500"/>
    <row r="973" ht="15" customHeight="1" s="500"/>
    <row r="974" ht="15" customHeight="1" s="500"/>
    <row r="975" ht="15" customHeight="1" s="500"/>
    <row r="976" ht="15" customHeight="1" s="500"/>
    <row r="977" ht="15" customHeight="1" s="500"/>
    <row r="978" ht="15" customHeight="1" s="500"/>
    <row r="979" ht="15" customHeight="1" s="500"/>
    <row r="980" ht="15" customHeight="1" s="500"/>
    <row r="981" ht="15" customHeight="1" s="500"/>
    <row r="982" ht="15" customHeight="1" s="500"/>
    <row r="983" ht="15" customHeight="1" s="500"/>
    <row r="984" ht="15" customHeight="1" s="500"/>
    <row r="985" ht="15" customHeight="1" s="500"/>
    <row r="986" ht="15" customHeight="1" s="500"/>
    <row r="987" ht="15" customHeight="1" s="500"/>
    <row r="988" ht="15" customHeight="1" s="500"/>
    <row r="989" ht="15" customHeight="1" s="500"/>
    <row r="990" ht="15" customHeight="1" s="500"/>
    <row r="991" ht="15" customHeight="1" s="500"/>
    <row r="992" ht="15" customHeight="1" s="500"/>
    <row r="993" ht="15" customHeight="1" s="500"/>
    <row r="994" ht="15" customHeight="1" s="500"/>
    <row r="995" ht="15" customHeight="1" s="500"/>
    <row r="996" ht="15" customHeight="1" s="500"/>
    <row r="997" ht="15" customHeight="1" s="500"/>
    <row r="998" ht="15" customHeight="1" s="500"/>
    <row r="999" ht="15" customHeight="1" s="500"/>
    <row r="1000" ht="15" customHeight="1" s="500"/>
    <row r="1001" ht="15" customHeight="1" s="500"/>
    <row r="1002" ht="15" customHeight="1" s="500"/>
    <row r="1003" ht="15" customHeight="1" s="500"/>
    <row r="1004" ht="15" customHeight="1" s="500"/>
    <row r="1005" ht="15" customHeight="1" s="500"/>
    <row r="1006" ht="15" customHeight="1" s="500"/>
    <row r="1007" ht="15" customHeight="1" s="500"/>
    <row r="1008" ht="15" customHeight="1" s="500"/>
    <row r="1009" ht="15" customHeight="1" s="500"/>
    <row r="1010" ht="15" customHeight="1" s="500"/>
    <row r="1011" ht="15" customHeight="1" s="500"/>
    <row r="1012" ht="15" customHeight="1" s="500"/>
    <row r="1013" ht="15" customHeight="1" s="500"/>
    <row r="1014" ht="15" customHeight="1" s="500"/>
    <row r="1015" ht="15" customHeight="1" s="500"/>
    <row r="1016" ht="15" customHeight="1" s="500"/>
    <row r="1017" ht="15" customHeight="1" s="500"/>
    <row r="1018" ht="15" customHeight="1" s="500"/>
    <row r="1019" ht="15" customHeight="1" s="500"/>
    <row r="1020" ht="15" customHeight="1" s="500"/>
    <row r="1021" ht="15" customHeight="1" s="500"/>
    <row r="1022" ht="15" customHeight="1" s="500"/>
    <row r="1023" ht="15" customHeight="1" s="500"/>
    <row r="1024" ht="15" customHeight="1" s="500"/>
    <row r="1025" ht="15" customHeight="1" s="500"/>
    <row r="1026" ht="15" customHeight="1" s="500"/>
    <row r="1027" ht="15" customHeight="1" s="500"/>
    <row r="1028" ht="15" customHeight="1" s="500"/>
    <row r="1029" ht="15" customHeight="1" s="500"/>
    <row r="1030" ht="15" customHeight="1" s="500"/>
    <row r="1031" ht="15" customHeight="1" s="500"/>
    <row r="1032" ht="15" customHeight="1" s="500"/>
    <row r="1033" ht="15" customHeight="1" s="500"/>
    <row r="1034" ht="15" customHeight="1" s="500"/>
    <row r="1035" ht="15" customHeight="1" s="500"/>
    <row r="1036" ht="15" customHeight="1" s="500"/>
    <row r="1037" ht="15" customHeight="1" s="500"/>
    <row r="1038" ht="15" customHeight="1" s="500"/>
    <row r="1039" ht="15" customHeight="1" s="500"/>
    <row r="1040" ht="15" customHeight="1" s="500"/>
    <row r="1041" ht="15" customHeight="1" s="500"/>
    <row r="1042" ht="15" customHeight="1" s="500"/>
    <row r="1043" ht="15" customHeight="1" s="500"/>
    <row r="1044" ht="15" customHeight="1" s="500"/>
    <row r="1045" ht="15" customHeight="1" s="500"/>
    <row r="1046" ht="15" customHeight="1" s="500"/>
    <row r="1047" ht="15" customHeight="1" s="500"/>
    <row r="1048" ht="15" customHeight="1" s="500"/>
    <row r="1049" ht="15" customHeight="1" s="500"/>
    <row r="1050" ht="15" customHeight="1" s="500"/>
    <row r="1051" ht="15" customHeight="1" s="500"/>
    <row r="1052" ht="15" customHeight="1" s="500"/>
    <row r="1053" ht="15" customHeight="1" s="500"/>
    <row r="1054" ht="15" customHeight="1" s="500"/>
    <row r="1055" ht="15" customHeight="1" s="500"/>
    <row r="1056" ht="15" customHeight="1" s="500"/>
    <row r="1057" ht="15" customHeight="1" s="500"/>
    <row r="1058" ht="15" customHeight="1" s="500"/>
    <row r="1059" ht="15" customHeight="1" s="500"/>
    <row r="1060" ht="15" customHeight="1" s="500"/>
    <row r="1061" ht="15" customHeight="1" s="500"/>
    <row r="1062" ht="15" customHeight="1" s="500"/>
    <row r="1063" ht="15" customHeight="1" s="500"/>
    <row r="1064" ht="15" customHeight="1" s="500"/>
    <row r="1065" ht="15" customHeight="1" s="500"/>
    <row r="1066" ht="15" customHeight="1" s="500"/>
    <row r="1067" ht="15" customHeight="1" s="500"/>
    <row r="1068" ht="15" customHeight="1" s="500"/>
    <row r="1069" ht="15" customHeight="1" s="500"/>
    <row r="1070" ht="15" customHeight="1" s="500"/>
    <row r="1071" ht="15" customHeight="1" s="500"/>
    <row r="1072" ht="15" customHeight="1" s="500"/>
    <row r="1073" ht="15" customHeight="1" s="500"/>
    <row r="1074" ht="15" customHeight="1" s="500"/>
    <row r="1075" ht="15" customHeight="1" s="500"/>
    <row r="1076" ht="15" customHeight="1" s="500"/>
    <row r="1077" ht="15" customHeight="1" s="500"/>
    <row r="1078" ht="15" customHeight="1" s="500"/>
    <row r="1079" ht="15" customHeight="1" s="500"/>
    <row r="1080" ht="15" customHeight="1" s="500"/>
    <row r="1081" ht="15" customHeight="1" s="500"/>
    <row r="1082" ht="15" customHeight="1" s="500"/>
    <row r="1083" ht="15" customHeight="1" s="500"/>
    <row r="1084" ht="15" customHeight="1" s="500"/>
    <row r="1085" ht="15" customHeight="1" s="500"/>
    <row r="1086" ht="15" customHeight="1" s="500"/>
    <row r="1087" ht="15" customHeight="1" s="500"/>
    <row r="1088" ht="15" customHeight="1" s="500"/>
    <row r="1089" ht="15" customHeight="1" s="500"/>
    <row r="1090" ht="15" customHeight="1" s="500"/>
    <row r="1091" ht="15" customHeight="1" s="500"/>
    <row r="1092" ht="15" customHeight="1" s="500"/>
    <row r="1093" ht="15" customHeight="1" s="500"/>
    <row r="1094" ht="15" customHeight="1" s="500"/>
    <row r="1095" ht="15" customHeight="1" s="500"/>
    <row r="1096" ht="15" customHeight="1" s="500"/>
    <row r="1097" ht="15" customHeight="1" s="500"/>
    <row r="1098" ht="15" customHeight="1" s="500"/>
    <row r="1099" ht="15" customHeight="1" s="500"/>
    <row r="1100" ht="15" customHeight="1" s="500"/>
    <row r="1101" ht="15" customHeight="1" s="500"/>
    <row r="1102" ht="15" customHeight="1" s="500"/>
    <row r="1103" ht="15" customHeight="1" s="500"/>
    <row r="1104" ht="15" customHeight="1" s="500"/>
    <row r="1105" ht="15" customHeight="1" s="500"/>
    <row r="1106" ht="15" customHeight="1" s="500"/>
    <row r="1107" ht="15" customHeight="1" s="500"/>
    <row r="1108" ht="15" customHeight="1" s="500"/>
    <row r="1109" ht="15" customHeight="1" s="500"/>
    <row r="1110" ht="15" customHeight="1" s="500"/>
    <row r="1111" ht="15" customHeight="1" s="500"/>
  </sheetData>
  <mergeCells count="74">
    <mergeCell ref="H30:L30"/>
    <mergeCell ref="B76:X76"/>
    <mergeCell ref="H26:L26"/>
    <mergeCell ref="R3:X3"/>
    <mergeCell ref="U18:X18"/>
    <mergeCell ref="B41:X41"/>
    <mergeCell ref="H35:L35"/>
    <mergeCell ref="H29:L29"/>
    <mergeCell ref="B4:X4"/>
    <mergeCell ref="H38:L38"/>
    <mergeCell ref="U8:X8"/>
    <mergeCell ref="W25:X25"/>
    <mergeCell ref="J3:M3"/>
    <mergeCell ref="B6:E6"/>
    <mergeCell ref="W33:X33"/>
    <mergeCell ref="B5:E5"/>
    <mergeCell ref="N6:Q6"/>
    <mergeCell ref="U20:X20"/>
    <mergeCell ref="H31:L31"/>
    <mergeCell ref="U14:X14"/>
    <mergeCell ref="W30:X30"/>
    <mergeCell ref="H34:L34"/>
    <mergeCell ref="U19:X19"/>
    <mergeCell ref="H39:L39"/>
    <mergeCell ref="H25:L25"/>
    <mergeCell ref="W26:X26"/>
    <mergeCell ref="R5:X5"/>
    <mergeCell ref="P8:Q8"/>
    <mergeCell ref="B7:E7"/>
    <mergeCell ref="H36:L36"/>
    <mergeCell ref="U12:X12"/>
    <mergeCell ref="B3:E3"/>
    <mergeCell ref="W32:X32"/>
    <mergeCell ref="U15:X15"/>
    <mergeCell ref="L8:M8"/>
    <mergeCell ref="B8:C8"/>
    <mergeCell ref="B2:X2"/>
    <mergeCell ref="B23:L23"/>
    <mergeCell ref="N8:O8"/>
    <mergeCell ref="J5:M5"/>
    <mergeCell ref="W31:X31"/>
    <mergeCell ref="F8:G8"/>
    <mergeCell ref="F6:I6"/>
    <mergeCell ref="N7:Q7"/>
    <mergeCell ref="B1:X1"/>
    <mergeCell ref="M23:X23"/>
    <mergeCell ref="F7:I7"/>
    <mergeCell ref="F3:I3"/>
    <mergeCell ref="H32:L32"/>
    <mergeCell ref="N3:Q3"/>
    <mergeCell ref="U17:X17"/>
    <mergeCell ref="H28:L28"/>
    <mergeCell ref="J6:M6"/>
    <mergeCell ref="U11:X11"/>
    <mergeCell ref="R8:T8"/>
    <mergeCell ref="H37:L37"/>
    <mergeCell ref="F5:I5"/>
    <mergeCell ref="W27:X27"/>
    <mergeCell ref="R7:X7"/>
    <mergeCell ref="U16:X16"/>
    <mergeCell ref="B9:L9"/>
    <mergeCell ref="R6:X6"/>
    <mergeCell ref="D8:E8"/>
    <mergeCell ref="H27:L27"/>
    <mergeCell ref="N5:Q5"/>
    <mergeCell ref="U13:X13"/>
    <mergeCell ref="W29:X29"/>
    <mergeCell ref="H24:L24"/>
    <mergeCell ref="M9:X9"/>
    <mergeCell ref="H33:L33"/>
    <mergeCell ref="H8:I8"/>
    <mergeCell ref="W28:X28"/>
    <mergeCell ref="J7:M7"/>
    <mergeCell ref="J8:K8"/>
  </mergeCells>
  <conditionalFormatting sqref="P11:P20">
    <cfRule type="cellIs" priority="1" operator="lessThan" dxfId="2">
      <formula>0</formula>
    </cfRule>
    <cfRule type="cellIs" priority="2" operator="greaterThan" dxfId="1">
      <formula>0</formula>
    </cfRule>
  </conditionalFormatting>
  <conditionalFormatting sqref="W25:W33">
    <cfRule type="containsText" priority="3" operator="containsText" dxfId="0" text="Conforme">
      <formula>NOT(ISERROR(SEARCH("Conforme",W25)))</formula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Ludovic Labeaut</dc:creator>
  <dcterms:created xmlns:dcterms="http://purl.org/dc/terms/" xmlns:xsi="http://www.w3.org/2001/XMLSchema-instance" xsi:type="dcterms:W3CDTF">2026-02-27T18:39:46Z</dcterms:created>
  <dcterms:modified xmlns:dcterms="http://purl.org/dc/terms/" xmlns:xsi="http://www.w3.org/2001/XMLSchema-instance" xsi:type="dcterms:W3CDTF">2026-03-09T22:26:16Z</dcterms:modified>
  <cp:lastModifiedBy>Ludovic Labeaut</cp:lastModifiedBy>
</cp:coreProperties>
</file>