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\Desktop\EXCEL AUTOMATISATION\"/>
    </mc:Choice>
  </mc:AlternateContent>
  <xr:revisionPtr revIDLastSave="0" documentId="8_{D68449AA-5C92-4847-9579-B9F0A9D1F1D9}" xr6:coauthVersionLast="47" xr6:coauthVersionMax="47" xr10:uidLastSave="{00000000-0000-0000-0000-000000000000}"/>
  <bookViews>
    <workbookView xWindow="-120" yWindow="-120" windowWidth="29040" windowHeight="15840" firstSheet="4" activeTab="7" xr2:uid="{896F4F8B-B8A5-4800-8336-9F8A7F5424A3}"/>
  </bookViews>
  <sheets>
    <sheet name="Claude Log" sheetId="2" r:id="rId1"/>
    <sheet name="1 — Structure Groupe" sheetId="3" r:id="rId2"/>
    <sheet name="2 — P&amp;L GloBE" sheetId="4" r:id="rId3"/>
    <sheet name="3 — Impôts Couverts" sheetId="5" r:id="rId4"/>
    <sheet name="4 — ETR Juridictionnel" sheetId="6" r:id="rId5"/>
    <sheet name="5 — Substance Carve-out" sheetId="7" r:id="rId6"/>
    <sheet name="6 — Top-up Tax" sheetId="8" r:id="rId7"/>
    <sheet name="7 — Safe Harbours" sheetId="9" r:id="rId8"/>
    <sheet name="8 — Déclaration GIR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0" l="1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H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H21" i="10"/>
  <c r="G21" i="10"/>
  <c r="F21" i="10"/>
  <c r="E21" i="10"/>
  <c r="D21" i="10"/>
  <c r="C21" i="10"/>
  <c r="B21" i="10"/>
  <c r="H20" i="10"/>
  <c r="G20" i="10"/>
  <c r="F20" i="10"/>
  <c r="E20" i="10"/>
  <c r="D20" i="10"/>
  <c r="C20" i="10"/>
  <c r="B20" i="10"/>
  <c r="H19" i="10"/>
  <c r="G19" i="10"/>
  <c r="F19" i="10"/>
  <c r="E19" i="10"/>
  <c r="D19" i="10"/>
  <c r="C19" i="10"/>
  <c r="B19" i="10"/>
  <c r="H18" i="10"/>
  <c r="G18" i="10"/>
  <c r="F18" i="10"/>
  <c r="E18" i="10"/>
  <c r="D18" i="10"/>
  <c r="C18" i="10"/>
  <c r="B18" i="10"/>
  <c r="H17" i="10"/>
  <c r="G17" i="10"/>
  <c r="F17" i="10"/>
  <c r="E17" i="10"/>
  <c r="D17" i="10"/>
  <c r="C17" i="10"/>
  <c r="B17" i="10"/>
  <c r="J10" i="9"/>
  <c r="I10" i="9"/>
  <c r="H10" i="9"/>
  <c r="F10" i="9"/>
  <c r="E10" i="9"/>
  <c r="J9" i="9"/>
  <c r="I9" i="9"/>
  <c r="H9" i="9"/>
  <c r="F9" i="9"/>
  <c r="E9" i="9"/>
  <c r="J8" i="9"/>
  <c r="I8" i="9"/>
  <c r="H8" i="9"/>
  <c r="F8" i="9"/>
  <c r="E8" i="9"/>
  <c r="J7" i="9"/>
  <c r="I7" i="9"/>
  <c r="H7" i="9"/>
  <c r="F7" i="9"/>
  <c r="E7" i="9"/>
  <c r="J6" i="9"/>
  <c r="I6" i="9"/>
  <c r="H6" i="9"/>
  <c r="F6" i="9"/>
  <c r="E6" i="9"/>
  <c r="J5" i="9"/>
  <c r="I5" i="9"/>
  <c r="H5" i="9"/>
  <c r="F5" i="9"/>
  <c r="E5" i="9"/>
  <c r="I17" i="8"/>
  <c r="H17" i="8"/>
  <c r="G17" i="8"/>
  <c r="F17" i="8"/>
  <c r="E17" i="8"/>
  <c r="D17" i="8"/>
  <c r="C17" i="8"/>
  <c r="A17" i="8" a="1"/>
  <c r="A17" i="8"/>
  <c r="I15" i="8"/>
  <c r="I14" i="8"/>
  <c r="H14" i="8"/>
  <c r="G14" i="8"/>
  <c r="F14" i="8"/>
  <c r="E14" i="8"/>
  <c r="D14" i="8"/>
  <c r="C14" i="8"/>
  <c r="I11" i="8"/>
  <c r="H11" i="8"/>
  <c r="G11" i="8"/>
  <c r="F11" i="8"/>
  <c r="E11" i="8"/>
  <c r="D11" i="8"/>
  <c r="C11" i="8"/>
  <c r="A11" i="8" a="1"/>
  <c r="A11" i="8" s="1"/>
  <c r="H10" i="8"/>
  <c r="G10" i="8"/>
  <c r="F10" i="8"/>
  <c r="E10" i="8"/>
  <c r="D10" i="8"/>
  <c r="C10" i="8"/>
  <c r="H9" i="8"/>
  <c r="G9" i="8"/>
  <c r="F9" i="8"/>
  <c r="E9" i="8"/>
  <c r="D9" i="8"/>
  <c r="C9" i="8"/>
  <c r="I7" i="8"/>
  <c r="H7" i="8"/>
  <c r="G7" i="8"/>
  <c r="F7" i="8"/>
  <c r="E7" i="8"/>
  <c r="D7" i="8"/>
  <c r="C7" i="8"/>
  <c r="A7" i="8" a="1"/>
  <c r="A7" i="8" s="1"/>
  <c r="I6" i="8"/>
  <c r="H6" i="8"/>
  <c r="G6" i="8"/>
  <c r="F6" i="8"/>
  <c r="E6" i="8"/>
  <c r="D6" i="8"/>
  <c r="C6" i="8"/>
  <c r="I5" i="8"/>
  <c r="H5" i="8"/>
  <c r="G5" i="8"/>
  <c r="F5" i="8"/>
  <c r="E5" i="8"/>
  <c r="D5" i="8"/>
  <c r="C5" i="8"/>
  <c r="I26" i="7"/>
  <c r="H26" i="7"/>
  <c r="G26" i="7"/>
  <c r="F26" i="7"/>
  <c r="E26" i="7"/>
  <c r="D26" i="7"/>
  <c r="C26" i="7"/>
  <c r="A26" i="7" a="1"/>
  <c r="A26" i="7" s="1"/>
  <c r="I25" i="7"/>
  <c r="H25" i="7"/>
  <c r="G25" i="7"/>
  <c r="F25" i="7"/>
  <c r="E25" i="7"/>
  <c r="D25" i="7"/>
  <c r="C25" i="7"/>
  <c r="A25" i="7" a="1"/>
  <c r="A25" i="7" s="1"/>
  <c r="H24" i="7"/>
  <c r="G24" i="7"/>
  <c r="F24" i="7"/>
  <c r="E24" i="7"/>
  <c r="D24" i="7"/>
  <c r="C24" i="7"/>
  <c r="B24" i="7"/>
  <c r="I23" i="7"/>
  <c r="I21" i="7"/>
  <c r="H21" i="7"/>
  <c r="G21" i="7"/>
  <c r="F21" i="7"/>
  <c r="E21" i="7"/>
  <c r="D21" i="7"/>
  <c r="C21" i="7"/>
  <c r="A21" i="7" a="1"/>
  <c r="A21" i="7"/>
  <c r="H20" i="7"/>
  <c r="G20" i="7"/>
  <c r="F20" i="7"/>
  <c r="E20" i="7"/>
  <c r="D20" i="7"/>
  <c r="C20" i="7"/>
  <c r="B20" i="7"/>
  <c r="I19" i="7"/>
  <c r="H10" i="6"/>
  <c r="G10" i="6"/>
  <c r="F10" i="6"/>
  <c r="D10" i="6"/>
  <c r="C10" i="6"/>
  <c r="B10" i="6"/>
  <c r="H9" i="6"/>
  <c r="G9" i="6"/>
  <c r="F9" i="6"/>
  <c r="D9" i="6"/>
  <c r="C9" i="6"/>
  <c r="B9" i="6"/>
  <c r="H8" i="6"/>
  <c r="G8" i="6"/>
  <c r="F8" i="6"/>
  <c r="D8" i="6"/>
  <c r="C8" i="6"/>
  <c r="B8" i="6"/>
  <c r="H7" i="6"/>
  <c r="G7" i="6"/>
  <c r="F7" i="6"/>
  <c r="D7" i="6"/>
  <c r="C7" i="6"/>
  <c r="B7" i="6"/>
  <c r="H6" i="6"/>
  <c r="G6" i="6"/>
  <c r="F6" i="6"/>
  <c r="D6" i="6"/>
  <c r="C6" i="6"/>
  <c r="B6" i="6"/>
  <c r="H5" i="6"/>
  <c r="G5" i="6"/>
  <c r="F5" i="6"/>
  <c r="D5" i="6"/>
  <c r="C5" i="6"/>
  <c r="B5" i="6"/>
  <c r="I16" i="5"/>
  <c r="H16" i="5"/>
  <c r="G16" i="5"/>
  <c r="F16" i="5"/>
  <c r="E16" i="5"/>
  <c r="D16" i="5"/>
  <c r="C16" i="5"/>
  <c r="A16" i="5" a="1"/>
  <c r="A16" i="5"/>
  <c r="I15" i="5"/>
  <c r="I13" i="5"/>
  <c r="H13" i="5"/>
  <c r="G13" i="5"/>
  <c r="F13" i="5"/>
  <c r="E13" i="5"/>
  <c r="D13" i="5"/>
  <c r="C13" i="5"/>
  <c r="A13" i="5" a="1"/>
  <c r="A13" i="5" s="1"/>
  <c r="I12" i="5"/>
  <c r="I11" i="5"/>
  <c r="I10" i="5"/>
  <c r="I8" i="5"/>
  <c r="H8" i="5"/>
  <c r="G8" i="5"/>
  <c r="F8" i="5"/>
  <c r="E8" i="5"/>
  <c r="D8" i="5"/>
  <c r="C8" i="5"/>
  <c r="A8" i="5" a="1"/>
  <c r="A8" i="5"/>
  <c r="I7" i="5"/>
  <c r="I6" i="5"/>
  <c r="I5" i="5"/>
  <c r="I18" i="4"/>
  <c r="H18" i="4"/>
  <c r="G18" i="4"/>
  <c r="F18" i="4"/>
  <c r="E18" i="4"/>
  <c r="D18" i="4"/>
  <c r="C18" i="4"/>
  <c r="A18" i="4" a="1"/>
  <c r="A18" i="4" s="1"/>
  <c r="I17" i="4"/>
  <c r="I16" i="4"/>
  <c r="I15" i="4"/>
  <c r="I14" i="4"/>
  <c r="I13" i="4"/>
  <c r="I12" i="4"/>
  <c r="I11" i="4"/>
  <c r="I10" i="4"/>
  <c r="I9" i="4"/>
  <c r="I8" i="4"/>
  <c r="I7" i="4"/>
  <c r="I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A7" authorId="0" shapeId="0" xr:uid="{31A59D7C-A35C-4D52-B01D-E0D144289834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15.1 — Réintégrer la charge d'impôt (IS courant + IS différé) comptabilisée dans le résultat IFRS</t>
        </r>
      </text>
    </comment>
    <comment ref="A8" authorId="0" shapeId="0" xr:uid="{F80A0CE6-FC4E-47AF-9BAD-AEA02CB6EDA6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15.2(a) — Exclusion des dividendes reçus d'entités constitutives (pour éviter double comptage)</t>
        </r>
      </text>
    </comment>
    <comment ref="A9" authorId="0" shapeId="0" xr:uid="{81525F6E-E831-4F49-BAB7-5F7AD47E6278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15.2(b) — Gains/pertes exclus sur cessions de participations qualifiées</t>
        </r>
      </text>
    </comment>
    <comment ref="A10" authorId="0" shapeId="0" xr:uid="{F18715B2-D317-497B-BD3E-EC5420A6E911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15.3 — Ajustement pour écart de conversion non réalisé (asymétrie temp./permanente)</t>
        </r>
      </text>
    </comment>
    <comment ref="A11" authorId="0" shapeId="0" xr:uid="{DE4F1E7E-01A5-464F-AE5C-AC6304F03F7F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15.4 — Option : remplacement de la charge IFRS 2 par la déduction fiscale locale</t>
        </r>
      </text>
    </comment>
    <comment ref="A12" authorId="0" shapeId="0" xr:uid="{152695DE-664B-4247-81DF-0A4A592B874F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15.5 — Ajustement pour variations de juste valeur non réalisées (instruments financiers)</t>
        </r>
      </text>
    </comment>
    <comment ref="A13" authorId="0" shapeId="0" xr:uid="{33AB60C8-7FBC-4496-8520-1E6976DE5A24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15.6 — Reclassement des écarts actuariels OCI vers P&amp;L GloBE</t>
        </r>
      </text>
    </comment>
    <comment ref="A14" authorId="0" shapeId="0" xr:uid="{E34CBDD8-9CA5-4364-85B2-9ACF498BD8BD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16 — Exclusion des bénéfices de transport maritime/aérien international</t>
        </r>
      </text>
    </comment>
    <comment ref="A15" authorId="0" shapeId="0" xr:uid="{6850AD15-F042-466A-953E-04151D4FCE0A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17 — Corrections d'erreurs comptables antérieures (Impact P&amp;L GloBE, pas OCI)</t>
        </r>
      </text>
    </comment>
    <comment ref="A16" authorId="0" shapeId="0" xr:uid="{2C4D3ADE-354A-4FA5-9294-1C317BC696B3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18 — Impact des changements de méthodes comptables IFRS (IAS 8)</t>
        </r>
      </text>
    </comment>
    <comment ref="A17" authorId="0" shapeId="0" xr:uid="{1EF3DB0D-594D-41C0-A07F-611ACB5C6289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19–22 — Autres retraitements : polices d'assurance captive, transactions asymétriques,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A5" authorId="0" shapeId="0" xr:uid="{25CFEB76-27A2-44F4-B7CA-FB2554C9B2EC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20.1 — Impôt sur les sociétés dû au titre de l'exercice, avant crédits d'impôt</t>
        </r>
      </text>
    </comment>
    <comment ref="A6" authorId="0" shapeId="0" xr:uid="{B689C346-8815-477C-9B9B-051C91D211B3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20.2 — WHT sur revenus passifs (intérêts, redevances) payées dans la juridiction source</t>
        </r>
      </text>
    </comment>
    <comment ref="A7" authorId="0" shapeId="0" xr:uid="{372E0273-DFD6-446D-BF7E-E70D2E43037A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20.3 — Crédits d'impôt remboursables non qualifiés à déduire (traités comme revenus)</t>
        </r>
      </text>
    </comment>
    <comment ref="A10" authorId="0" shapeId="0" xr:uid="{D9595652-20EF-4167-AF6F-4512B971FE88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21.1 — Charge d'IS différé nette comptabilisée au compte de résultat</t>
        </r>
      </text>
    </comment>
    <comment ref="A11" authorId="0" shapeId="0" xr:uid="{D8B46528-1374-4DFD-9F5F-4EFFA7651577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21.2 — Exclusion des DTL liées à des éléments exclus du GloBE Income + récupération sur 5 ans</t>
        </r>
      </text>
    </comment>
    <comment ref="A12" authorId="0" shapeId="0" xr:uid="{1B3018B2-8D49-4F83-BDCF-A198D45C1BBE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21.3 — Plafonnement de la DTA au taux GloBE (15%) pour éviter surcomptage</t>
        </r>
      </text>
    </comment>
    <comment ref="A15" authorId="0" shapeId="0" xr:uid="{6868B51F-79BE-4B87-B97C-BE96C035244F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22 — Impôts liés à des revenus exclus du GloBE Income ou impôts QDMTT payés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A14" authorId="0" shapeId="0" xr:uid="{025DC087-DDDB-4774-9B53-CCA4742CDC27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5.2 — L'IIR est appliquée par l'UPE (FR) sur les filiales faiblement imposées</t>
        </r>
      </text>
    </comment>
    <comment ref="A15" authorId="0" shapeId="0" xr:uid="{692A2098-3D5B-4EC2-9A0C-5C459D287D94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Art. 5.4 — L'UTPR n'intervient que si l'IIR n'a pas couvert la totalité (allocation selon nb employés &amp; VNC)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E5" authorId="0" shapeId="0" xr:uid="{D6BEA936-E9A3-44EA-AA97-623E45657466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CA &lt; 10M€ ET Résultat &lt; 1M€</t>
        </r>
      </text>
    </comment>
    <comment ref="F5" authorId="0" shapeId="0" xr:uid="{E5326240-BBBF-4171-9E38-06D4C04D2D51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ETR simplifié = IS payé / Résultat CbCR ≥ seuil transitoire</t>
        </r>
      </text>
    </comment>
    <comment ref="G5" authorId="0" shapeId="0" xr:uid="{AAA19324-A2B7-44BB-8F4A-FE3BE8DA7B9A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Seuil transitoire 2026 : 15% (sera 16% en 2025, 17% en 2026 per AG)</t>
        </r>
      </text>
    </comment>
    <comment ref="H5" authorId="0" shapeId="0" xr:uid="{38CF09DD-E54C-4833-A8A8-8120F8F1731B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Résultat CbCR ≤ 0 → pas de profit imposable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B10" authorId="0" shapeId="0" xr:uid="{9DB87B38-2DFA-4EFB-8987-73B7BAE2D737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Délai : 18 mois après clôture pour la première déclaration (15 mois ensuite)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<sst xmlns="http://schemas.openxmlformats.org/spreadsheetml/2006/main" count="318" uniqueCount="218">
  <si>
    <t>Turn #</t>
  </si>
  <si>
    <t>Date</t>
  </si>
  <si>
    <t>User Request</t>
  </si>
  <si>
    <t>Action Taken</t>
  </si>
  <si>
    <t>Details</t>
  </si>
  <si>
    <t>Outcome</t>
  </si>
  <si>
    <t>Directive (UE) 2022/2523 — Pilier 2 GloBE | IIR : exercices ouverts ≥ 31/12/2024 | UTPR : 2025 | GIR : 2026</t>
  </si>
  <si>
    <t>Code Entité</t>
  </si>
  <si>
    <t>Nom de l'entité</t>
  </si>
  <si>
    <t>Juridiction</t>
  </si>
  <si>
    <t>Pays ISO</t>
  </si>
  <si>
    <t>Taux IS local</t>
  </si>
  <si>
    <t>% Détention directe</t>
  </si>
  <si>
    <t>% Détention indirecte</t>
  </si>
  <si>
    <t>Entité parente</t>
  </si>
  <si>
    <t>Statut GloBE</t>
  </si>
  <si>
    <t>Consolidée ?</t>
  </si>
  <si>
    <t>Exclue GloBE ?</t>
  </si>
  <si>
    <t>Motif d'exclusion</t>
  </si>
  <si>
    <t>FR-HQ</t>
  </si>
  <si>
    <t>Groupe Alpha Holding SA</t>
  </si>
  <si>
    <t>France</t>
  </si>
  <si>
    <t>FR</t>
  </si>
  <si>
    <t>-</t>
  </si>
  <si>
    <t>UPE</t>
  </si>
  <si>
    <t>Oui</t>
  </si>
  <si>
    <t>Non</t>
  </si>
  <si>
    <t>DE-01</t>
  </si>
  <si>
    <t>Alpha GmbH</t>
  </si>
  <si>
    <t>Allemagne</t>
  </si>
  <si>
    <t>DE</t>
  </si>
  <si>
    <t>CE</t>
  </si>
  <si>
    <t>IE-01</t>
  </si>
  <si>
    <t>Alpha Ireland Ltd</t>
  </si>
  <si>
    <t>Irlande</t>
  </si>
  <si>
    <t>IE</t>
  </si>
  <si>
    <t>SG-01</t>
  </si>
  <si>
    <t>Alpha Asia Pte Ltd</t>
  </si>
  <si>
    <t>Singapour</t>
  </si>
  <si>
    <t>SG</t>
  </si>
  <si>
    <t>POPE</t>
  </si>
  <si>
    <t>US-01</t>
  </si>
  <si>
    <t>Alpha Inc.</t>
  </si>
  <si>
    <t>États-Unis</t>
  </si>
  <si>
    <t>US</t>
  </si>
  <si>
    <t>MU-01</t>
  </si>
  <si>
    <t>Alpha Mauritius Ltd</t>
  </si>
  <si>
    <t>Maurice</t>
  </si>
  <si>
    <t>MU</t>
  </si>
  <si>
    <t>IPE</t>
  </si>
  <si>
    <t>FR-FP</t>
  </si>
  <si>
    <t>Caisse de Retraite Alpha</t>
  </si>
  <si>
    <t>Fonds de pension (Art. 10.1.1(d))</t>
  </si>
  <si>
    <t>LÉGENDE DES STATUTS GloBE</t>
  </si>
  <si>
    <t>Ultimate Parent Entity — Entité mère ultime (obligation déclarative primaire)</t>
  </si>
  <si>
    <t>Intermediate Parent Entity — Entité mère intermédiaire (IIR secondaire si UPE défaillante)</t>
  </si>
  <si>
    <t>Partially-Owned Parent Entity — Entité mère partiellement détenue (détention &lt; 100%)</t>
  </si>
  <si>
    <t>Constituent Entity — Entité constitutive (filiale simple)</t>
  </si>
  <si>
    <t>JV</t>
  </si>
  <si>
    <t>Joint Venture — Coentreprise (traitée séparément si détention ≥ 50%)</t>
  </si>
  <si>
    <t>Exclue</t>
  </si>
  <si>
    <t>Entité exclue du périmètre GloBE (Art. 10.1) : entités gouvernementales, OI, OBNL, fonds de pension, fonds d'investissement</t>
  </si>
  <si>
    <t>ORGANIGRAMME JURIDIQUE SIMPLIFIÉ</t>
  </si>
  <si>
    <t>🏢 Groupe Alpha Holding SA (FR)</t>
  </si>
  <si>
    <t>UPE — 100% | Taux IS : 25,73%</t>
  </si>
  <si>
    <t>│</t>
  </si>
  <si>
    <t>┌───────</t>
  </si>
  <si>
    <t>───────</t>
  </si>
  <si>
    <t>─────┬────</t>
  </si>
  <si>
    <t>───────┐</t>
  </si>
  <si>
    <t>🇩🇪 Alpha GmbH</t>
  </si>
  <si>
    <t>CE | 100% | IS 29,83%</t>
  </si>
  <si>
    <t>🇮🇪 Alpha Ireland</t>
  </si>
  <si>
    <t>CE | 100% | IS 12,50%</t>
  </si>
  <si>
    <t>🇸🇬 Alpha Asia Pte</t>
  </si>
  <si>
    <t>POPE | 80% | IS 17%</t>
  </si>
  <si>
    <t>🇺🇸 Alpha Inc.</t>
  </si>
  <si>
    <t>CE | 100% | IS 21%</t>
  </si>
  <si>
    <t>💼 Caisse Retraite</t>
  </si>
  <si>
    <t>EXCLUE | Fonds pension</t>
  </si>
  <si>
    <t>🇲🇺 Alpha Mauritius</t>
  </si>
  <si>
    <t>IPE | 60% (via SG) | IS 15%</t>
  </si>
  <si>
    <t>ONGLET 2 — RÉSULTAT QUALIFIÉ GloBE (GloBE Income) PAR JURIDICTION</t>
  </si>
  <si>
    <t>Base : Résultat comptable IFRS → Retraitements Art. 15–22 du modèle de règles GloBE</t>
  </si>
  <si>
    <t>Poste (en k€)</t>
  </si>
  <si>
    <t>Référence</t>
  </si>
  <si>
    <t>TOTAL GROUPE</t>
  </si>
  <si>
    <t>Résultat net comptable (IFRS)</t>
  </si>
  <si>
    <t>IAS 1</t>
  </si>
  <si>
    <t>RETRAITEMENTS GloBE :</t>
  </si>
  <si>
    <t>(+) Charge d'impôt comptabilisée</t>
  </si>
  <si>
    <t>Art. 15.1</t>
  </si>
  <si>
    <t>(−) Dividendes intra-groupe</t>
  </si>
  <si>
    <t>Art. 15.2(a)</t>
  </si>
  <si>
    <t>(−) Plus-values de cessions de participations</t>
  </si>
  <si>
    <t>Art. 15.2(b)</t>
  </si>
  <si>
    <t>(−) Gains/pertes de change non réalisés</t>
  </si>
  <si>
    <t>Art. 15.3</t>
  </si>
  <si>
    <t>(−) Charges de stock-options (SBP)</t>
  </si>
  <si>
    <t>Art. 15.4</t>
  </si>
  <si>
    <t>(+/−) Ajustement Fair Value (IFRS 9/13)</t>
  </si>
  <si>
    <t>Art. 15.5</t>
  </si>
  <si>
    <t>(+/−) Ajust. régimes de retraite (IAS 19)</t>
  </si>
  <si>
    <t>Art. 15.6</t>
  </si>
  <si>
    <t>(−) Profits de navigation intérnationale</t>
  </si>
  <si>
    <t>Art. 16</t>
  </si>
  <si>
    <t>(+/−) Erreurs matérielles corrigées (IAS 8)</t>
  </si>
  <si>
    <t>Art. 17</t>
  </si>
  <si>
    <t>(+/−) Ajust. changement de méthodes comptables</t>
  </si>
  <si>
    <t>Art. 18</t>
  </si>
  <si>
    <t>(+/−) Autres ajustements (asymmetries, assurance capt.)</t>
  </si>
  <si>
    <t>Art. 19-22</t>
  </si>
  <si>
    <t>ONGLET 3 — IMPÔTS COUVERTS (COVERED TAXES) PAR JURIDICTION</t>
  </si>
  <si>
    <t>Calcul conforme aux Art. 20–23 du modèle de règles GloBE — IS courant + IS différé ajusté | Montants en k€</t>
  </si>
  <si>
    <t>TOTAL</t>
  </si>
  <si>
    <t>IS courant de l'exercice</t>
  </si>
  <si>
    <t>Art. 20.1</t>
  </si>
  <si>
    <t>(+) Retenues à la source (WHT)</t>
  </si>
  <si>
    <t>Art. 20.2</t>
  </si>
  <si>
    <t>(−) Crédits d'impôt non qualifiés (QRTC)</t>
  </si>
  <si>
    <t>Art. 20.3</t>
  </si>
  <si>
    <t>IS différé de l'exercice (total)</t>
  </si>
  <si>
    <t>Art. 21.1</t>
  </si>
  <si>
    <t>(−) Ajust. DTL non récurrentes (recast)</t>
  </si>
  <si>
    <t>Art. 21.2</t>
  </si>
  <si>
    <t>(−) Plafonnement du taux (cap à 15%)</t>
  </si>
  <si>
    <t>Art. 21.3</t>
  </si>
  <si>
    <t>(−) Impôts liés à revenus exclus (QDMTT d'une autre jur.)</t>
  </si>
  <si>
    <t>Art. 22</t>
  </si>
  <si>
    <t>ONGLET 4 — TAUX EFFECTIF D'IMPOSITION (ETR) JURIDICTIONNEL</t>
  </si>
  <si>
    <t>ETR = Covered Taxes / GloBE Income (Art. 26) | Seuil minimum : 15,00%</t>
  </si>
  <si>
    <t>GloBE Income (k€)</t>
  </si>
  <si>
    <t>Covered Taxes (k€)</t>
  </si>
  <si>
    <t>ETR Juridictionnel</t>
  </si>
  <si>
    <t>Taux minimum (15%)</t>
  </si>
  <si>
    <t>Déficit d'ETR</t>
  </si>
  <si>
    <t>Statut</t>
  </si>
  <si>
    <t>Commentaire</t>
  </si>
  <si>
    <t>ONGLET 5 — SUBSTANCE-BASED INCOME EXCLUSION (SBIE / CARVE-OUT)</t>
  </si>
  <si>
    <t>Art. 28 — Exclusion = Taux salarial × Masse salariale + Taux immo. × VNC immo. corporelles | Taux transitoires dégressifs 2024–2033</t>
  </si>
  <si>
    <t>TABLEAU DES TAUX TRANSITOIRES (Art. 9.2)</t>
  </si>
  <si>
    <t>Année</t>
  </si>
  <si>
    <t>Taux Masse salariale</t>
  </si>
  <si>
    <t>Taux VNC Immo.</t>
  </si>
  <si>
    <t>2033+</t>
  </si>
  <si>
    <t>CALCUL DU CARVE-OUT PAR JURIDICTION (Exercice 2026)</t>
  </si>
  <si>
    <t>Taux 2026</t>
  </si>
  <si>
    <t>Masse salariale éligible</t>
  </si>
  <si>
    <t>Taux salarial transitoire (2026)</t>
  </si>
  <si>
    <t>VNC immo. corporelles (éligibles)</t>
  </si>
  <si>
    <t>Taux immo. transitoire (2026)</t>
  </si>
  <si>
    <t>ONGLET 6 — CALCUL DU COMPLÉMENT D'IMPÔT (TOP-UP TAX) &amp; ALLOCATION IIR / UTPR</t>
  </si>
  <si>
    <t>Top-up Tax = (15% − ETR) × Excess Profit | Excess Profit = GloBE Income − Carve-out | Allocation : IIR (Art. 5.2) puis UTPR (Art. 5.4)</t>
  </si>
  <si>
    <t>Formule</t>
  </si>
  <si>
    <t>GloBE Income</t>
  </si>
  <si>
    <t>Onglet 2</t>
  </si>
  <si>
    <t>(−) Carve-out (SBIE)</t>
  </si>
  <si>
    <t>Onglet 5</t>
  </si>
  <si>
    <t>GI − SBIE</t>
  </si>
  <si>
    <t>Onglet 4</t>
  </si>
  <si>
    <t>Top-up Tax Percentage</t>
  </si>
  <si>
    <t>MAX(0, 15%−ETR)</t>
  </si>
  <si>
    <t>% × Excess</t>
  </si>
  <si>
    <t>ALLOCATION DU TOP-UP TAX :</t>
  </si>
  <si>
    <t>Via IIR (UPE = FR-HQ)</t>
  </si>
  <si>
    <t>Art. 5.2</t>
  </si>
  <si>
    <t>Via UTPR (allocation résiduelle)</t>
  </si>
  <si>
    <t>Art. 5.4</t>
  </si>
  <si>
    <t>ONGLET 7 — SAFE HARBOURS TRANSITOIRES (CbCR-BASED)</t>
  </si>
  <si>
    <t>Tests transitoires (OECD AG, Déc. 2022) : De minimis | ETR simplifié | Profit de routine — Si 1 test passé → Top-up Tax = 0 pour la juridiction</t>
  </si>
  <si>
    <t>CA CbCR (k€)</t>
  </si>
  <si>
    <t>Résultat CbCR (k€)</t>
  </si>
  <si>
    <t>IS payé CbCR (k€)</t>
  </si>
  <si>
    <t>Test 1: De minimis</t>
  </si>
  <si>
    <t>Test 2: ETR simplifié</t>
  </si>
  <si>
    <t>Seuil ETR (2026)</t>
  </si>
  <si>
    <t>Test 3: Profit routine</t>
  </si>
  <si>
    <t>QUALIFIÉ ?</t>
  </si>
  <si>
    <t>Top-up Tax final</t>
  </si>
  <si>
    <t>ONGLET 8 — MAQUETTE DE LA GLOBE INFORMATION RETURN (GIR) — FORMAT OCDE</t>
  </si>
  <si>
    <t>Conformément au modèle OCDE (Déc. 2023) — Pré-remplie à partir des calculs des onglets 1–7</t>
  </si>
  <si>
    <t>SECTION 1 — IDENTIFICATION DU GROUPE</t>
  </si>
  <si>
    <t>Champ</t>
  </si>
  <si>
    <t>Valeur</t>
  </si>
  <si>
    <t>Source</t>
  </si>
  <si>
    <t>Nom du groupe MNE</t>
  </si>
  <si>
    <t>Onglet 1</t>
  </si>
  <si>
    <t>TIN de l'UPE</t>
  </si>
  <si>
    <t>FR-XXX-XXXX-XXXX</t>
  </si>
  <si>
    <t>À compléter</t>
  </si>
  <si>
    <t>Juridiction de l'UPE</t>
  </si>
  <si>
    <t>France (FR)</t>
  </si>
  <si>
    <t>Exercice fiscal déclaré</t>
  </si>
  <si>
    <t>01/01/2026 – 31/12/2026</t>
  </si>
  <si>
    <t>Input</t>
  </si>
  <si>
    <t>Date de dépôt</t>
  </si>
  <si>
    <t>30/06/2028 (18 mois)</t>
  </si>
  <si>
    <t>Art. 44</t>
  </si>
  <si>
    <t>Seuil de CA consolidé</t>
  </si>
  <si>
    <t>≥ 750 M€</t>
  </si>
  <si>
    <t>Art. 1.1</t>
  </si>
  <si>
    <t>Nombre de juridictions</t>
  </si>
  <si>
    <t>Règle appliquée</t>
  </si>
  <si>
    <t>IIR (Income Inclusion Rule)</t>
  </si>
  <si>
    <t>SECTION 2 — RÉSUMÉ PAR JURIDICTION (pré-rempli)</t>
  </si>
  <si>
    <t>ETR (%)</t>
  </si>
  <si>
    <t>SBIE (k€)</t>
  </si>
  <si>
    <t>Top-up Tax (k€)</t>
  </si>
  <si>
    <t>Safe Harbour ?</t>
  </si>
  <si>
    <t>Top-up final (k€)</t>
  </si>
  <si>
    <t>SECTION 3 — DÉTAIL DES ENTITÉS CONSTITUTIVES</t>
  </si>
  <si>
    <t>Nom</t>
  </si>
  <si>
    <t>Exclue ?</t>
  </si>
  <si>
    <t>N/A — Exclue</t>
  </si>
  <si>
    <t>Construire un simulateur Pilier 2 GloBE complet (8 onglets) : Structure Groupe, P&amp;L GloBE, Impôts Couverts, ETR Juridictionnel, Substance Carve-out, Top-up Tax, Safe Harbours, Déclaration GIR. Proposer des améliorations.</t>
  </si>
  <si>
    <t>Créé 8 onglets entièrement liés par formules cross-sheet. Groupe fictif (holding FR + 6 entités). Données fictives illustratives (en k€). Arbre de décision Safe Harbours automatisé. Maquette GIR OCDE pré-remplie.</t>
  </si>
  <si>
    <t>Formules : ETR = Covered Taxes / GloBE Income, Top-up = MAX(0, 15%−ETR) × Excess Profit, SBIE transitoire 2026 (8.6% salaires, 7.0% immo). MFC rouge si ETR &lt; 15%. IIR via UPE (FR-HQ). 3 tests Safe Harbour (de minimis, ETR simplifié, profit routine). Toutes données en bleu = inputs modifiables.</t>
  </si>
  <si>
    <t>Résultat : IE (ETR 10.46%) et MU (ETR 11.88%) sous le seuil → Top-up Tax brut ~1 220 k€. Après Safe Harbours : MU qualifiée (de minimis), IE non qualifiée → Top-up final ~1 017 k€ uniquement sur IE via IIR.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</si>
</sst>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&quot;-&quot;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4472C4"/>
      <name val="Aptos Narrow"/>
      <family val="2"/>
      <scheme val="minor"/>
    </font>
    <font>
      <sz val="11"/>
      <color rgb="FF1F4E79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9"/>
      <color rgb="FF1F4E79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8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0"/>
      <color rgb="FF1F4E79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10" fontId="8" fillId="0" borderId="0" xfId="0" applyNumberFormat="1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/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5" borderId="0" xfId="0" applyFont="1" applyFill="1"/>
    <xf numFmtId="0" fontId="1" fillId="0" borderId="0" xfId="0" applyFont="1"/>
    <xf numFmtId="0" fontId="3" fillId="3" borderId="0" xfId="0" applyFont="1" applyFill="1"/>
    <xf numFmtId="0" fontId="3" fillId="3" borderId="0" xfId="0" applyFont="1" applyFill="1"/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6" fillId="1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5" borderId="0" xfId="0" applyFont="1" applyFill="1"/>
    <xf numFmtId="0" fontId="20" fillId="0" borderId="0" xfId="0" applyFont="1"/>
    <xf numFmtId="165" fontId="8" fillId="0" borderId="0" xfId="0" applyNumberFormat="1" applyFont="1"/>
    <xf numFmtId="165" fontId="1" fillId="0" borderId="0" xfId="0" applyNumberFormat="1" applyFont="1"/>
    <xf numFmtId="0" fontId="21" fillId="0" borderId="0" xfId="0" applyFont="1"/>
    <xf numFmtId="165" fontId="0" fillId="0" borderId="0" xfId="0" applyNumberFormat="1"/>
    <xf numFmtId="0" fontId="0" fillId="3" borderId="0" xfId="0" applyFill="1"/>
    <xf numFmtId="165" fontId="3" fillId="3" borderId="0" xfId="0" applyNumberFormat="1" applyFont="1" applyFill="1"/>
    <xf numFmtId="165" fontId="1" fillId="5" borderId="0" xfId="0" applyNumberFormat="1" applyFont="1" applyFill="1"/>
    <xf numFmtId="10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" fontId="0" fillId="0" borderId="0" xfId="0" applyNumberFormat="1"/>
    <xf numFmtId="1" fontId="0" fillId="11" borderId="0" xfId="0" applyNumberFormat="1" applyFill="1"/>
    <xf numFmtId="164" fontId="0" fillId="11" borderId="0" xfId="0" applyNumberFormat="1" applyFill="1"/>
    <xf numFmtId="164" fontId="1" fillId="0" borderId="0" xfId="0" applyNumberFormat="1" applyFont="1"/>
    <xf numFmtId="0" fontId="3" fillId="8" borderId="0" xfId="0" applyFont="1" applyFill="1"/>
    <xf numFmtId="0" fontId="2" fillId="8" borderId="0" xfId="0" applyFont="1" applyFill="1"/>
    <xf numFmtId="165" fontId="3" fillId="8" borderId="0" xfId="0" applyNumberFormat="1" applyFont="1" applyFill="1"/>
    <xf numFmtId="0" fontId="1" fillId="7" borderId="0" xfId="0" applyFont="1" applyFill="1" applyAlignment="1">
      <alignment horizontal="center"/>
    </xf>
    <xf numFmtId="3" fontId="8" fillId="0" borderId="0" xfId="0" applyNumberFormat="1" applyFont="1"/>
    <xf numFmtId="0" fontId="3" fillId="6" borderId="0" xfId="0" applyFont="1" applyFill="1"/>
    <xf numFmtId="3" fontId="0" fillId="0" borderId="0" xfId="0" applyNumberFormat="1"/>
    <xf numFmtId="3" fontId="1" fillId="0" borderId="0" xfId="0" applyNumberFormat="1" applyFont="1"/>
    <xf numFmtId="3" fontId="3" fillId="3" borderId="0" xfId="0" applyNumberFormat="1" applyFont="1" applyFill="1"/>
    <xf numFmtId="10" fontId="3" fillId="3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 patternType="solid">
          <fgColor indexed="64"/>
          <bgColor rgb="FFE2EFDA"/>
        </patternFill>
      </fill>
    </dxf>
    <dxf>
      <font>
        <b/>
        <i val="0"/>
        <color rgb="FFC00000"/>
      </font>
      <fill>
        <patternFill patternType="solid">
          <fgColor indexed="64"/>
          <bgColor rgb="FFFF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E21E9B-7313-4C37-BE1C-1FD7ACDE2C0E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D221-632D-4156-8D77-A952709C3FF2}">
  <dimension ref="A1:F2"/>
  <sheetViews>
    <sheetView workbookViewId="0"/>
  </sheetViews>
  <sheetFormatPr baseColWidth="10" defaultRowHeight="15" x14ac:dyDescent="0.25"/>
  <cols>
    <col min="1" max="1" width="9.5703125" customWidth="1"/>
    <col min="2" max="2" width="15.28515625" customWidth="1"/>
    <col min="3" max="6" width="3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61">
        <v>46091</v>
      </c>
      <c r="C2" t="s">
        <v>214</v>
      </c>
      <c r="D2" t="s">
        <v>215</v>
      </c>
      <c r="E2" t="s">
        <v>216</v>
      </c>
      <c r="F2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5761-A69A-4862-AC4D-34F42A66C25B}">
  <dimension ref="A1:L32"/>
  <sheetViews>
    <sheetView workbookViewId="0">
      <selection sqref="A1:L1"/>
    </sheetView>
  </sheetViews>
  <sheetFormatPr baseColWidth="10" defaultRowHeight="15" x14ac:dyDescent="0.25"/>
  <cols>
    <col min="1" max="1" width="53.28515625" customWidth="1"/>
  </cols>
  <sheetData>
    <row r="1" spans="1:12" ht="18.75" x14ac:dyDescent="0.3">
      <c r="A1" s="2">
        <v>0.01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</row>
    <row r="5" spans="1:12" x14ac:dyDescent="0.25">
      <c r="A5" s="8" t="s">
        <v>19</v>
      </c>
      <c r="B5" s="8" t="s">
        <v>20</v>
      </c>
      <c r="C5" t="s">
        <v>21</v>
      </c>
      <c r="D5" t="s">
        <v>22</v>
      </c>
      <c r="E5" s="9">
        <v>0.25729999999999997</v>
      </c>
      <c r="F5" s="10" t="s">
        <v>23</v>
      </c>
      <c r="G5" s="10" t="s">
        <v>23</v>
      </c>
      <c r="H5" s="10" t="s">
        <v>23</v>
      </c>
      <c r="I5" s="11" t="s">
        <v>24</v>
      </c>
      <c r="J5" s="10" t="s">
        <v>25</v>
      </c>
      <c r="K5" s="10" t="s">
        <v>26</v>
      </c>
      <c r="L5" s="10" t="s">
        <v>23</v>
      </c>
    </row>
    <row r="6" spans="1:12" x14ac:dyDescent="0.25">
      <c r="A6" s="8" t="s">
        <v>27</v>
      </c>
      <c r="B6" s="8" t="s">
        <v>28</v>
      </c>
      <c r="C6" t="s">
        <v>29</v>
      </c>
      <c r="D6" t="s">
        <v>30</v>
      </c>
      <c r="E6" s="9">
        <v>0.29830000000000001</v>
      </c>
      <c r="F6" s="12">
        <v>1</v>
      </c>
      <c r="G6" s="13">
        <v>0</v>
      </c>
      <c r="H6" t="s">
        <v>19</v>
      </c>
      <c r="I6" s="5" t="s">
        <v>31</v>
      </c>
      <c r="J6" t="s">
        <v>25</v>
      </c>
      <c r="K6" t="s">
        <v>26</v>
      </c>
      <c r="L6" t="s">
        <v>23</v>
      </c>
    </row>
    <row r="7" spans="1:12" x14ac:dyDescent="0.25">
      <c r="A7" s="8" t="s">
        <v>32</v>
      </c>
      <c r="B7" s="8" t="s">
        <v>33</v>
      </c>
      <c r="C7" t="s">
        <v>34</v>
      </c>
      <c r="D7" t="s">
        <v>35</v>
      </c>
      <c r="E7" s="9">
        <v>0.125</v>
      </c>
      <c r="F7" s="12">
        <v>1</v>
      </c>
      <c r="G7" s="13">
        <v>0</v>
      </c>
      <c r="H7" t="s">
        <v>19</v>
      </c>
      <c r="I7" s="5" t="s">
        <v>31</v>
      </c>
      <c r="J7" t="s">
        <v>25</v>
      </c>
      <c r="K7" t="s">
        <v>26</v>
      </c>
      <c r="L7" t="s">
        <v>23</v>
      </c>
    </row>
    <row r="8" spans="1:12" x14ac:dyDescent="0.25">
      <c r="A8" s="8" t="s">
        <v>36</v>
      </c>
      <c r="B8" s="8" t="s">
        <v>37</v>
      </c>
      <c r="C8" t="s">
        <v>38</v>
      </c>
      <c r="D8" t="s">
        <v>39</v>
      </c>
      <c r="E8" s="9">
        <v>0.17</v>
      </c>
      <c r="F8" s="12">
        <v>0.8</v>
      </c>
      <c r="G8" s="13">
        <v>0</v>
      </c>
      <c r="H8" t="s">
        <v>19</v>
      </c>
      <c r="I8" s="5" t="s">
        <v>40</v>
      </c>
      <c r="J8" t="s">
        <v>25</v>
      </c>
      <c r="K8" t="s">
        <v>26</v>
      </c>
      <c r="L8" t="s">
        <v>23</v>
      </c>
    </row>
    <row r="9" spans="1:12" x14ac:dyDescent="0.25">
      <c r="A9" s="8" t="s">
        <v>41</v>
      </c>
      <c r="B9" s="8" t="s">
        <v>42</v>
      </c>
      <c r="C9" t="s">
        <v>43</v>
      </c>
      <c r="D9" t="s">
        <v>44</v>
      </c>
      <c r="E9" s="9">
        <v>0.21</v>
      </c>
      <c r="F9" s="12">
        <v>1</v>
      </c>
      <c r="G9" s="13">
        <v>0</v>
      </c>
      <c r="H9" t="s">
        <v>19</v>
      </c>
      <c r="I9" s="5" t="s">
        <v>31</v>
      </c>
      <c r="J9" t="s">
        <v>25</v>
      </c>
      <c r="K9" t="s">
        <v>26</v>
      </c>
      <c r="L9" t="s">
        <v>23</v>
      </c>
    </row>
    <row r="10" spans="1:12" x14ac:dyDescent="0.25">
      <c r="A10" s="8" t="s">
        <v>45</v>
      </c>
      <c r="B10" s="8" t="s">
        <v>46</v>
      </c>
      <c r="C10" t="s">
        <v>47</v>
      </c>
      <c r="D10" t="s">
        <v>48</v>
      </c>
      <c r="E10" s="9">
        <v>0.15</v>
      </c>
      <c r="F10" s="12">
        <v>0.6</v>
      </c>
      <c r="G10" s="12">
        <v>0.2</v>
      </c>
      <c r="H10" t="s">
        <v>36</v>
      </c>
      <c r="I10" s="5" t="s">
        <v>49</v>
      </c>
      <c r="J10" t="s">
        <v>25</v>
      </c>
      <c r="K10" t="s">
        <v>26</v>
      </c>
      <c r="L10" t="s">
        <v>23</v>
      </c>
    </row>
    <row r="11" spans="1:12" x14ac:dyDescent="0.25">
      <c r="A11" s="14" t="s">
        <v>50</v>
      </c>
      <c r="B11" s="14" t="s">
        <v>51</v>
      </c>
      <c r="C11" t="s">
        <v>21</v>
      </c>
      <c r="D11" t="s">
        <v>22</v>
      </c>
      <c r="E11" s="9">
        <v>0</v>
      </c>
      <c r="F11" s="12">
        <v>1</v>
      </c>
      <c r="G11" s="13">
        <v>0</v>
      </c>
      <c r="H11" t="s">
        <v>19</v>
      </c>
      <c r="I11" s="14" t="s">
        <v>23</v>
      </c>
      <c r="J11" t="s">
        <v>26</v>
      </c>
      <c r="K11" s="15" t="s">
        <v>25</v>
      </c>
      <c r="L11" s="16" t="s">
        <v>52</v>
      </c>
    </row>
    <row r="13" spans="1:12" x14ac:dyDescent="0.25">
      <c r="A13" s="17" t="s">
        <v>53</v>
      </c>
      <c r="B13" s="17"/>
      <c r="C13" s="17"/>
      <c r="D13" s="17"/>
      <c r="E13" s="17"/>
    </row>
    <row r="14" spans="1:12" x14ac:dyDescent="0.25">
      <c r="A14" s="18" t="s">
        <v>24</v>
      </c>
      <c r="B14" t="s">
        <v>54</v>
      </c>
    </row>
    <row r="15" spans="1:12" x14ac:dyDescent="0.25">
      <c r="A15" s="18" t="s">
        <v>49</v>
      </c>
      <c r="B15" t="s">
        <v>55</v>
      </c>
    </row>
    <row r="16" spans="1:12" x14ac:dyDescent="0.25">
      <c r="A16" s="18" t="s">
        <v>40</v>
      </c>
      <c r="B16" t="s">
        <v>56</v>
      </c>
    </row>
    <row r="17" spans="1:12" x14ac:dyDescent="0.25">
      <c r="A17" s="18" t="s">
        <v>31</v>
      </c>
      <c r="B17" t="s">
        <v>57</v>
      </c>
    </row>
    <row r="18" spans="1:12" x14ac:dyDescent="0.25">
      <c r="A18" s="18" t="s">
        <v>58</v>
      </c>
      <c r="B18" t="s">
        <v>59</v>
      </c>
    </row>
    <row r="19" spans="1:12" x14ac:dyDescent="0.25">
      <c r="A19" s="15" t="s">
        <v>60</v>
      </c>
      <c r="B19" t="s">
        <v>61</v>
      </c>
    </row>
    <row r="21" spans="1:12" x14ac:dyDescent="0.25">
      <c r="A21" s="20" t="s">
        <v>62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15.75" thickBot="1" x14ac:dyDescent="0.3"/>
    <row r="23" spans="1:12" ht="16.5" thickBot="1" x14ac:dyDescent="0.3">
      <c r="D23" s="22" t="s">
        <v>63</v>
      </c>
      <c r="E23" s="21"/>
      <c r="F23" s="21"/>
      <c r="G23" s="21"/>
      <c r="H23" s="23"/>
    </row>
    <row r="24" spans="1:12" x14ac:dyDescent="0.25">
      <c r="D24" s="24" t="s">
        <v>64</v>
      </c>
      <c r="E24" s="24"/>
      <c r="F24" s="24"/>
      <c r="G24" s="24"/>
      <c r="H24" s="24"/>
    </row>
    <row r="25" spans="1:12" ht="18.75" x14ac:dyDescent="0.3">
      <c r="F25" s="25" t="s">
        <v>65</v>
      </c>
    </row>
    <row r="26" spans="1:12" x14ac:dyDescent="0.25">
      <c r="B26" s="26" t="s">
        <v>66</v>
      </c>
      <c r="D26" s="26" t="s">
        <v>67</v>
      </c>
      <c r="F26" s="26" t="s">
        <v>68</v>
      </c>
      <c r="H26" s="26" t="s">
        <v>67</v>
      </c>
      <c r="J26" s="26" t="s">
        <v>69</v>
      </c>
    </row>
    <row r="28" spans="1:12" x14ac:dyDescent="0.25">
      <c r="A28" s="27" t="s">
        <v>70</v>
      </c>
      <c r="B28" s="27"/>
      <c r="C28" s="27" t="s">
        <v>72</v>
      </c>
      <c r="D28" s="27"/>
      <c r="E28" s="27" t="s">
        <v>74</v>
      </c>
      <c r="F28" s="27"/>
      <c r="G28" s="27" t="s">
        <v>76</v>
      </c>
      <c r="H28" s="27"/>
      <c r="I28" s="30" t="s">
        <v>78</v>
      </c>
      <c r="J28" s="30"/>
    </row>
    <row r="29" spans="1:12" x14ac:dyDescent="0.25">
      <c r="A29" s="28" t="s">
        <v>71</v>
      </c>
      <c r="B29" s="28"/>
      <c r="C29" s="29" t="s">
        <v>73</v>
      </c>
      <c r="D29" s="29"/>
      <c r="E29" s="28" t="s">
        <v>75</v>
      </c>
      <c r="F29" s="28"/>
      <c r="G29" s="28" t="s">
        <v>77</v>
      </c>
      <c r="H29" s="28"/>
      <c r="I29" s="31" t="s">
        <v>79</v>
      </c>
      <c r="J29" s="31"/>
    </row>
    <row r="30" spans="1:12" ht="15.75" x14ac:dyDescent="0.25">
      <c r="E30" s="32" t="s">
        <v>65</v>
      </c>
    </row>
    <row r="31" spans="1:12" x14ac:dyDescent="0.25">
      <c r="E31" s="33" t="s">
        <v>80</v>
      </c>
      <c r="F31" s="33"/>
    </row>
    <row r="32" spans="1:12" x14ac:dyDescent="0.25">
      <c r="E32" s="29" t="s">
        <v>81</v>
      </c>
      <c r="F32" s="29"/>
    </row>
  </sheetData>
  <mergeCells count="18">
    <mergeCell ref="G28:H28"/>
    <mergeCell ref="G29:H29"/>
    <mergeCell ref="I28:J28"/>
    <mergeCell ref="I29:J29"/>
    <mergeCell ref="E31:F31"/>
    <mergeCell ref="E32:F32"/>
    <mergeCell ref="A28:B28"/>
    <mergeCell ref="A29:B29"/>
    <mergeCell ref="C28:D28"/>
    <mergeCell ref="C29:D29"/>
    <mergeCell ref="E28:F28"/>
    <mergeCell ref="E29:F29"/>
    <mergeCell ref="A1:L1"/>
    <mergeCell ref="A2:L2"/>
    <mergeCell ref="A13:E13"/>
    <mergeCell ref="A21:L21"/>
    <mergeCell ref="D23:H23"/>
    <mergeCell ref="D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2CAC-550B-437A-B883-B30204A691F9}">
  <dimension ref="A1:I18"/>
  <sheetViews>
    <sheetView workbookViewId="0">
      <pane ySplit="4" topLeftCell="A5" activePane="bottomLeft" state="frozen"/>
      <selection pane="bottomLeft" sqref="A1:I1"/>
    </sheetView>
  </sheetViews>
  <sheetFormatPr baseColWidth="10" defaultRowHeight="15" x14ac:dyDescent="0.25"/>
  <cols>
    <col min="1" max="1" width="53.28515625" customWidth="1"/>
    <col min="2" max="2" width="13.28515625" customWidth="1"/>
    <col min="3" max="9" width="16.140625" customWidth="1"/>
  </cols>
  <sheetData>
    <row r="1" spans="1:9" ht="18.75" x14ac:dyDescent="0.3">
      <c r="A1" s="2" t="s">
        <v>82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83</v>
      </c>
    </row>
    <row r="4" spans="1:9" x14ac:dyDescent="0.25">
      <c r="A4" s="7" t="s">
        <v>84</v>
      </c>
      <c r="B4" s="7" t="s">
        <v>85</v>
      </c>
      <c r="C4" s="7" t="s">
        <v>22</v>
      </c>
      <c r="D4" s="7" t="s">
        <v>30</v>
      </c>
      <c r="E4" s="7" t="s">
        <v>35</v>
      </c>
      <c r="F4" s="7" t="s">
        <v>39</v>
      </c>
      <c r="G4" s="7" t="s">
        <v>44</v>
      </c>
      <c r="H4" s="7" t="s">
        <v>48</v>
      </c>
      <c r="I4" s="34" t="s">
        <v>86</v>
      </c>
    </row>
    <row r="5" spans="1:9" x14ac:dyDescent="0.25">
      <c r="A5" s="35" t="s">
        <v>87</v>
      </c>
      <c r="B5" s="36" t="s">
        <v>88</v>
      </c>
      <c r="C5" s="37">
        <v>12000</v>
      </c>
      <c r="D5" s="37">
        <v>8500</v>
      </c>
      <c r="E5" s="37">
        <v>25000</v>
      </c>
      <c r="F5" s="37">
        <v>15000</v>
      </c>
      <c r="G5" s="37">
        <v>18000</v>
      </c>
      <c r="H5" s="37">
        <v>6000</v>
      </c>
      <c r="I5" s="38">
        <f>SUM(C5:H5)</f>
        <v>84500</v>
      </c>
    </row>
    <row r="6" spans="1:9" x14ac:dyDescent="0.25">
      <c r="A6" s="39" t="s">
        <v>89</v>
      </c>
    </row>
    <row r="7" spans="1:9" x14ac:dyDescent="0.25">
      <c r="A7" t="s">
        <v>90</v>
      </c>
      <c r="B7" t="s">
        <v>91</v>
      </c>
      <c r="C7" s="37">
        <v>3500</v>
      </c>
      <c r="D7" s="37">
        <v>2800</v>
      </c>
      <c r="E7" s="37">
        <v>3200</v>
      </c>
      <c r="F7" s="37">
        <v>2600</v>
      </c>
      <c r="G7" s="37">
        <v>4200</v>
      </c>
      <c r="H7" s="37">
        <v>900</v>
      </c>
      <c r="I7" s="38">
        <f>SUM(C7:H7)</f>
        <v>17200</v>
      </c>
    </row>
    <row r="8" spans="1:9" x14ac:dyDescent="0.25">
      <c r="A8" t="s">
        <v>92</v>
      </c>
      <c r="B8" t="s">
        <v>93</v>
      </c>
      <c r="C8" s="37">
        <v>-2000</v>
      </c>
      <c r="D8" s="40">
        <v>0</v>
      </c>
      <c r="E8" s="40">
        <v>0</v>
      </c>
      <c r="F8" s="37">
        <v>-500</v>
      </c>
      <c r="G8" s="40">
        <v>0</v>
      </c>
      <c r="H8" s="40">
        <v>0</v>
      </c>
      <c r="I8" s="38">
        <f>SUM(C8:H8)</f>
        <v>-2500</v>
      </c>
    </row>
    <row r="9" spans="1:9" x14ac:dyDescent="0.25">
      <c r="A9" t="s">
        <v>94</v>
      </c>
      <c r="B9" t="s">
        <v>95</v>
      </c>
      <c r="C9" s="37">
        <v>0</v>
      </c>
      <c r="D9" s="40">
        <v>0</v>
      </c>
      <c r="E9" s="37">
        <v>-1500</v>
      </c>
      <c r="F9" s="37">
        <v>0</v>
      </c>
      <c r="G9" s="37">
        <v>0</v>
      </c>
      <c r="H9" s="37">
        <v>0</v>
      </c>
      <c r="I9" s="38">
        <f>SUM(C9:H9)</f>
        <v>-1500</v>
      </c>
    </row>
    <row r="10" spans="1:9" x14ac:dyDescent="0.25">
      <c r="A10" t="s">
        <v>96</v>
      </c>
      <c r="B10" t="s">
        <v>97</v>
      </c>
      <c r="C10" s="37">
        <v>-300</v>
      </c>
      <c r="D10" s="37">
        <v>-200</v>
      </c>
      <c r="E10" s="37">
        <v>150</v>
      </c>
      <c r="F10" s="37">
        <v>-400</v>
      </c>
      <c r="G10" s="37">
        <v>600</v>
      </c>
      <c r="H10" s="37">
        <v>-100</v>
      </c>
      <c r="I10" s="38">
        <f>SUM(C10:H10)</f>
        <v>-250</v>
      </c>
    </row>
    <row r="11" spans="1:9" x14ac:dyDescent="0.25">
      <c r="A11" t="s">
        <v>98</v>
      </c>
      <c r="B11" t="s">
        <v>99</v>
      </c>
      <c r="C11" s="37">
        <v>-800</v>
      </c>
      <c r="D11" s="37">
        <v>-300</v>
      </c>
      <c r="E11" s="37">
        <v>-1200</v>
      </c>
      <c r="F11" s="37">
        <v>-600</v>
      </c>
      <c r="G11" s="37">
        <v>-1500</v>
      </c>
      <c r="H11" s="37">
        <v>0</v>
      </c>
      <c r="I11" s="38">
        <f>SUM(C11:H11)</f>
        <v>-4400</v>
      </c>
    </row>
    <row r="12" spans="1:9" x14ac:dyDescent="0.25">
      <c r="A12" t="s">
        <v>100</v>
      </c>
      <c r="B12" t="s">
        <v>101</v>
      </c>
      <c r="C12" s="37">
        <v>-500</v>
      </c>
      <c r="D12" s="37">
        <v>200</v>
      </c>
      <c r="E12" s="37">
        <v>-800</v>
      </c>
      <c r="F12" s="37">
        <v>300</v>
      </c>
      <c r="G12" s="37">
        <v>-400</v>
      </c>
      <c r="H12" s="37">
        <v>100</v>
      </c>
      <c r="I12" s="38">
        <f>SUM(C12:H12)</f>
        <v>-1100</v>
      </c>
    </row>
    <row r="13" spans="1:9" x14ac:dyDescent="0.25">
      <c r="A13" t="s">
        <v>102</v>
      </c>
      <c r="B13" t="s">
        <v>103</v>
      </c>
      <c r="C13" s="37">
        <v>-150</v>
      </c>
      <c r="D13" s="37">
        <v>-100</v>
      </c>
      <c r="E13" s="37">
        <v>0</v>
      </c>
      <c r="F13" s="37">
        <v>-50</v>
      </c>
      <c r="G13" s="37">
        <v>-200</v>
      </c>
      <c r="H13" s="37">
        <v>0</v>
      </c>
      <c r="I13" s="38">
        <f>SUM(C13:H13)</f>
        <v>-500</v>
      </c>
    </row>
    <row r="14" spans="1:9" x14ac:dyDescent="0.25">
      <c r="A14" t="s">
        <v>104</v>
      </c>
      <c r="B14" t="s">
        <v>105</v>
      </c>
      <c r="C14" s="37">
        <v>0</v>
      </c>
      <c r="D14" s="37">
        <v>0</v>
      </c>
      <c r="E14" s="37">
        <v>0</v>
      </c>
      <c r="F14" s="37">
        <v>-1000</v>
      </c>
      <c r="G14" s="37">
        <v>0</v>
      </c>
      <c r="H14" s="37">
        <v>0</v>
      </c>
      <c r="I14" s="38">
        <f>SUM(C14:H14)</f>
        <v>-1000</v>
      </c>
    </row>
    <row r="15" spans="1:9" x14ac:dyDescent="0.25">
      <c r="A15" t="s">
        <v>106</v>
      </c>
      <c r="B15" t="s">
        <v>107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8">
        <f>SUM(C15:H15)</f>
        <v>0</v>
      </c>
    </row>
    <row r="16" spans="1:9" x14ac:dyDescent="0.25">
      <c r="A16" t="s">
        <v>108</v>
      </c>
      <c r="B16" t="s">
        <v>109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8">
        <f>SUM(C16:H16)</f>
        <v>0</v>
      </c>
    </row>
    <row r="17" spans="1:9" x14ac:dyDescent="0.25">
      <c r="A17" t="s">
        <v>110</v>
      </c>
      <c r="B17" t="s">
        <v>111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8">
        <f>SUM(C17:H17)</f>
        <v>0</v>
      </c>
    </row>
    <row r="18" spans="1:9" x14ac:dyDescent="0.25">
      <c r="A18" s="19" t="e" cm="1">
        <f t="array" ref="A18" xml:space="preserve"> RÉSULTAT QUALIFIÉ GloBE (GloBE Income)</f>
        <v>#NAME?</v>
      </c>
      <c r="B18" s="41"/>
      <c r="C18" s="42">
        <f>SUM(C5:C17)</f>
        <v>11750</v>
      </c>
      <c r="D18" s="42">
        <f>SUM(D5:D17)</f>
        <v>10900</v>
      </c>
      <c r="E18" s="42">
        <f>SUM(E5:E17)</f>
        <v>24850</v>
      </c>
      <c r="F18" s="42">
        <f>SUM(F5:F17)</f>
        <v>15350</v>
      </c>
      <c r="G18" s="42">
        <f>SUM(G5:G17)</f>
        <v>20700</v>
      </c>
      <c r="H18" s="42">
        <f>SUM(H5:H17)</f>
        <v>6900</v>
      </c>
      <c r="I18" s="42">
        <f>SUM(C18:H18)</f>
        <v>90450</v>
      </c>
    </row>
  </sheetData>
  <mergeCells count="1">
    <mergeCell ref="A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0AF2-9389-4081-80E4-0E27B0FDDDCD}">
  <dimension ref="A1:I16"/>
  <sheetViews>
    <sheetView workbookViewId="0">
      <pane ySplit="4" topLeftCell="A5" activePane="bottomLeft" state="frozen"/>
      <selection pane="bottomLeft" sqref="A1:I1"/>
    </sheetView>
  </sheetViews>
  <sheetFormatPr baseColWidth="10" defaultRowHeight="15" x14ac:dyDescent="0.25"/>
  <cols>
    <col min="1" max="1" width="53.28515625" customWidth="1"/>
    <col min="2" max="2" width="13.28515625" customWidth="1"/>
    <col min="3" max="9" width="16.140625" customWidth="1"/>
  </cols>
  <sheetData>
    <row r="1" spans="1:9" ht="18.75" x14ac:dyDescent="0.3">
      <c r="A1" s="2" t="s">
        <v>112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113</v>
      </c>
    </row>
    <row r="4" spans="1:9" x14ac:dyDescent="0.25">
      <c r="A4" s="7" t="s">
        <v>84</v>
      </c>
      <c r="B4" s="7" t="s">
        <v>85</v>
      </c>
      <c r="C4" s="7" t="s">
        <v>22</v>
      </c>
      <c r="D4" s="7" t="s">
        <v>30</v>
      </c>
      <c r="E4" s="7" t="s">
        <v>35</v>
      </c>
      <c r="F4" s="7" t="s">
        <v>39</v>
      </c>
      <c r="G4" s="7" t="s">
        <v>44</v>
      </c>
      <c r="H4" s="7" t="s">
        <v>48</v>
      </c>
      <c r="I4" s="34" t="s">
        <v>114</v>
      </c>
    </row>
    <row r="5" spans="1:9" x14ac:dyDescent="0.25">
      <c r="A5" t="s">
        <v>115</v>
      </c>
      <c r="B5" t="s">
        <v>116</v>
      </c>
      <c r="C5" s="37">
        <v>3000</v>
      </c>
      <c r="D5" s="37">
        <v>2500</v>
      </c>
      <c r="E5" s="37">
        <v>2800</v>
      </c>
      <c r="F5" s="37">
        <v>2300</v>
      </c>
      <c r="G5" s="37">
        <v>3800</v>
      </c>
      <c r="H5" s="37">
        <v>700</v>
      </c>
      <c r="I5" s="38">
        <f>SUM(C5:H5)</f>
        <v>15100</v>
      </c>
    </row>
    <row r="6" spans="1:9" x14ac:dyDescent="0.25">
      <c r="A6" t="s">
        <v>117</v>
      </c>
      <c r="B6" t="s">
        <v>118</v>
      </c>
      <c r="C6" s="37">
        <v>200</v>
      </c>
      <c r="D6" s="37">
        <v>100</v>
      </c>
      <c r="E6" s="40">
        <v>0</v>
      </c>
      <c r="F6" s="37">
        <v>150</v>
      </c>
      <c r="G6" s="37">
        <v>300</v>
      </c>
      <c r="H6" s="37">
        <v>50</v>
      </c>
      <c r="I6" s="38">
        <f>SUM(C6:H6)</f>
        <v>800</v>
      </c>
    </row>
    <row r="7" spans="1:9" x14ac:dyDescent="0.25">
      <c r="A7" t="s">
        <v>119</v>
      </c>
      <c r="B7" t="s">
        <v>120</v>
      </c>
      <c r="C7" s="37">
        <v>-400</v>
      </c>
      <c r="D7" s="40">
        <v>0</v>
      </c>
      <c r="E7" s="37">
        <v>-600</v>
      </c>
      <c r="F7" s="37">
        <v>-200</v>
      </c>
      <c r="G7" s="37">
        <v>-500</v>
      </c>
      <c r="H7" s="37">
        <v>0</v>
      </c>
      <c r="I7" s="38">
        <f>SUM(C7:H7)</f>
        <v>-1700</v>
      </c>
    </row>
    <row r="8" spans="1:9" x14ac:dyDescent="0.25">
      <c r="A8" s="35" t="e" cm="1">
        <f t="array" ref="A8" xml:space="preserve"> Sous-total IS courant ajusté</f>
        <v>#NAME?</v>
      </c>
      <c r="C8" s="43">
        <f>SUM(C5:C7)</f>
        <v>2800</v>
      </c>
      <c r="D8" s="43">
        <f>SUM(D5:D7)</f>
        <v>2600</v>
      </c>
      <c r="E8" s="43">
        <f>SUM(E5:E7)</f>
        <v>2200</v>
      </c>
      <c r="F8" s="43">
        <f>SUM(F5:F7)</f>
        <v>2250</v>
      </c>
      <c r="G8" s="43">
        <f>SUM(G5:G7)</f>
        <v>3600</v>
      </c>
      <c r="H8" s="43">
        <f>SUM(H5:H7)</f>
        <v>750</v>
      </c>
      <c r="I8" s="43">
        <f>SUM(C8:H8)</f>
        <v>14200</v>
      </c>
    </row>
    <row r="10" spans="1:9" x14ac:dyDescent="0.25">
      <c r="A10" t="s">
        <v>121</v>
      </c>
      <c r="B10" t="s">
        <v>122</v>
      </c>
      <c r="C10" s="37">
        <v>500</v>
      </c>
      <c r="D10" s="37">
        <v>400</v>
      </c>
      <c r="E10" s="37">
        <v>600</v>
      </c>
      <c r="F10" s="37">
        <v>300</v>
      </c>
      <c r="G10" s="37">
        <v>700</v>
      </c>
      <c r="H10" s="37">
        <v>100</v>
      </c>
      <c r="I10" s="38">
        <f>SUM(C10:H10)</f>
        <v>2600</v>
      </c>
    </row>
    <row r="11" spans="1:9" x14ac:dyDescent="0.25">
      <c r="A11" t="s">
        <v>123</v>
      </c>
      <c r="B11" t="s">
        <v>124</v>
      </c>
      <c r="C11" s="37">
        <v>-100</v>
      </c>
      <c r="D11" s="37">
        <v>-50</v>
      </c>
      <c r="E11" s="37">
        <v>-200</v>
      </c>
      <c r="F11" s="37">
        <v>-80</v>
      </c>
      <c r="G11" s="37">
        <v>-150</v>
      </c>
      <c r="H11" s="37">
        <v>-30</v>
      </c>
      <c r="I11" s="38">
        <f>SUM(C11:H11)</f>
        <v>-610</v>
      </c>
    </row>
    <row r="12" spans="1:9" x14ac:dyDescent="0.25">
      <c r="A12" t="s">
        <v>125</v>
      </c>
      <c r="B12" t="s">
        <v>126</v>
      </c>
      <c r="C12" s="37">
        <v>0</v>
      </c>
      <c r="D12" s="40">
        <v>0</v>
      </c>
      <c r="E12" s="37">
        <v>0</v>
      </c>
      <c r="F12" s="37">
        <v>0</v>
      </c>
      <c r="G12" s="37">
        <v>0</v>
      </c>
      <c r="H12" s="37">
        <v>0</v>
      </c>
      <c r="I12" s="38">
        <f>SUM(C12:H12)</f>
        <v>0</v>
      </c>
    </row>
    <row r="13" spans="1:9" x14ac:dyDescent="0.25">
      <c r="A13" s="35" t="e" cm="1">
        <f t="array" ref="A13" xml:space="preserve"> Sous-total IS différé ajusté</f>
        <v>#NAME?</v>
      </c>
      <c r="C13" s="43">
        <f>SUM(C10:C12)</f>
        <v>400</v>
      </c>
      <c r="D13" s="43">
        <f>SUM(D10:D12)</f>
        <v>350</v>
      </c>
      <c r="E13" s="43">
        <f>SUM(E10:E12)</f>
        <v>400</v>
      </c>
      <c r="F13" s="43">
        <f>SUM(F10:F12)</f>
        <v>220</v>
      </c>
      <c r="G13" s="43">
        <f>SUM(G10:G12)</f>
        <v>550</v>
      </c>
      <c r="H13" s="43">
        <f>SUM(H10:H12)</f>
        <v>70</v>
      </c>
      <c r="I13" s="43">
        <f>SUM(C13:H13)</f>
        <v>1990</v>
      </c>
    </row>
    <row r="15" spans="1:9" x14ac:dyDescent="0.25">
      <c r="A15" t="s">
        <v>127</v>
      </c>
      <c r="B15" t="s">
        <v>128</v>
      </c>
      <c r="C15" s="37">
        <v>0</v>
      </c>
      <c r="D15" s="40">
        <v>0</v>
      </c>
      <c r="E15" s="37">
        <v>0</v>
      </c>
      <c r="F15" s="37">
        <v>0</v>
      </c>
      <c r="G15" s="37">
        <v>0</v>
      </c>
      <c r="H15" s="37">
        <v>0</v>
      </c>
      <c r="I15" s="38">
        <f>SUM(C15:H15)</f>
        <v>0</v>
      </c>
    </row>
    <row r="16" spans="1:9" x14ac:dyDescent="0.25">
      <c r="A16" s="19" t="e" cm="1">
        <f t="array" ref="A16" xml:space="preserve"> total IMPÔTS COUVERTS (Covered Taxes)</f>
        <v>#NAME?</v>
      </c>
      <c r="B16" s="41"/>
      <c r="C16" s="42">
        <f>C8+C13+C15</f>
        <v>3200</v>
      </c>
      <c r="D16" s="42">
        <f>D8+D13+D15</f>
        <v>2950</v>
      </c>
      <c r="E16" s="42">
        <f>E8+E13+E15</f>
        <v>2600</v>
      </c>
      <c r="F16" s="42">
        <f>F8+F13+F15</f>
        <v>2470</v>
      </c>
      <c r="G16" s="42">
        <f>G8+G13+G15</f>
        <v>4150</v>
      </c>
      <c r="H16" s="42">
        <f>H8+H13+H15</f>
        <v>820</v>
      </c>
      <c r="I16" s="42">
        <f>SUM(C16:H16)</f>
        <v>16190</v>
      </c>
    </row>
  </sheetData>
  <mergeCells count="1">
    <mergeCell ref="A1:I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5885-2640-4765-A943-55B78F244C10}">
  <dimension ref="A1:H10"/>
  <sheetViews>
    <sheetView workbookViewId="0">
      <pane ySplit="4" topLeftCell="A5" activePane="bottomLeft" state="frozen"/>
      <selection pane="bottomLeft" sqref="A1:H1"/>
    </sheetView>
  </sheetViews>
  <sheetFormatPr baseColWidth="10" defaultRowHeight="15" x14ac:dyDescent="0.25"/>
  <cols>
    <col min="1" max="1" width="53.28515625" customWidth="1"/>
    <col min="2" max="8" width="21" customWidth="1"/>
  </cols>
  <sheetData>
    <row r="1" spans="1:8" ht="18.75" x14ac:dyDescent="0.3">
      <c r="A1" s="2" t="s">
        <v>129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130</v>
      </c>
    </row>
    <row r="4" spans="1:8" x14ac:dyDescent="0.25">
      <c r="A4" s="7" t="s">
        <v>9</v>
      </c>
      <c r="B4" s="7" t="s">
        <v>131</v>
      </c>
      <c r="C4" s="7" t="s">
        <v>132</v>
      </c>
      <c r="D4" s="7" t="s">
        <v>133</v>
      </c>
      <c r="E4" s="7" t="s">
        <v>134</v>
      </c>
      <c r="F4" s="7" t="s">
        <v>135</v>
      </c>
      <c r="G4" s="7" t="s">
        <v>136</v>
      </c>
      <c r="H4" s="7" t="s">
        <v>137</v>
      </c>
    </row>
    <row r="5" spans="1:8" x14ac:dyDescent="0.25">
      <c r="A5" t="s">
        <v>22</v>
      </c>
      <c r="B5" s="40">
        <f>'2 — P&amp;L GloBE'!C18</f>
        <v>11750</v>
      </c>
      <c r="C5" s="40">
        <f>'3 — Impôts Couverts'!C16</f>
        <v>3200</v>
      </c>
      <c r="D5" s="44">
        <f>IF(B5=0,"-",C5/B5)</f>
        <v>0.2723404255319149</v>
      </c>
      <c r="E5" s="44">
        <v>0.15</v>
      </c>
      <c r="F5" s="44">
        <f>IF(B5=0,"-",MAX(0,E5-D5))</f>
        <v>0</v>
      </c>
      <c r="G5" t="str">
        <f>IF(D5="-","N/A",IF(D5&gt;=E5,"✅ Conforme","❌ Sous le seuil"))</f>
        <v>✅ Conforme</v>
      </c>
      <c r="H5" t="str">
        <f>IF(D5="-","GloBE Income nul",IF(D5&gt;=0.15,"Pas de Top-up Tax","Top-up Tax requis"))</f>
        <v>Pas de Top-up Tax</v>
      </c>
    </row>
    <row r="6" spans="1:8" x14ac:dyDescent="0.25">
      <c r="A6" t="s">
        <v>30</v>
      </c>
      <c r="B6" s="40">
        <f>'2 — P&amp;L GloBE'!D18</f>
        <v>10900</v>
      </c>
      <c r="C6" s="40">
        <f>'3 — Impôts Couverts'!D16</f>
        <v>2950</v>
      </c>
      <c r="D6" s="44">
        <f>IF(B6=0,"-",C6/B6)</f>
        <v>0.27064220183486237</v>
      </c>
      <c r="E6" s="44">
        <v>0.15</v>
      </c>
      <c r="F6" s="44">
        <f>IF(B6=0,"-",MAX(0,E6-D6))</f>
        <v>0</v>
      </c>
      <c r="G6" t="str">
        <f>IF(D6="-","N/A",IF(D6&gt;=E6,"✅ Conforme","❌ Sous le seuil"))</f>
        <v>✅ Conforme</v>
      </c>
      <c r="H6" t="str">
        <f>IF(D6="-","GloBE Income nul",IF(D6&gt;=0.15,"Pas de Top-up Tax","Top-up Tax requis"))</f>
        <v>Pas de Top-up Tax</v>
      </c>
    </row>
    <row r="7" spans="1:8" x14ac:dyDescent="0.25">
      <c r="A7" t="s">
        <v>35</v>
      </c>
      <c r="B7" s="40">
        <f>'2 — P&amp;L GloBE'!E18</f>
        <v>24850</v>
      </c>
      <c r="C7" s="40">
        <f>'3 — Impôts Couverts'!E16</f>
        <v>2600</v>
      </c>
      <c r="D7" s="44">
        <f>IF(B7=0,"-",C7/B7)</f>
        <v>0.10462776659959759</v>
      </c>
      <c r="E7" s="44">
        <v>0.15</v>
      </c>
      <c r="F7" s="44">
        <f>IF(B7=0,"-",MAX(0,E7-D7))</f>
        <v>4.5372233400402404E-2</v>
      </c>
      <c r="G7" t="str">
        <f>IF(D7="-","N/A",IF(D7&gt;=E7,"✅ Conforme","❌ Sous le seuil"))</f>
        <v>❌ Sous le seuil</v>
      </c>
      <c r="H7" t="str">
        <f>IF(D7="-","GloBE Income nul",IF(D7&gt;=0.15,"Pas de Top-up Tax","Top-up Tax requis"))</f>
        <v>Top-up Tax requis</v>
      </c>
    </row>
    <row r="8" spans="1:8" x14ac:dyDescent="0.25">
      <c r="A8" t="s">
        <v>39</v>
      </c>
      <c r="B8" s="40">
        <f>'2 — P&amp;L GloBE'!F18</f>
        <v>15350</v>
      </c>
      <c r="C8" s="40">
        <f>'3 — Impôts Couverts'!F16</f>
        <v>2470</v>
      </c>
      <c r="D8" s="44">
        <f>IF(B8=0,"-",C8/B8)</f>
        <v>0.16091205211726384</v>
      </c>
      <c r="E8" s="44">
        <v>0.15</v>
      </c>
      <c r="F8" s="44">
        <f>IF(B8=0,"-",MAX(0,E8-D8))</f>
        <v>0</v>
      </c>
      <c r="G8" t="str">
        <f>IF(D8="-","N/A",IF(D8&gt;=E8,"✅ Conforme","❌ Sous le seuil"))</f>
        <v>✅ Conforme</v>
      </c>
      <c r="H8" t="str">
        <f>IF(D8="-","GloBE Income nul",IF(D8&gt;=0.15,"Pas de Top-up Tax","Top-up Tax requis"))</f>
        <v>Pas de Top-up Tax</v>
      </c>
    </row>
    <row r="9" spans="1:8" x14ac:dyDescent="0.25">
      <c r="A9" t="s">
        <v>44</v>
      </c>
      <c r="B9" s="40">
        <f>'2 — P&amp;L GloBE'!G18</f>
        <v>20700</v>
      </c>
      <c r="C9" s="40">
        <f>'3 — Impôts Couverts'!G16</f>
        <v>4150</v>
      </c>
      <c r="D9" s="44">
        <f>IF(B9=0,"-",C9/B9)</f>
        <v>0.20048309178743962</v>
      </c>
      <c r="E9" s="44">
        <v>0.15</v>
      </c>
      <c r="F9" s="44">
        <f>IF(B9=0,"-",MAX(0,E9-D9))</f>
        <v>0</v>
      </c>
      <c r="G9" t="str">
        <f>IF(D9="-","N/A",IF(D9&gt;=E9,"✅ Conforme","❌ Sous le seuil"))</f>
        <v>✅ Conforme</v>
      </c>
      <c r="H9" t="str">
        <f>IF(D9="-","GloBE Income nul",IF(D9&gt;=0.15,"Pas de Top-up Tax","Top-up Tax requis"))</f>
        <v>Pas de Top-up Tax</v>
      </c>
    </row>
    <row r="10" spans="1:8" x14ac:dyDescent="0.25">
      <c r="A10" t="s">
        <v>48</v>
      </c>
      <c r="B10" s="40">
        <f>'2 — P&amp;L GloBE'!H18</f>
        <v>6900</v>
      </c>
      <c r="C10" s="40">
        <f>'3 — Impôts Couverts'!H16</f>
        <v>820</v>
      </c>
      <c r="D10" s="44">
        <f>IF(B10=0,"-",C10/B10)</f>
        <v>0.11884057971014493</v>
      </c>
      <c r="E10" s="44">
        <v>0.15</v>
      </c>
      <c r="F10" s="44">
        <f>IF(B10=0,"-",MAX(0,E10-D10))</f>
        <v>3.1159420289855064E-2</v>
      </c>
      <c r="G10" t="str">
        <f>IF(D10="-","N/A",IF(D10&gt;=E10,"✅ Conforme","❌ Sous le seuil"))</f>
        <v>❌ Sous le seuil</v>
      </c>
      <c r="H10" t="str">
        <f>IF(D10="-","GloBE Income nul",IF(D10&gt;=0.15,"Pas de Top-up Tax","Top-up Tax requis"))</f>
        <v>Top-up Tax requis</v>
      </c>
    </row>
  </sheetData>
  <mergeCells count="1">
    <mergeCell ref="A1:H1"/>
  </mergeCells>
  <conditionalFormatting sqref="D5:D10">
    <cfRule type="cellIs" dxfId="1" priority="1" operator="lessThan">
      <formula>0.15</formula>
    </cfRule>
  </conditionalFormatting>
  <conditionalFormatting sqref="D5:D10">
    <cfRule type="cellIs" dxfId="0" priority="2" operator="greaterThanOrEqual">
      <formula>0.15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9246-723C-42C0-93EE-7BC1C2808DDC}">
  <dimension ref="A1:I26"/>
  <sheetViews>
    <sheetView workbookViewId="0">
      <selection activeCell="A21" sqref="A21"/>
    </sheetView>
  </sheetViews>
  <sheetFormatPr baseColWidth="10" defaultRowHeight="15" x14ac:dyDescent="0.25"/>
  <cols>
    <col min="1" max="1" width="53.28515625" customWidth="1"/>
    <col min="2" max="9" width="16.140625" customWidth="1"/>
  </cols>
  <sheetData>
    <row r="1" spans="1:9" ht="18.75" x14ac:dyDescent="0.3">
      <c r="A1" s="2" t="s">
        <v>138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139</v>
      </c>
    </row>
    <row r="4" spans="1:9" x14ac:dyDescent="0.25">
      <c r="A4" s="17" t="s">
        <v>140</v>
      </c>
      <c r="B4" s="17"/>
      <c r="C4" s="17"/>
    </row>
    <row r="5" spans="1:9" x14ac:dyDescent="0.25">
      <c r="A5" s="46" t="s">
        <v>141</v>
      </c>
      <c r="B5" s="46" t="s">
        <v>142</v>
      </c>
      <c r="C5" s="46" t="s">
        <v>143</v>
      </c>
    </row>
    <row r="6" spans="1:9" x14ac:dyDescent="0.25">
      <c r="A6" s="47">
        <v>2024</v>
      </c>
      <c r="B6" s="13">
        <v>9.8000000000000004E-2</v>
      </c>
      <c r="C6" s="13">
        <v>7.8E-2</v>
      </c>
    </row>
    <row r="7" spans="1:9" x14ac:dyDescent="0.25">
      <c r="A7" s="47">
        <v>2025</v>
      </c>
      <c r="B7" s="13">
        <v>9.1999999999999998E-2</v>
      </c>
      <c r="C7" s="13">
        <v>7.3999999999999996E-2</v>
      </c>
    </row>
    <row r="8" spans="1:9" x14ac:dyDescent="0.25">
      <c r="A8" s="48">
        <v>2026</v>
      </c>
      <c r="B8" s="49">
        <v>8.5999999999999993E-2</v>
      </c>
      <c r="C8" s="49">
        <v>7.0000000000000007E-2</v>
      </c>
    </row>
    <row r="9" spans="1:9" x14ac:dyDescent="0.25">
      <c r="A9" s="47">
        <v>2027</v>
      </c>
      <c r="B9" s="13">
        <v>0.08</v>
      </c>
      <c r="C9" s="13">
        <v>6.6000000000000003E-2</v>
      </c>
    </row>
    <row r="10" spans="1:9" x14ac:dyDescent="0.25">
      <c r="A10" s="47">
        <v>2028</v>
      </c>
      <c r="B10" s="13">
        <v>7.3999999999999996E-2</v>
      </c>
      <c r="C10" s="13">
        <v>6.2E-2</v>
      </c>
    </row>
    <row r="11" spans="1:9" x14ac:dyDescent="0.25">
      <c r="A11" s="47">
        <v>2029</v>
      </c>
      <c r="B11" s="13">
        <v>6.8000000000000005E-2</v>
      </c>
      <c r="C11" s="13">
        <v>5.8000000000000003E-2</v>
      </c>
    </row>
    <row r="12" spans="1:9" x14ac:dyDescent="0.25">
      <c r="A12" s="47">
        <v>2030</v>
      </c>
      <c r="B12" s="13">
        <v>6.2E-2</v>
      </c>
      <c r="C12" s="13">
        <v>5.3999999999999999E-2</v>
      </c>
    </row>
    <row r="13" spans="1:9" x14ac:dyDescent="0.25">
      <c r="A13" s="47">
        <v>2031</v>
      </c>
      <c r="B13" s="13">
        <v>5.6000000000000001E-2</v>
      </c>
      <c r="C13" s="13">
        <v>5.1999999999999998E-2</v>
      </c>
    </row>
    <row r="14" spans="1:9" x14ac:dyDescent="0.25">
      <c r="A14" s="47">
        <v>2032</v>
      </c>
      <c r="B14" s="13">
        <v>5.2999999999999999E-2</v>
      </c>
      <c r="C14" s="13">
        <v>5.0999999999999997E-2</v>
      </c>
    </row>
    <row r="15" spans="1:9" x14ac:dyDescent="0.25">
      <c r="A15" s="18" t="s">
        <v>144</v>
      </c>
      <c r="B15" s="50">
        <v>0.05</v>
      </c>
      <c r="C15" s="50">
        <v>0.05</v>
      </c>
    </row>
    <row r="17" spans="1:9" x14ac:dyDescent="0.25">
      <c r="A17" s="20" t="s">
        <v>145</v>
      </c>
      <c r="B17" s="20"/>
      <c r="C17" s="20"/>
      <c r="D17" s="20"/>
      <c r="E17" s="20"/>
      <c r="F17" s="20"/>
      <c r="G17" s="20"/>
      <c r="H17" s="20"/>
      <c r="I17" s="20"/>
    </row>
    <row r="18" spans="1:9" x14ac:dyDescent="0.25">
      <c r="A18" s="46" t="s">
        <v>84</v>
      </c>
      <c r="B18" s="46" t="s">
        <v>146</v>
      </c>
      <c r="C18" s="46" t="s">
        <v>22</v>
      </c>
      <c r="D18" s="46" t="s">
        <v>30</v>
      </c>
      <c r="E18" s="46" t="s">
        <v>35</v>
      </c>
      <c r="F18" s="46" t="s">
        <v>39</v>
      </c>
      <c r="G18" s="46" t="s">
        <v>44</v>
      </c>
      <c r="H18" s="46" t="s">
        <v>48</v>
      </c>
      <c r="I18" s="34" t="s">
        <v>114</v>
      </c>
    </row>
    <row r="19" spans="1:9" x14ac:dyDescent="0.25">
      <c r="A19" t="s">
        <v>147</v>
      </c>
      <c r="C19" s="37">
        <v>8000</v>
      </c>
      <c r="D19" s="37">
        <v>5500</v>
      </c>
      <c r="E19" s="37">
        <v>12000</v>
      </c>
      <c r="F19" s="37">
        <v>7000</v>
      </c>
      <c r="G19" s="37">
        <v>10000</v>
      </c>
      <c r="H19" s="37">
        <v>2000</v>
      </c>
      <c r="I19" s="38">
        <f>SUM(C19:H19)</f>
        <v>44500</v>
      </c>
    </row>
    <row r="20" spans="1:9" x14ac:dyDescent="0.25">
      <c r="A20" t="s">
        <v>148</v>
      </c>
      <c r="B20" s="13">
        <f>B8</f>
        <v>8.5999999999999993E-2</v>
      </c>
      <c r="C20" s="13">
        <f>$B20</f>
        <v>8.5999999999999993E-2</v>
      </c>
      <c r="D20" s="13">
        <f>$B20</f>
        <v>8.5999999999999993E-2</v>
      </c>
      <c r="E20" s="13">
        <f>$B20</f>
        <v>8.5999999999999993E-2</v>
      </c>
      <c r="F20" s="13">
        <f>$B20</f>
        <v>8.5999999999999993E-2</v>
      </c>
      <c r="G20" s="13">
        <f>$B20</f>
        <v>8.5999999999999993E-2</v>
      </c>
      <c r="H20" s="13">
        <f>$B20</f>
        <v>8.5999999999999993E-2</v>
      </c>
    </row>
    <row r="21" spans="1:9" x14ac:dyDescent="0.25">
      <c r="A21" s="18" t="e" cm="1">
        <f t="array" ref="A21" xml:space="preserve"> Exclusion salariale</f>
        <v>#NAME?</v>
      </c>
      <c r="C21" s="38">
        <f>C19*C20</f>
        <v>688</v>
      </c>
      <c r="D21" s="38">
        <f>D19*D20</f>
        <v>472.99999999999994</v>
      </c>
      <c r="E21" s="38">
        <f>E19*E20</f>
        <v>1032</v>
      </c>
      <c r="F21" s="38">
        <f>F19*F20</f>
        <v>602</v>
      </c>
      <c r="G21" s="38">
        <f>G19*G20</f>
        <v>859.99999999999989</v>
      </c>
      <c r="H21" s="38">
        <f>H19*H20</f>
        <v>172</v>
      </c>
      <c r="I21" s="38">
        <f>SUM(C21:H21)</f>
        <v>3827</v>
      </c>
    </row>
    <row r="23" spans="1:9" x14ac:dyDescent="0.25">
      <c r="A23" t="s">
        <v>149</v>
      </c>
      <c r="C23" s="37">
        <v>15000</v>
      </c>
      <c r="D23" s="37">
        <v>12000</v>
      </c>
      <c r="E23" s="37">
        <v>20000</v>
      </c>
      <c r="F23" s="37">
        <v>8000</v>
      </c>
      <c r="G23" s="37">
        <v>25000</v>
      </c>
      <c r="H23" s="37">
        <v>3000</v>
      </c>
      <c r="I23" s="38">
        <f>SUM(C23:H23)</f>
        <v>83000</v>
      </c>
    </row>
    <row r="24" spans="1:9" x14ac:dyDescent="0.25">
      <c r="A24" t="s">
        <v>150</v>
      </c>
      <c r="B24" s="13">
        <f>C8</f>
        <v>7.0000000000000007E-2</v>
      </c>
      <c r="C24" s="13">
        <f>$B24</f>
        <v>7.0000000000000007E-2</v>
      </c>
      <c r="D24" s="13">
        <f>$B24</f>
        <v>7.0000000000000007E-2</v>
      </c>
      <c r="E24" s="13">
        <f>$B24</f>
        <v>7.0000000000000007E-2</v>
      </c>
      <c r="F24" s="13">
        <f>$B24</f>
        <v>7.0000000000000007E-2</v>
      </c>
      <c r="G24" s="13">
        <f>$B24</f>
        <v>7.0000000000000007E-2</v>
      </c>
      <c r="H24" s="13">
        <f>$B24</f>
        <v>7.0000000000000007E-2</v>
      </c>
    </row>
    <row r="25" spans="1:9" x14ac:dyDescent="0.25">
      <c r="A25" s="18" t="e" cm="1">
        <f t="array" ref="A25" xml:space="preserve"> Exclusion immobilisations</f>
        <v>#NAME?</v>
      </c>
      <c r="C25" s="38">
        <f>C23*C24</f>
        <v>1050</v>
      </c>
      <c r="D25" s="38">
        <f>D23*D24</f>
        <v>840.00000000000011</v>
      </c>
      <c r="E25" s="38">
        <f>E23*E24</f>
        <v>1400.0000000000002</v>
      </c>
      <c r="F25" s="38">
        <f>F23*F24</f>
        <v>560</v>
      </c>
      <c r="G25" s="38">
        <f>G23*G24</f>
        <v>1750.0000000000002</v>
      </c>
      <c r="H25" s="38">
        <f>H23*H24</f>
        <v>210.00000000000003</v>
      </c>
      <c r="I25" s="38">
        <f>SUM(C25:H25)</f>
        <v>5810</v>
      </c>
    </row>
    <row r="26" spans="1:9" x14ac:dyDescent="0.25">
      <c r="A26" s="19" t="e" cm="1">
        <f t="array" ref="A26" xml:space="preserve"> total CARVE-OUT (SBIE)</f>
        <v>#NAME?</v>
      </c>
      <c r="B26" s="41"/>
      <c r="C26" s="42">
        <f>C21+C25</f>
        <v>1738</v>
      </c>
      <c r="D26" s="42">
        <f>D21+D25</f>
        <v>1313</v>
      </c>
      <c r="E26" s="42">
        <f>E21+E25</f>
        <v>2432</v>
      </c>
      <c r="F26" s="42">
        <f>F21+F25</f>
        <v>1162</v>
      </c>
      <c r="G26" s="42">
        <f>G21+G25</f>
        <v>2610</v>
      </c>
      <c r="H26" s="42">
        <f>H21+H25</f>
        <v>382</v>
      </c>
      <c r="I26" s="42">
        <f>SUM(C26:H26)</f>
        <v>9637</v>
      </c>
    </row>
  </sheetData>
  <mergeCells count="3">
    <mergeCell ref="A1:I1"/>
    <mergeCell ref="A4:C4"/>
    <mergeCell ref="A17:I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9D3E-6B67-4196-BBF3-B28FA9496B2E}">
  <dimension ref="A1:I17"/>
  <sheetViews>
    <sheetView workbookViewId="0">
      <selection sqref="A1:I1"/>
    </sheetView>
  </sheetViews>
  <sheetFormatPr baseColWidth="10" defaultRowHeight="15" x14ac:dyDescent="0.25"/>
  <cols>
    <col min="1" max="1" width="53.28515625" customWidth="1"/>
    <col min="2" max="2" width="17.140625" customWidth="1"/>
    <col min="3" max="9" width="16.140625" customWidth="1"/>
  </cols>
  <sheetData>
    <row r="1" spans="1:9" ht="18.75" x14ac:dyDescent="0.3">
      <c r="A1" s="2" t="s">
        <v>151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152</v>
      </c>
    </row>
    <row r="4" spans="1:9" x14ac:dyDescent="0.25">
      <c r="A4" s="7" t="s">
        <v>84</v>
      </c>
      <c r="B4" s="7" t="s">
        <v>153</v>
      </c>
      <c r="C4" s="7" t="s">
        <v>22</v>
      </c>
      <c r="D4" s="7" t="s">
        <v>30</v>
      </c>
      <c r="E4" s="7" t="s">
        <v>35</v>
      </c>
      <c r="F4" s="7" t="s">
        <v>39</v>
      </c>
      <c r="G4" s="7" t="s">
        <v>44</v>
      </c>
      <c r="H4" s="7" t="s">
        <v>48</v>
      </c>
      <c r="I4" s="34" t="s">
        <v>114</v>
      </c>
    </row>
    <row r="5" spans="1:9" x14ac:dyDescent="0.25">
      <c r="A5" t="s">
        <v>154</v>
      </c>
      <c r="B5" t="s">
        <v>155</v>
      </c>
      <c r="C5" s="40">
        <f>'2 — P&amp;L GloBE'!C18</f>
        <v>11750</v>
      </c>
      <c r="D5" s="40">
        <f>'2 — P&amp;L GloBE'!D18</f>
        <v>10900</v>
      </c>
      <c r="E5" s="40">
        <f>'2 — P&amp;L GloBE'!E18</f>
        <v>24850</v>
      </c>
      <c r="F5" s="40">
        <f>'2 — P&amp;L GloBE'!F18</f>
        <v>15350</v>
      </c>
      <c r="G5" s="40">
        <f>'2 — P&amp;L GloBE'!G18</f>
        <v>20700</v>
      </c>
      <c r="H5" s="40">
        <f>'2 — P&amp;L GloBE'!H18</f>
        <v>6900</v>
      </c>
      <c r="I5" s="38">
        <f>SUM(C5:H5)</f>
        <v>90450</v>
      </c>
    </row>
    <row r="6" spans="1:9" x14ac:dyDescent="0.25">
      <c r="A6" t="s">
        <v>156</v>
      </c>
      <c r="B6" t="s">
        <v>157</v>
      </c>
      <c r="C6" s="40">
        <f>'5 — Substance Carve-out'!C26</f>
        <v>1738</v>
      </c>
      <c r="D6" s="40">
        <f>'5 — Substance Carve-out'!D26</f>
        <v>1313</v>
      </c>
      <c r="E6" s="40">
        <f>'5 — Substance Carve-out'!E26</f>
        <v>2432</v>
      </c>
      <c r="F6" s="40">
        <f>'5 — Substance Carve-out'!F26</f>
        <v>1162</v>
      </c>
      <c r="G6" s="40">
        <f>'5 — Substance Carve-out'!G26</f>
        <v>2610</v>
      </c>
      <c r="H6" s="40">
        <f>'5 — Substance Carve-out'!H26</f>
        <v>382</v>
      </c>
      <c r="I6" s="38">
        <f>SUM(C6:H6)</f>
        <v>9637</v>
      </c>
    </row>
    <row r="7" spans="1:9" x14ac:dyDescent="0.25">
      <c r="A7" s="35" t="e" cm="1">
        <f t="array" ref="A7" xml:space="preserve"> Excess Profit</f>
        <v>#NAME?</v>
      </c>
      <c r="B7" t="s">
        <v>158</v>
      </c>
      <c r="C7" s="43">
        <f>MAX(0,C5-C6)</f>
        <v>10012</v>
      </c>
      <c r="D7" s="43">
        <f>MAX(0,D5-D6)</f>
        <v>9587</v>
      </c>
      <c r="E7" s="43">
        <f>MAX(0,E5-E6)</f>
        <v>22418</v>
      </c>
      <c r="F7" s="43">
        <f>MAX(0,F5-F6)</f>
        <v>14188</v>
      </c>
      <c r="G7" s="43">
        <f>MAX(0,G5-G6)</f>
        <v>18090</v>
      </c>
      <c r="H7" s="43">
        <f>MAX(0,H5-H6)</f>
        <v>6518</v>
      </c>
      <c r="I7" s="43">
        <f>SUM(C7:H7)</f>
        <v>80813</v>
      </c>
    </row>
    <row r="9" spans="1:9" x14ac:dyDescent="0.25">
      <c r="A9" t="s">
        <v>133</v>
      </c>
      <c r="B9" t="s">
        <v>159</v>
      </c>
      <c r="C9" s="44">
        <f>'4 — ETR Juridictionnel'!D5</f>
        <v>0.2723404255319149</v>
      </c>
      <c r="D9" s="44">
        <f>'4 — ETR Juridictionnel'!D6</f>
        <v>0.27064220183486237</v>
      </c>
      <c r="E9" s="44">
        <f>'4 — ETR Juridictionnel'!D7</f>
        <v>0.10462776659959759</v>
      </c>
      <c r="F9" s="44">
        <f>'4 — ETR Juridictionnel'!D8</f>
        <v>0.16091205211726384</v>
      </c>
      <c r="G9" s="44">
        <f>'4 — ETR Juridictionnel'!D9</f>
        <v>0.20048309178743962</v>
      </c>
      <c r="H9" s="44">
        <f>'4 — ETR Juridictionnel'!D10</f>
        <v>0.11884057971014493</v>
      </c>
    </row>
    <row r="10" spans="1:9" x14ac:dyDescent="0.25">
      <c r="A10" t="s">
        <v>160</v>
      </c>
      <c r="B10" t="s">
        <v>161</v>
      </c>
      <c r="C10" s="44">
        <f>MAX(0,0.15-C9)</f>
        <v>0</v>
      </c>
      <c r="D10" s="44">
        <f>MAX(0,0.15-D9)</f>
        <v>0</v>
      </c>
      <c r="E10" s="44">
        <f>MAX(0,0.15-E9)</f>
        <v>4.5372233400402404E-2</v>
      </c>
      <c r="F10" s="44">
        <f>MAX(0,0.15-F9)</f>
        <v>0</v>
      </c>
      <c r="G10" s="44">
        <f>MAX(0,0.15-G9)</f>
        <v>0</v>
      </c>
      <c r="H10" s="44">
        <f>MAX(0,0.15-H9)</f>
        <v>3.1159420289855064E-2</v>
      </c>
    </row>
    <row r="11" spans="1:9" x14ac:dyDescent="0.25">
      <c r="A11" s="51" t="e" cm="1">
        <f t="array" ref="A11" xml:space="preserve"> TOP-UP TAX (par juridiction)</f>
        <v>#NAME?</v>
      </c>
      <c r="B11" s="52" t="s">
        <v>162</v>
      </c>
      <c r="C11" s="53">
        <f>C10*C7</f>
        <v>0</v>
      </c>
      <c r="D11" s="53">
        <f>D10*D7</f>
        <v>0</v>
      </c>
      <c r="E11" s="53">
        <f>E10*E7</f>
        <v>1017.1547283702211</v>
      </c>
      <c r="F11" s="53">
        <f>F10*F7</f>
        <v>0</v>
      </c>
      <c r="G11" s="53">
        <f>G10*G7</f>
        <v>0</v>
      </c>
      <c r="H11" s="53">
        <f>H10*H7</f>
        <v>203.0971014492753</v>
      </c>
      <c r="I11" s="53">
        <f>SUM(C11:H11)</f>
        <v>1220.2518298194964</v>
      </c>
    </row>
    <row r="13" spans="1:9" x14ac:dyDescent="0.25">
      <c r="A13" s="6" t="s">
        <v>163</v>
      </c>
    </row>
    <row r="14" spans="1:9" x14ac:dyDescent="0.25">
      <c r="A14" t="s">
        <v>164</v>
      </c>
      <c r="B14" t="s">
        <v>165</v>
      </c>
      <c r="C14" s="40">
        <f>C11</f>
        <v>0</v>
      </c>
      <c r="D14" s="40">
        <f>D11</f>
        <v>0</v>
      </c>
      <c r="E14" s="40">
        <f>E11</f>
        <v>1017.1547283702211</v>
      </c>
      <c r="F14" s="40">
        <f>F11</f>
        <v>0</v>
      </c>
      <c r="G14" s="40">
        <f>G11</f>
        <v>0</v>
      </c>
      <c r="H14" s="40">
        <f>H11</f>
        <v>203.0971014492753</v>
      </c>
      <c r="I14" s="38">
        <f>SUM(C14:H14)</f>
        <v>1220.2518298194964</v>
      </c>
    </row>
    <row r="15" spans="1:9" x14ac:dyDescent="0.25">
      <c r="A15" t="s">
        <v>166</v>
      </c>
      <c r="B15" t="s">
        <v>167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38">
        <f>SUM(C15:H15)</f>
        <v>0</v>
      </c>
    </row>
    <row r="17" spans="1:9" x14ac:dyDescent="0.25">
      <c r="A17" s="19" t="e" cm="1">
        <f t="array" ref="A17" xml:space="preserve"> total DÛ par LE GROUPE</f>
        <v>#NAME?</v>
      </c>
      <c r="B17" s="41"/>
      <c r="C17" s="42">
        <f>C14+C15</f>
        <v>0</v>
      </c>
      <c r="D17" s="42">
        <f>D14+D15</f>
        <v>0</v>
      </c>
      <c r="E17" s="42">
        <f>E14+E15</f>
        <v>1017.1547283702211</v>
      </c>
      <c r="F17" s="42">
        <f>F14+F15</f>
        <v>0</v>
      </c>
      <c r="G17" s="42">
        <f>G14+G15</f>
        <v>0</v>
      </c>
      <c r="H17" s="42">
        <f>H14+H15</f>
        <v>203.0971014492753</v>
      </c>
      <c r="I17" s="42">
        <f>SUM(C17:H17)</f>
        <v>1220.2518298194964</v>
      </c>
    </row>
  </sheetData>
  <mergeCells count="1">
    <mergeCell ref="A1:I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9BA7-BF22-45D3-A3A8-54EA367E2A23}">
  <dimension ref="A1:J10"/>
  <sheetViews>
    <sheetView tabSelected="1" workbookViewId="0">
      <selection sqref="A1:J1"/>
    </sheetView>
  </sheetViews>
  <sheetFormatPr baseColWidth="10" defaultRowHeight="15" x14ac:dyDescent="0.25"/>
  <cols>
    <col min="1" max="1" width="53.28515625" customWidth="1"/>
    <col min="2" max="10" width="19" customWidth="1"/>
  </cols>
  <sheetData>
    <row r="1" spans="1:10" ht="18.75" x14ac:dyDescent="0.3">
      <c r="A1" s="2" t="s">
        <v>168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169</v>
      </c>
    </row>
    <row r="4" spans="1:10" x14ac:dyDescent="0.25">
      <c r="A4" s="46" t="s">
        <v>9</v>
      </c>
      <c r="B4" s="46" t="s">
        <v>170</v>
      </c>
      <c r="C4" s="46" t="s">
        <v>171</v>
      </c>
      <c r="D4" s="46" t="s">
        <v>172</v>
      </c>
      <c r="E4" s="54" t="s">
        <v>173</v>
      </c>
      <c r="F4" s="54" t="s">
        <v>174</v>
      </c>
      <c r="G4" s="54" t="s">
        <v>175</v>
      </c>
      <c r="H4" s="54" t="s">
        <v>176</v>
      </c>
      <c r="I4" s="34" t="s">
        <v>177</v>
      </c>
      <c r="J4" s="34" t="s">
        <v>178</v>
      </c>
    </row>
    <row r="5" spans="1:10" x14ac:dyDescent="0.25">
      <c r="A5" t="s">
        <v>22</v>
      </c>
      <c r="B5" s="55">
        <v>50000</v>
      </c>
      <c r="C5" s="55">
        <v>14000</v>
      </c>
      <c r="D5" s="55">
        <v>3600</v>
      </c>
      <c r="E5" t="str">
        <f>IF(AND(B5&lt;10000,C5&lt;1000000),"✅ PASS","❌ FAIL")</f>
        <v>❌ FAIL</v>
      </c>
      <c r="F5" t="str">
        <f>IF(C5=0,"N/A",IF(D5/C5&gt;=G5,"✅ PASS","❌ FAIL"))</f>
        <v>✅ PASS</v>
      </c>
      <c r="G5" s="12">
        <v>0.15</v>
      </c>
      <c r="H5" t="str">
        <f>IF(C5&lt;=0,"✅ PASS","❌ FAIL")</f>
        <v>❌ FAIL</v>
      </c>
      <c r="I5" s="18" t="str">
        <f>IF(OR(E5="✅ PASS",F5="✅ PASS",H5="✅ PASS"),"✅ OUI","❌ NON")</f>
        <v>✅ OUI</v>
      </c>
      <c r="J5" s="38">
        <f>IF(I5="✅ OUI",0,'6 — Top-up Tax'!C11)</f>
        <v>0</v>
      </c>
    </row>
    <row r="6" spans="1:10" x14ac:dyDescent="0.25">
      <c r="A6" t="s">
        <v>30</v>
      </c>
      <c r="B6" s="55">
        <v>35000</v>
      </c>
      <c r="C6" s="55">
        <v>10000</v>
      </c>
      <c r="D6" s="55">
        <v>3000</v>
      </c>
      <c r="E6" t="str">
        <f>IF(AND(B6&lt;10000,C6&lt;1000000),"✅ PASS","❌ FAIL")</f>
        <v>❌ FAIL</v>
      </c>
      <c r="F6" t="str">
        <f>IF(C6=0,"N/A",IF(D6/C6&gt;=G6,"✅ PASS","❌ FAIL"))</f>
        <v>✅ PASS</v>
      </c>
      <c r="G6" s="12">
        <v>0.15</v>
      </c>
      <c r="H6" t="str">
        <f>IF(C6&lt;=0,"✅ PASS","❌ FAIL")</f>
        <v>❌ FAIL</v>
      </c>
      <c r="I6" s="18" t="str">
        <f>IF(OR(E6="✅ PASS",F6="✅ PASS",H6="✅ PASS"),"✅ OUI","❌ NON")</f>
        <v>✅ OUI</v>
      </c>
      <c r="J6" s="38">
        <f>IF(I6="✅ OUI",0,'6 — Top-up Tax'!D11)</f>
        <v>0</v>
      </c>
    </row>
    <row r="7" spans="1:10" x14ac:dyDescent="0.25">
      <c r="A7" t="s">
        <v>35</v>
      </c>
      <c r="B7" s="55">
        <v>80000</v>
      </c>
      <c r="C7" s="55">
        <v>28000</v>
      </c>
      <c r="D7" s="55">
        <v>3500</v>
      </c>
      <c r="E7" t="str">
        <f>IF(AND(B7&lt;10000,C7&lt;1000000),"✅ PASS","❌ FAIL")</f>
        <v>❌ FAIL</v>
      </c>
      <c r="F7" t="str">
        <f>IF(C7=0,"N/A",IF(D7/C7&gt;=G7,"✅ PASS","❌ FAIL"))</f>
        <v>❌ FAIL</v>
      </c>
      <c r="G7" s="12">
        <v>0.15</v>
      </c>
      <c r="H7" t="str">
        <f>IF(C7&lt;=0,"✅ PASS","❌ FAIL")</f>
        <v>❌ FAIL</v>
      </c>
      <c r="I7" s="18" t="str">
        <f>IF(OR(E7="✅ PASS",F7="✅ PASS",H7="✅ PASS"),"✅ OUI","❌ NON")</f>
        <v>❌ NON</v>
      </c>
      <c r="J7" s="38">
        <f>IF(I7="✅ OUI",0,'6 — Top-up Tax'!E11)</f>
        <v>1017.1547283702211</v>
      </c>
    </row>
    <row r="8" spans="1:10" x14ac:dyDescent="0.25">
      <c r="A8" t="s">
        <v>39</v>
      </c>
      <c r="B8" s="55">
        <v>45000</v>
      </c>
      <c r="C8" s="55">
        <v>16000</v>
      </c>
      <c r="D8" s="55">
        <v>2700</v>
      </c>
      <c r="E8" t="str">
        <f>IF(AND(B8&lt;10000,C8&lt;1000000),"✅ PASS","❌ FAIL")</f>
        <v>❌ FAIL</v>
      </c>
      <c r="F8" t="str">
        <f>IF(C8=0,"N/A",IF(D8/C8&gt;=G8,"✅ PASS","❌ FAIL"))</f>
        <v>✅ PASS</v>
      </c>
      <c r="G8" s="12">
        <v>0.15</v>
      </c>
      <c r="H8" t="str">
        <f>IF(C8&lt;=0,"✅ PASS","❌ FAIL")</f>
        <v>❌ FAIL</v>
      </c>
      <c r="I8" s="18" t="str">
        <f>IF(OR(E8="✅ PASS",F8="✅ PASS",H8="✅ PASS"),"✅ OUI","❌ NON")</f>
        <v>✅ OUI</v>
      </c>
      <c r="J8" s="38">
        <f>IF(I8="✅ OUI",0,'6 — Top-up Tax'!F11)</f>
        <v>0</v>
      </c>
    </row>
    <row r="9" spans="1:10" x14ac:dyDescent="0.25">
      <c r="A9" t="s">
        <v>44</v>
      </c>
      <c r="B9" s="55">
        <v>60000</v>
      </c>
      <c r="C9" s="55">
        <v>20000</v>
      </c>
      <c r="D9" s="55">
        <v>4500</v>
      </c>
      <c r="E9" t="str">
        <f>IF(AND(B9&lt;10000,C9&lt;1000000),"✅ PASS","❌ FAIL")</f>
        <v>❌ FAIL</v>
      </c>
      <c r="F9" t="str">
        <f>IF(C9=0,"N/A",IF(D9/C9&gt;=G9,"✅ PASS","❌ FAIL"))</f>
        <v>✅ PASS</v>
      </c>
      <c r="G9" s="12">
        <v>0.15</v>
      </c>
      <c r="H9" t="str">
        <f>IF(C9&lt;=0,"✅ PASS","❌ FAIL")</f>
        <v>❌ FAIL</v>
      </c>
      <c r="I9" s="18" t="str">
        <f>IF(OR(E9="✅ PASS",F9="✅ PASS",H9="✅ PASS"),"✅ OUI","❌ NON")</f>
        <v>✅ OUI</v>
      </c>
      <c r="J9" s="38">
        <f>IF(I9="✅ OUI",0,'6 — Top-up Tax'!G11)</f>
        <v>0</v>
      </c>
    </row>
    <row r="10" spans="1:10" x14ac:dyDescent="0.25">
      <c r="A10" t="s">
        <v>48</v>
      </c>
      <c r="B10" s="55">
        <v>8000</v>
      </c>
      <c r="C10" s="55">
        <v>5500</v>
      </c>
      <c r="D10" s="55">
        <v>700</v>
      </c>
      <c r="E10" t="str">
        <f>IF(AND(B10&lt;10000,C10&lt;1000000),"✅ PASS","❌ FAIL")</f>
        <v>✅ PASS</v>
      </c>
      <c r="F10" t="str">
        <f>IF(C10=0,"N/A",IF(D10/C10&gt;=G10,"✅ PASS","❌ FAIL"))</f>
        <v>❌ FAIL</v>
      </c>
      <c r="G10" s="12">
        <v>0.15</v>
      </c>
      <c r="H10" t="str">
        <f>IF(C10&lt;=0,"✅ PASS","❌ FAIL")</f>
        <v>❌ FAIL</v>
      </c>
      <c r="I10" s="18" t="str">
        <f>IF(OR(E10="✅ PASS",F10="✅ PASS",H10="✅ PASS"),"✅ OUI","❌ NON")</f>
        <v>✅ OUI</v>
      </c>
      <c r="J10" s="38">
        <f>IF(I10="✅ OUI",0,'6 — Top-up Tax'!H11)</f>
        <v>0</v>
      </c>
    </row>
  </sheetData>
  <mergeCells count="1">
    <mergeCell ref="A1:J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D4FE-D3DD-4F1E-A775-76F9CE77045C}">
  <dimension ref="A1:H33"/>
  <sheetViews>
    <sheetView workbookViewId="0">
      <selection sqref="A1:H1"/>
    </sheetView>
  </sheetViews>
  <sheetFormatPr baseColWidth="10" defaultRowHeight="15" x14ac:dyDescent="0.25"/>
  <cols>
    <col min="1" max="1" width="53.28515625" customWidth="1"/>
    <col min="2" max="8" width="21" customWidth="1"/>
  </cols>
  <sheetData>
    <row r="1" spans="1:8" ht="18.75" x14ac:dyDescent="0.3">
      <c r="A1" s="2" t="s">
        <v>179</v>
      </c>
      <c r="B1" s="2"/>
      <c r="C1" s="2"/>
      <c r="D1" s="2"/>
      <c r="E1" s="2"/>
      <c r="F1" s="2"/>
      <c r="G1" s="2"/>
    </row>
    <row r="2" spans="1:8" x14ac:dyDescent="0.25">
      <c r="A2" s="3" t="s">
        <v>180</v>
      </c>
    </row>
    <row r="4" spans="1:8" x14ac:dyDescent="0.25">
      <c r="A4" s="56" t="s">
        <v>181</v>
      </c>
      <c r="B4" s="56"/>
      <c r="C4" s="56"/>
    </row>
    <row r="5" spans="1:8" x14ac:dyDescent="0.25">
      <c r="A5" s="45" t="s">
        <v>182</v>
      </c>
      <c r="B5" s="45" t="s">
        <v>183</v>
      </c>
      <c r="C5" s="45" t="s">
        <v>184</v>
      </c>
    </row>
    <row r="6" spans="1:8" x14ac:dyDescent="0.25">
      <c r="A6" t="s">
        <v>185</v>
      </c>
      <c r="B6" s="8" t="s">
        <v>20</v>
      </c>
      <c r="C6" t="s">
        <v>186</v>
      </c>
    </row>
    <row r="7" spans="1:8" x14ac:dyDescent="0.25">
      <c r="A7" t="s">
        <v>187</v>
      </c>
      <c r="B7" s="8" t="s">
        <v>188</v>
      </c>
      <c r="C7" t="s">
        <v>189</v>
      </c>
    </row>
    <row r="8" spans="1:8" x14ac:dyDescent="0.25">
      <c r="A8" t="s">
        <v>190</v>
      </c>
      <c r="B8" t="s">
        <v>191</v>
      </c>
      <c r="C8" t="s">
        <v>186</v>
      </c>
    </row>
    <row r="9" spans="1:8" x14ac:dyDescent="0.25">
      <c r="A9" t="s">
        <v>192</v>
      </c>
      <c r="B9" s="8" t="s">
        <v>193</v>
      </c>
      <c r="C9" t="s">
        <v>194</v>
      </c>
    </row>
    <row r="10" spans="1:8" x14ac:dyDescent="0.25">
      <c r="A10" t="s">
        <v>195</v>
      </c>
      <c r="B10" s="8" t="s">
        <v>196</v>
      </c>
      <c r="C10" t="s">
        <v>197</v>
      </c>
    </row>
    <row r="11" spans="1:8" x14ac:dyDescent="0.25">
      <c r="A11" t="s">
        <v>198</v>
      </c>
      <c r="B11" s="8" t="s">
        <v>199</v>
      </c>
      <c r="C11" t="s">
        <v>200</v>
      </c>
    </row>
    <row r="12" spans="1:8" x14ac:dyDescent="0.25">
      <c r="A12" t="s">
        <v>201</v>
      </c>
      <c r="B12">
        <v>6</v>
      </c>
      <c r="C12" t="s">
        <v>186</v>
      </c>
    </row>
    <row r="13" spans="1:8" x14ac:dyDescent="0.25">
      <c r="A13" t="s">
        <v>202</v>
      </c>
      <c r="B13" s="8" t="s">
        <v>203</v>
      </c>
      <c r="C13" t="s">
        <v>165</v>
      </c>
    </row>
    <row r="15" spans="1:8" x14ac:dyDescent="0.25">
      <c r="A15" s="56" t="s">
        <v>204</v>
      </c>
      <c r="B15" s="56"/>
      <c r="C15" s="56"/>
      <c r="D15" s="56"/>
      <c r="E15" s="56"/>
      <c r="F15" s="56"/>
      <c r="G15" s="56"/>
      <c r="H15" s="56"/>
    </row>
    <row r="16" spans="1:8" x14ac:dyDescent="0.25">
      <c r="A16" s="46" t="s">
        <v>9</v>
      </c>
      <c r="B16" s="46" t="s">
        <v>131</v>
      </c>
      <c r="C16" s="46" t="s">
        <v>132</v>
      </c>
      <c r="D16" s="46" t="s">
        <v>205</v>
      </c>
      <c r="E16" s="46" t="s">
        <v>206</v>
      </c>
      <c r="F16" s="46" t="s">
        <v>207</v>
      </c>
      <c r="G16" s="46" t="s">
        <v>208</v>
      </c>
      <c r="H16" s="46" t="s">
        <v>209</v>
      </c>
    </row>
    <row r="17" spans="1:8" x14ac:dyDescent="0.25">
      <c r="A17" t="s">
        <v>22</v>
      </c>
      <c r="B17" s="57">
        <f>'4 — ETR Juridictionnel'!B5</f>
        <v>11750</v>
      </c>
      <c r="C17" s="57">
        <f>'4 — ETR Juridictionnel'!C5</f>
        <v>3200</v>
      </c>
      <c r="D17" s="44">
        <f>'4 — ETR Juridictionnel'!D5</f>
        <v>0.2723404255319149</v>
      </c>
      <c r="E17" s="57">
        <f>'5 — Substance Carve-out'!C26</f>
        <v>1738</v>
      </c>
      <c r="F17" s="57">
        <f>'6 — Top-up Tax'!C11</f>
        <v>0</v>
      </c>
      <c r="G17" t="str">
        <f>'7 — Safe Harbours'!I5</f>
        <v>✅ OUI</v>
      </c>
      <c r="H17" s="58">
        <f>'7 — Safe Harbours'!J5</f>
        <v>0</v>
      </c>
    </row>
    <row r="18" spans="1:8" x14ac:dyDescent="0.25">
      <c r="A18" t="s">
        <v>30</v>
      </c>
      <c r="B18" s="57">
        <f>'4 — ETR Juridictionnel'!B6</f>
        <v>10900</v>
      </c>
      <c r="C18" s="57">
        <f>'4 — ETR Juridictionnel'!C6</f>
        <v>2950</v>
      </c>
      <c r="D18" s="44">
        <f>'4 — ETR Juridictionnel'!D6</f>
        <v>0.27064220183486237</v>
      </c>
      <c r="E18" s="57">
        <f>'5 — Substance Carve-out'!D26</f>
        <v>1313</v>
      </c>
      <c r="F18" s="57">
        <f>'6 — Top-up Tax'!D11</f>
        <v>0</v>
      </c>
      <c r="G18" t="str">
        <f>'7 — Safe Harbours'!I6</f>
        <v>✅ OUI</v>
      </c>
      <c r="H18" s="58">
        <f>'7 — Safe Harbours'!J6</f>
        <v>0</v>
      </c>
    </row>
    <row r="19" spans="1:8" x14ac:dyDescent="0.25">
      <c r="A19" t="s">
        <v>35</v>
      </c>
      <c r="B19" s="57">
        <f>'4 — ETR Juridictionnel'!B7</f>
        <v>24850</v>
      </c>
      <c r="C19" s="57">
        <f>'4 — ETR Juridictionnel'!C7</f>
        <v>2600</v>
      </c>
      <c r="D19" s="44">
        <f>'4 — ETR Juridictionnel'!D7</f>
        <v>0.10462776659959759</v>
      </c>
      <c r="E19" s="57">
        <f>'5 — Substance Carve-out'!E26</f>
        <v>2432</v>
      </c>
      <c r="F19" s="57">
        <f>'6 — Top-up Tax'!E11</f>
        <v>1017.1547283702211</v>
      </c>
      <c r="G19" t="str">
        <f>'7 — Safe Harbours'!I7</f>
        <v>❌ NON</v>
      </c>
      <c r="H19" s="58">
        <f>'7 — Safe Harbours'!J7</f>
        <v>1017.1547283702211</v>
      </c>
    </row>
    <row r="20" spans="1:8" x14ac:dyDescent="0.25">
      <c r="A20" t="s">
        <v>39</v>
      </c>
      <c r="B20" s="57">
        <f>'4 — ETR Juridictionnel'!B8</f>
        <v>15350</v>
      </c>
      <c r="C20" s="57">
        <f>'4 — ETR Juridictionnel'!C8</f>
        <v>2470</v>
      </c>
      <c r="D20" s="44">
        <f>'4 — ETR Juridictionnel'!D8</f>
        <v>0.16091205211726384</v>
      </c>
      <c r="E20" s="57">
        <f>'5 — Substance Carve-out'!F26</f>
        <v>1162</v>
      </c>
      <c r="F20" s="57">
        <f>'6 — Top-up Tax'!F11</f>
        <v>0</v>
      </c>
      <c r="G20" t="str">
        <f>'7 — Safe Harbours'!I8</f>
        <v>✅ OUI</v>
      </c>
      <c r="H20" s="58">
        <f>'7 — Safe Harbours'!J8</f>
        <v>0</v>
      </c>
    </row>
    <row r="21" spans="1:8" x14ac:dyDescent="0.25">
      <c r="A21" t="s">
        <v>44</v>
      </c>
      <c r="B21" s="57">
        <f>'4 — ETR Juridictionnel'!B9</f>
        <v>20700</v>
      </c>
      <c r="C21" s="57">
        <f>'4 — ETR Juridictionnel'!C9</f>
        <v>4150</v>
      </c>
      <c r="D21" s="44">
        <f>'4 — ETR Juridictionnel'!D9</f>
        <v>0.20048309178743962</v>
      </c>
      <c r="E21" s="57">
        <f>'5 — Substance Carve-out'!G26</f>
        <v>2610</v>
      </c>
      <c r="F21" s="57">
        <f>'6 — Top-up Tax'!G11</f>
        <v>0</v>
      </c>
      <c r="G21" t="str">
        <f>'7 — Safe Harbours'!I9</f>
        <v>✅ OUI</v>
      </c>
      <c r="H21" s="58">
        <f>'7 — Safe Harbours'!J9</f>
        <v>0</v>
      </c>
    </row>
    <row r="22" spans="1:8" x14ac:dyDescent="0.25">
      <c r="A22" t="s">
        <v>48</v>
      </c>
      <c r="B22" s="57">
        <f>'4 — ETR Juridictionnel'!B10</f>
        <v>6900</v>
      </c>
      <c r="C22" s="57">
        <f>'4 — ETR Juridictionnel'!C10</f>
        <v>820</v>
      </c>
      <c r="D22" s="44">
        <f>'4 — ETR Juridictionnel'!D10</f>
        <v>0.11884057971014493</v>
      </c>
      <c r="E22" s="57">
        <f>'5 — Substance Carve-out'!H26</f>
        <v>382</v>
      </c>
      <c r="F22" s="57">
        <f>'6 — Top-up Tax'!H11</f>
        <v>203.0971014492753</v>
      </c>
      <c r="G22" t="str">
        <f>'7 — Safe Harbours'!I10</f>
        <v>✅ OUI</v>
      </c>
      <c r="H22" s="58">
        <f>'7 — Safe Harbours'!J10</f>
        <v>0</v>
      </c>
    </row>
    <row r="23" spans="1:8" x14ac:dyDescent="0.25">
      <c r="A23" s="19" t="s">
        <v>114</v>
      </c>
      <c r="B23" s="59">
        <f>SUM(B17:B22)</f>
        <v>90450</v>
      </c>
      <c r="C23" s="59">
        <f>SUM(C17:C22)</f>
        <v>16190</v>
      </c>
      <c r="D23" s="60">
        <f>IF(B23=0,"-",C23/B23)</f>
        <v>0.17899391929242675</v>
      </c>
      <c r="E23" s="59">
        <f>SUM(E17:E22)</f>
        <v>9637</v>
      </c>
      <c r="F23" s="59">
        <f>SUM(F17:F22)</f>
        <v>1220.2518298194964</v>
      </c>
      <c r="G23" s="41"/>
      <c r="H23" s="59">
        <f>SUM(H17:H22)</f>
        <v>1017.1547283702211</v>
      </c>
    </row>
    <row r="25" spans="1:8" x14ac:dyDescent="0.25">
      <c r="A25" s="56" t="s">
        <v>210</v>
      </c>
      <c r="B25" s="56"/>
      <c r="C25" s="56"/>
    </row>
    <row r="26" spans="1:8" x14ac:dyDescent="0.25">
      <c r="A26" s="46" t="s">
        <v>7</v>
      </c>
      <c r="B26" s="46" t="s">
        <v>211</v>
      </c>
      <c r="C26" s="46" t="s">
        <v>9</v>
      </c>
      <c r="D26" s="46" t="s">
        <v>15</v>
      </c>
      <c r="E26" s="46" t="s">
        <v>212</v>
      </c>
      <c r="F26" s="46" t="s">
        <v>131</v>
      </c>
    </row>
    <row r="27" spans="1:8" x14ac:dyDescent="0.25">
      <c r="A27" t="str">
        <f>'1 — Structure Groupe'!A5</f>
        <v>FR-HQ</v>
      </c>
      <c r="B27" t="str">
        <f>'1 — Structure Groupe'!B5</f>
        <v>Groupe Alpha Holding SA</v>
      </c>
      <c r="C27" t="str">
        <f>'1 — Structure Groupe'!C5</f>
        <v>France</v>
      </c>
      <c r="D27" t="str">
        <f>'1 — Structure Groupe'!I5</f>
        <v>UPE</v>
      </c>
      <c r="E27" t="str">
        <f>'1 — Structure Groupe'!K5</f>
        <v>Non</v>
      </c>
      <c r="F27" s="57">
        <f>'2 — P&amp;L GloBE'!C18</f>
        <v>11750</v>
      </c>
    </row>
    <row r="28" spans="1:8" x14ac:dyDescent="0.25">
      <c r="A28" t="str">
        <f>'1 — Structure Groupe'!A6</f>
        <v>DE-01</v>
      </c>
      <c r="B28" t="str">
        <f>'1 — Structure Groupe'!B6</f>
        <v>Alpha GmbH</v>
      </c>
      <c r="C28" t="str">
        <f>'1 — Structure Groupe'!C6</f>
        <v>Allemagne</v>
      </c>
      <c r="D28" t="str">
        <f>'1 — Structure Groupe'!I6</f>
        <v>CE</v>
      </c>
      <c r="E28" t="str">
        <f>'1 — Structure Groupe'!K6</f>
        <v>Non</v>
      </c>
      <c r="F28" s="57">
        <f>'2 — P&amp;L GloBE'!D18</f>
        <v>10900</v>
      </c>
    </row>
    <row r="29" spans="1:8" x14ac:dyDescent="0.25">
      <c r="A29" t="str">
        <f>'1 — Structure Groupe'!A7</f>
        <v>IE-01</v>
      </c>
      <c r="B29" t="str">
        <f>'1 — Structure Groupe'!B7</f>
        <v>Alpha Ireland Ltd</v>
      </c>
      <c r="C29" t="str">
        <f>'1 — Structure Groupe'!C7</f>
        <v>Irlande</v>
      </c>
      <c r="D29" t="str">
        <f>'1 — Structure Groupe'!I7</f>
        <v>CE</v>
      </c>
      <c r="E29" t="str">
        <f>'1 — Structure Groupe'!K7</f>
        <v>Non</v>
      </c>
      <c r="F29" s="57">
        <f>'2 — P&amp;L GloBE'!E18</f>
        <v>24850</v>
      </c>
    </row>
    <row r="30" spans="1:8" x14ac:dyDescent="0.25">
      <c r="A30" t="str">
        <f>'1 — Structure Groupe'!A8</f>
        <v>SG-01</v>
      </c>
      <c r="B30" t="str">
        <f>'1 — Structure Groupe'!B8</f>
        <v>Alpha Asia Pte Ltd</v>
      </c>
      <c r="C30" t="str">
        <f>'1 — Structure Groupe'!C8</f>
        <v>Singapour</v>
      </c>
      <c r="D30" t="str">
        <f>'1 — Structure Groupe'!I8</f>
        <v>POPE</v>
      </c>
      <c r="E30" t="str">
        <f>'1 — Structure Groupe'!K8</f>
        <v>Non</v>
      </c>
      <c r="F30" s="57">
        <f>'2 — P&amp;L GloBE'!F18</f>
        <v>15350</v>
      </c>
    </row>
    <row r="31" spans="1:8" x14ac:dyDescent="0.25">
      <c r="A31" t="str">
        <f>'1 — Structure Groupe'!A9</f>
        <v>US-01</v>
      </c>
      <c r="B31" t="str">
        <f>'1 — Structure Groupe'!B9</f>
        <v>Alpha Inc.</v>
      </c>
      <c r="C31" t="str">
        <f>'1 — Structure Groupe'!C9</f>
        <v>États-Unis</v>
      </c>
      <c r="D31" t="str">
        <f>'1 — Structure Groupe'!I9</f>
        <v>CE</v>
      </c>
      <c r="E31" t="str">
        <f>'1 — Structure Groupe'!K9</f>
        <v>Non</v>
      </c>
      <c r="F31" s="57">
        <f>'2 — P&amp;L GloBE'!G18</f>
        <v>20700</v>
      </c>
    </row>
    <row r="32" spans="1:8" x14ac:dyDescent="0.25">
      <c r="A32" t="str">
        <f>'1 — Structure Groupe'!A10</f>
        <v>MU-01</v>
      </c>
      <c r="B32" t="str">
        <f>'1 — Structure Groupe'!B10</f>
        <v>Alpha Mauritius Ltd</v>
      </c>
      <c r="C32" t="str">
        <f>'1 — Structure Groupe'!C10</f>
        <v>Maurice</v>
      </c>
      <c r="D32" t="str">
        <f>'1 — Structure Groupe'!I10</f>
        <v>IPE</v>
      </c>
      <c r="E32" t="str">
        <f>'1 — Structure Groupe'!K10</f>
        <v>Non</v>
      </c>
      <c r="F32" s="57">
        <f>'2 — P&amp;L GloBE'!H18</f>
        <v>6900</v>
      </c>
    </row>
    <row r="33" spans="1:6" x14ac:dyDescent="0.25">
      <c r="A33" t="str">
        <f>'1 — Structure Groupe'!A11</f>
        <v>FR-FP</v>
      </c>
      <c r="B33" t="str">
        <f>'1 — Structure Groupe'!B11</f>
        <v>Caisse de Retraite Alpha</v>
      </c>
      <c r="C33" t="str">
        <f>'1 — Structure Groupe'!C11</f>
        <v>France</v>
      </c>
      <c r="D33" t="str">
        <f>'1 — Structure Groupe'!I11</f>
        <v>-</v>
      </c>
      <c r="E33" t="str">
        <f>'1 — Structure Groupe'!K11</f>
        <v>Oui</v>
      </c>
      <c r="F33" s="36" t="s">
        <v>213</v>
      </c>
    </row>
  </sheetData>
  <mergeCells count="4">
    <mergeCell ref="A1:G1"/>
    <mergeCell ref="A4:C4"/>
    <mergeCell ref="A15:H15"/>
    <mergeCell ref="A25:C2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Claude Log</vt:lpstr>
      <vt:lpstr>1 — Structure Groupe</vt:lpstr>
      <vt:lpstr>2 — P&amp;L GloBE</vt:lpstr>
      <vt:lpstr>3 — Impôts Couverts</vt:lpstr>
      <vt:lpstr>4 — ETR Juridictionnel</vt:lpstr>
      <vt:lpstr>5 — Substance Carve-out</vt:lpstr>
      <vt:lpstr>6 — Top-up Tax</vt:lpstr>
      <vt:lpstr>7 — Safe Harbours</vt:lpstr>
      <vt:lpstr>8 — Déclaration GIR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Labeaut</dc:creator>
  <cp:lastModifiedBy>Ludovic Labeaut</cp:lastModifiedBy>
  <dcterms:created xsi:type="dcterms:W3CDTF">2026-03-10T16:06:40Z</dcterms:created>
  <dcterms:modified xsi:type="dcterms:W3CDTF">2026-03-10T16:24:56Z</dcterms:modified>
</cp:coreProperties>
</file>