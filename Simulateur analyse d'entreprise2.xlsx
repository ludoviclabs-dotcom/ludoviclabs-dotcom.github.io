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5.xml" ContentType="application/vnd.openxmlformats-officedocument.spreadsheetml.comments+xml"/>
  <Override PartName="/xl/comments6.xml" ContentType="application/vnd.openxmlformats-officedocument.spreadsheetml.comments+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omments7.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Ludo\Desktop\EXCEL AUTOMATISATION\"/>
    </mc:Choice>
  </mc:AlternateContent>
  <xr:revisionPtr revIDLastSave="0" documentId="8_{9CE0768E-666F-4F38-8184-B15C5C1C9668}" xr6:coauthVersionLast="47" xr6:coauthVersionMax="47" xr10:uidLastSave="{00000000-0000-0000-0000-000000000000}"/>
  <bookViews>
    <workbookView xWindow="-120" yWindow="-120" windowWidth="29040" windowHeight="15840" firstSheet="3" activeTab="8" xr2:uid="{09CD68CD-85A5-47D2-AA39-8F704772C9E3}"/>
  </bookViews>
  <sheets>
    <sheet name="Claude Log" sheetId="10" r:id="rId1"/>
    <sheet name="One-Pager" sheetId="9" r:id="rId2"/>
    <sheet name="Accueil" sheetId="1" r:id="rId3"/>
    <sheet name="Données Brutes" sheetId="2" r:id="rId4"/>
    <sheet name="Ratios &amp; Indicateurs" sheetId="3" r:id="rId5"/>
    <sheet name="Analyse Approfondie" sheetId="4" r:id="rId6"/>
    <sheet name="STOCKS" sheetId="11" r:id="rId7"/>
    <sheet name="PLAN_AMORT" sheetId="12" r:id="rId8"/>
    <sheet name="ECARTS_BU" sheetId="13" r:id="rId9"/>
    <sheet name="Valorisation DCF" sheetId="8" r:id="rId10"/>
    <sheet name="Dashboard Interactif" sheetId="5" r:id="rId11"/>
    <sheet name="Benchmark &amp; Alertes" sheetId="6" r:id="rId12"/>
    <sheet name="Méthodologie" sheetId="7" r:id="rId13"/>
  </sheets>
  <definedNames>
    <definedName name="Input_SIRE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2" i="13" l="1"/>
  <c r="F172" i="13" s="1"/>
  <c r="D172" i="13"/>
  <c r="G172" i="13" s="1"/>
  <c r="E171" i="13"/>
  <c r="F171" i="13" s="1"/>
  <c r="D171" i="13"/>
  <c r="G171" i="13" s="1"/>
  <c r="E170" i="13"/>
  <c r="F170" i="13" s="1"/>
  <c r="D170" i="13"/>
  <c r="G170" i="13" s="1"/>
  <c r="E169" i="13"/>
  <c r="F169" i="13" s="1"/>
  <c r="D169" i="13"/>
  <c r="G169" i="13" s="1"/>
  <c r="E168" i="13"/>
  <c r="F168" i="13" s="1"/>
  <c r="D168" i="13"/>
  <c r="G168" i="13" s="1"/>
  <c r="C153" i="13"/>
  <c r="B153" i="13"/>
  <c r="H152" i="13"/>
  <c r="D152" i="13"/>
  <c r="F161" i="13" s="1"/>
  <c r="C152" i="13"/>
  <c r="H151" i="13"/>
  <c r="D151" i="13"/>
  <c r="E162" i="13" s="1"/>
  <c r="C151" i="13"/>
  <c r="H150" i="13"/>
  <c r="D150" i="13"/>
  <c r="D162" i="13" s="1"/>
  <c r="C150" i="13"/>
  <c r="H149" i="13"/>
  <c r="D149" i="13"/>
  <c r="C161" i="13" s="1"/>
  <c r="C149" i="13"/>
  <c r="H148" i="13"/>
  <c r="D148" i="13"/>
  <c r="B161" i="13" s="1"/>
  <c r="C148" i="13"/>
  <c r="W142" i="13"/>
  <c r="X142" i="13" s="1"/>
  <c r="V142" i="13"/>
  <c r="R142" i="13"/>
  <c r="S142" i="13" s="1"/>
  <c r="U142" i="13" s="1"/>
  <c r="Q142" i="13"/>
  <c r="T142" i="13" s="1"/>
  <c r="M142" i="13"/>
  <c r="N142" i="13" s="1"/>
  <c r="P142" i="13" s="1"/>
  <c r="L142" i="13"/>
  <c r="I142" i="13"/>
  <c r="K142" i="13" s="1"/>
  <c r="H142" i="13"/>
  <c r="G142" i="13"/>
  <c r="C142" i="13"/>
  <c r="D142" i="13" s="1"/>
  <c r="B142" i="13"/>
  <c r="AB140" i="13"/>
  <c r="AC140" i="13" s="1"/>
  <c r="AD140" i="13" s="1"/>
  <c r="AA140" i="13"/>
  <c r="Z140" i="13"/>
  <c r="Y140" i="13"/>
  <c r="X140" i="13"/>
  <c r="U140" i="13"/>
  <c r="T140" i="13"/>
  <c r="S140" i="13"/>
  <c r="N140" i="13"/>
  <c r="P140" i="13" s="1"/>
  <c r="I140" i="13"/>
  <c r="K140" i="13" s="1"/>
  <c r="F140" i="13"/>
  <c r="E140" i="13"/>
  <c r="D140" i="13"/>
  <c r="AC139" i="13"/>
  <c r="AD139" i="13" s="1"/>
  <c r="AB139" i="13"/>
  <c r="AA139" i="13"/>
  <c r="Z139" i="13"/>
  <c r="Y139" i="13"/>
  <c r="X139" i="13"/>
  <c r="S139" i="13"/>
  <c r="T139" i="13" s="1"/>
  <c r="N139" i="13"/>
  <c r="P139" i="13" s="1"/>
  <c r="K139" i="13"/>
  <c r="J139" i="13"/>
  <c r="I139" i="13"/>
  <c r="F139" i="13"/>
  <c r="E139" i="13"/>
  <c r="D139" i="13"/>
  <c r="AB138" i="13"/>
  <c r="AC138" i="13" s="1"/>
  <c r="AA138" i="13"/>
  <c r="AD138" i="13" s="1"/>
  <c r="X138" i="13"/>
  <c r="Y138" i="13" s="1"/>
  <c r="S138" i="13"/>
  <c r="U138" i="13" s="1"/>
  <c r="P138" i="13"/>
  <c r="O138" i="13"/>
  <c r="N138" i="13"/>
  <c r="K138" i="13"/>
  <c r="J138" i="13"/>
  <c r="I138" i="13"/>
  <c r="D138" i="13"/>
  <c r="F138" i="13" s="1"/>
  <c r="AB137" i="13"/>
  <c r="AC137" i="13" s="1"/>
  <c r="AA137" i="13"/>
  <c r="AD137" i="13" s="1"/>
  <c r="X137" i="13"/>
  <c r="Z137" i="13" s="1"/>
  <c r="U137" i="13"/>
  <c r="T137" i="13"/>
  <c r="S137" i="13"/>
  <c r="P137" i="13"/>
  <c r="O137" i="13"/>
  <c r="N137" i="13"/>
  <c r="I137" i="13"/>
  <c r="J137" i="13" s="1"/>
  <c r="D137" i="13"/>
  <c r="F137" i="13" s="1"/>
  <c r="AB136" i="13"/>
  <c r="AC136" i="13" s="1"/>
  <c r="AD136" i="13" s="1"/>
  <c r="AA136" i="13"/>
  <c r="Z136" i="13"/>
  <c r="X136" i="13"/>
  <c r="Y136" i="13" s="1"/>
  <c r="U136" i="13"/>
  <c r="T136" i="13"/>
  <c r="S136" i="13"/>
  <c r="N136" i="13"/>
  <c r="P136" i="13" s="1"/>
  <c r="I136" i="13"/>
  <c r="K136" i="13" s="1"/>
  <c r="F136" i="13"/>
  <c r="E136" i="13"/>
  <c r="D136" i="13"/>
  <c r="AC135" i="13"/>
  <c r="AD135" i="13" s="1"/>
  <c r="AB135" i="13"/>
  <c r="AA135" i="13"/>
  <c r="Z135" i="13"/>
  <c r="Y135" i="13"/>
  <c r="X135" i="13"/>
  <c r="S135" i="13"/>
  <c r="T135" i="13" s="1"/>
  <c r="N135" i="13"/>
  <c r="P135" i="13" s="1"/>
  <c r="K135" i="13"/>
  <c r="J135" i="13"/>
  <c r="I135" i="13"/>
  <c r="F135" i="13"/>
  <c r="E135" i="13"/>
  <c r="D135" i="13"/>
  <c r="AB134" i="13"/>
  <c r="AC134" i="13" s="1"/>
  <c r="AA134" i="13"/>
  <c r="AD134" i="13" s="1"/>
  <c r="X134" i="13"/>
  <c r="Z134" i="13" s="1"/>
  <c r="S134" i="13"/>
  <c r="U134" i="13" s="1"/>
  <c r="P134" i="13"/>
  <c r="N134" i="13"/>
  <c r="O134" i="13" s="1"/>
  <c r="K134" i="13"/>
  <c r="J134" i="13"/>
  <c r="I134" i="13"/>
  <c r="D134" i="13"/>
  <c r="E134" i="13" s="1"/>
  <c r="AB133" i="13"/>
  <c r="AC133" i="13" s="1"/>
  <c r="AA133" i="13"/>
  <c r="X133" i="13"/>
  <c r="Z133" i="13" s="1"/>
  <c r="U133" i="13"/>
  <c r="S133" i="13"/>
  <c r="T133" i="13" s="1"/>
  <c r="P133" i="13"/>
  <c r="O133" i="13"/>
  <c r="N133" i="13"/>
  <c r="I133" i="13"/>
  <c r="J133" i="13" s="1"/>
  <c r="D133" i="13"/>
  <c r="F133" i="13" s="1"/>
  <c r="AB132" i="13"/>
  <c r="AC132" i="13" s="1"/>
  <c r="AD132" i="13" s="1"/>
  <c r="AA132" i="13"/>
  <c r="Z132" i="13"/>
  <c r="X132" i="13"/>
  <c r="Y132" i="13" s="1"/>
  <c r="U132" i="13"/>
  <c r="T132" i="13"/>
  <c r="S132" i="13"/>
  <c r="N132" i="13"/>
  <c r="P132" i="13" s="1"/>
  <c r="I132" i="13"/>
  <c r="K132" i="13" s="1"/>
  <c r="F132" i="13"/>
  <c r="D132" i="13"/>
  <c r="E132" i="13" s="1"/>
  <c r="AC131" i="13"/>
  <c r="AD131" i="13" s="1"/>
  <c r="AB131" i="13"/>
  <c r="AB142" i="13" s="1"/>
  <c r="AA131" i="13"/>
  <c r="AA142" i="13" s="1"/>
  <c r="Z131" i="13"/>
  <c r="Y131" i="13"/>
  <c r="X131" i="13"/>
  <c r="S131" i="13"/>
  <c r="T131" i="13" s="1"/>
  <c r="N131" i="13"/>
  <c r="P131" i="13" s="1"/>
  <c r="K131" i="13"/>
  <c r="I131" i="13"/>
  <c r="J131" i="13" s="1"/>
  <c r="F131" i="13"/>
  <c r="E131" i="13"/>
  <c r="D131" i="13"/>
  <c r="D62" i="3"/>
  <c r="D56" i="3"/>
  <c r="C31" i="2"/>
  <c r="C30" i="2"/>
  <c r="C29" i="2"/>
  <c r="E77" i="5"/>
  <c r="D77" i="5"/>
  <c r="E76" i="5"/>
  <c r="D76" i="5"/>
  <c r="D75" i="5"/>
  <c r="E73" i="5"/>
  <c r="D73" i="5"/>
  <c r="E65" i="5"/>
  <c r="E64" i="5"/>
  <c r="E63" i="5"/>
  <c r="P65" i="5"/>
  <c r="P66" i="5"/>
  <c r="P67" i="5"/>
  <c r="P70" i="5"/>
  <c r="P71" i="5" s="1"/>
  <c r="C54" i="5"/>
  <c r="D54" i="5"/>
  <c r="E54" i="5"/>
  <c r="F54" i="5"/>
  <c r="G54" i="5"/>
  <c r="C49" i="5"/>
  <c r="D49" i="5"/>
  <c r="E49" i="5"/>
  <c r="F49" i="5"/>
  <c r="G49" i="5"/>
  <c r="C50" i="5"/>
  <c r="D50" i="5"/>
  <c r="E50" i="5"/>
  <c r="F50" i="5"/>
  <c r="G50" i="5"/>
  <c r="C51" i="5"/>
  <c r="D51" i="5"/>
  <c r="E51" i="5"/>
  <c r="F51" i="5"/>
  <c r="G51" i="5"/>
  <c r="C52" i="5"/>
  <c r="D52" i="5"/>
  <c r="E52" i="5"/>
  <c r="F52" i="5"/>
  <c r="G52" i="5"/>
  <c r="C53" i="5"/>
  <c r="D53" i="5"/>
  <c r="E53" i="5"/>
  <c r="F53" i="5"/>
  <c r="G53" i="5"/>
  <c r="B46" i="5"/>
  <c r="D46" i="5"/>
  <c r="E46" i="5"/>
  <c r="F46" i="5"/>
  <c r="B45" i="5"/>
  <c r="D45" i="5"/>
  <c r="E45" i="5"/>
  <c r="F45" i="5"/>
  <c r="B42" i="5"/>
  <c r="E42" i="5"/>
  <c r="D41" i="5"/>
  <c r="E41" i="5"/>
  <c r="F132" i="11"/>
  <c r="E132" i="11"/>
  <c r="D132" i="11"/>
  <c r="F131" i="11"/>
  <c r="E131" i="11"/>
  <c r="D131" i="11"/>
  <c r="E57" i="8"/>
  <c r="D80" i="4"/>
  <c r="C80" i="4"/>
  <c r="E79" i="4"/>
  <c r="D79" i="4"/>
  <c r="C79" i="4"/>
  <c r="D78" i="4"/>
  <c r="C78" i="4"/>
  <c r="D77" i="4"/>
  <c r="C77" i="4"/>
  <c r="D76" i="4"/>
  <c r="C76" i="4"/>
  <c r="D75" i="4"/>
  <c r="C75" i="4"/>
  <c r="D74" i="4"/>
  <c r="C74" i="4"/>
  <c r="D73" i="4"/>
  <c r="C73" i="4"/>
  <c r="D72" i="4"/>
  <c r="C72" i="4"/>
  <c r="C71" i="4"/>
  <c r="F32" i="5"/>
  <c r="D32" i="5"/>
  <c r="C32" i="5"/>
  <c r="F33" i="5"/>
  <c r="D33" i="5"/>
  <c r="C33" i="5"/>
  <c r="J38" i="2"/>
  <c r="J39" i="2"/>
  <c r="J40" i="2"/>
  <c r="J41" i="2"/>
  <c r="J42" i="2"/>
  <c r="J43" i="2"/>
  <c r="J44" i="2"/>
  <c r="J45" i="2"/>
  <c r="J46" i="2"/>
  <c r="J47" i="2"/>
  <c r="J48" i="2"/>
  <c r="J49" i="2"/>
  <c r="J50" i="2"/>
  <c r="J51" i="2"/>
  <c r="J52" i="2"/>
  <c r="J53" i="2"/>
  <c r="J54" i="2"/>
  <c r="J55" i="2"/>
  <c r="J56" i="2"/>
  <c r="J2" i="2"/>
  <c r="J3" i="2"/>
  <c r="J4" i="2"/>
  <c r="J5" i="2"/>
  <c r="J6" i="2"/>
  <c r="J7" i="2"/>
  <c r="J8" i="2"/>
  <c r="J9" i="2"/>
  <c r="J10" i="2"/>
  <c r="J11" i="2"/>
  <c r="J12" i="2"/>
  <c r="J13" i="2"/>
  <c r="J14" i="2"/>
  <c r="J15" i="2"/>
  <c r="J18" i="2"/>
  <c r="J19" i="2"/>
  <c r="J20" i="2"/>
  <c r="J21" i="2"/>
  <c r="J22" i="2"/>
  <c r="J23" i="2"/>
  <c r="J24" i="2"/>
  <c r="J25" i="2"/>
  <c r="J26" i="2"/>
  <c r="I2" i="2"/>
  <c r="I3" i="2"/>
  <c r="I4" i="2"/>
  <c r="I6" i="2"/>
  <c r="I7" i="2"/>
  <c r="I8" i="2"/>
  <c r="I9" i="2"/>
  <c r="I10" i="2"/>
  <c r="I11" i="2"/>
  <c r="I12" i="2"/>
  <c r="I13" i="2"/>
  <c r="I14" i="2"/>
  <c r="I15" i="2"/>
  <c r="I18" i="2"/>
  <c r="I19" i="2"/>
  <c r="I20" i="2"/>
  <c r="I21" i="2"/>
  <c r="I22" i="2"/>
  <c r="I23" i="2"/>
  <c r="I24" i="2"/>
  <c r="I25" i="2"/>
  <c r="I26" i="2"/>
  <c r="I48" i="2"/>
  <c r="I78" i="3"/>
  <c r="F78" i="3"/>
  <c r="F77" i="3"/>
  <c r="I76" i="3"/>
  <c r="F76" i="3"/>
  <c r="I74" i="3"/>
  <c r="F74" i="3"/>
  <c r="I73" i="3"/>
  <c r="F73" i="3"/>
  <c r="E63" i="3"/>
  <c r="E58" i="3"/>
  <c r="D63" i="3"/>
  <c r="D58" i="3"/>
  <c r="F63" i="3"/>
  <c r="I63" i="3" s="1"/>
  <c r="F58" i="3"/>
  <c r="I58" i="3" s="1"/>
  <c r="C16" i="13"/>
  <c r="B64" i="12"/>
  <c r="B63" i="12"/>
  <c r="B60" i="12"/>
  <c r="B59" i="12"/>
  <c r="B58" i="12"/>
  <c r="B57" i="12"/>
  <c r="B56" i="12"/>
  <c r="B55" i="12"/>
  <c r="B54" i="12"/>
  <c r="B53" i="12"/>
  <c r="B52" i="12"/>
  <c r="K36" i="12"/>
  <c r="K35" i="12"/>
  <c r="K34" i="12"/>
  <c r="K33" i="12"/>
  <c r="K32" i="12"/>
  <c r="K31" i="12"/>
  <c r="L31" i="12" s="1"/>
  <c r="J35" i="12"/>
  <c r="J34" i="12"/>
  <c r="J33" i="12"/>
  <c r="J32" i="12"/>
  <c r="I39" i="12"/>
  <c r="L39" i="12" s="1"/>
  <c r="I38" i="12"/>
  <c r="I37" i="12"/>
  <c r="I36" i="12"/>
  <c r="I35" i="12"/>
  <c r="I34" i="12"/>
  <c r="I33" i="12"/>
  <c r="I32" i="12"/>
  <c r="I31" i="12"/>
  <c r="I30" i="12"/>
  <c r="I29" i="12"/>
  <c r="H42" i="12"/>
  <c r="L42" i="12" s="1"/>
  <c r="H41" i="12"/>
  <c r="L41" i="12" s="1"/>
  <c r="H40" i="12"/>
  <c r="H39" i="12"/>
  <c r="H38" i="12"/>
  <c r="H37" i="12"/>
  <c r="H36" i="12"/>
  <c r="H35" i="12"/>
  <c r="H34" i="12"/>
  <c r="H33" i="12"/>
  <c r="H32" i="12"/>
  <c r="G39" i="12"/>
  <c r="G38" i="12"/>
  <c r="L38" i="12" s="1"/>
  <c r="G37" i="12"/>
  <c r="L37" i="12" s="1"/>
  <c r="G36" i="12"/>
  <c r="G35" i="12"/>
  <c r="G34" i="12"/>
  <c r="G33" i="12"/>
  <c r="G32" i="12"/>
  <c r="L32" i="12" s="1"/>
  <c r="F42" i="12"/>
  <c r="F41" i="12"/>
  <c r="F40" i="12"/>
  <c r="F39" i="12"/>
  <c r="F38" i="12"/>
  <c r="F37" i="12"/>
  <c r="F36" i="12"/>
  <c r="F35" i="12"/>
  <c r="F34" i="12"/>
  <c r="F33" i="12"/>
  <c r="F32" i="12"/>
  <c r="E34" i="12"/>
  <c r="E33" i="12"/>
  <c r="E32" i="12"/>
  <c r="E31" i="12"/>
  <c r="D35" i="12"/>
  <c r="D34" i="12"/>
  <c r="D33" i="12"/>
  <c r="D32" i="12"/>
  <c r="D31" i="12"/>
  <c r="D30" i="12"/>
  <c r="C37" i="12"/>
  <c r="C36" i="12"/>
  <c r="C35" i="12"/>
  <c r="C34" i="12"/>
  <c r="C33" i="12"/>
  <c r="C32" i="12"/>
  <c r="C31" i="12"/>
  <c r="C30" i="12"/>
  <c r="C29" i="12"/>
  <c r="B47" i="12"/>
  <c r="B46" i="12"/>
  <c r="B45" i="12"/>
  <c r="B44" i="12"/>
  <c r="B43" i="12"/>
  <c r="B42" i="12"/>
  <c r="B41" i="12"/>
  <c r="B40" i="12"/>
  <c r="B39" i="12"/>
  <c r="B38" i="12"/>
  <c r="B37" i="12"/>
  <c r="B36" i="12"/>
  <c r="B35" i="12"/>
  <c r="B34" i="12"/>
  <c r="B33" i="12"/>
  <c r="B32" i="12"/>
  <c r="B31" i="12"/>
  <c r="B30" i="12"/>
  <c r="B29" i="12"/>
  <c r="B28" i="12"/>
  <c r="L47" i="12"/>
  <c r="L46" i="12"/>
  <c r="L45" i="12"/>
  <c r="L44" i="12"/>
  <c r="L43" i="12"/>
  <c r="L36" i="12"/>
  <c r="L30" i="12"/>
  <c r="L29" i="12"/>
  <c r="L28" i="12"/>
  <c r="M28" i="12" s="1"/>
  <c r="O20" i="12"/>
  <c r="N20" i="12"/>
  <c r="M20" i="12"/>
  <c r="L20" i="12"/>
  <c r="K20" i="12"/>
  <c r="D20" i="12"/>
  <c r="N10" i="12"/>
  <c r="N17" i="12"/>
  <c r="N15" i="12"/>
  <c r="N14" i="12"/>
  <c r="N13" i="12"/>
  <c r="N16" i="12"/>
  <c r="N12" i="12"/>
  <c r="N11" i="12"/>
  <c r="N9" i="12"/>
  <c r="H117" i="13"/>
  <c r="H115" i="13"/>
  <c r="G115" i="13"/>
  <c r="F115" i="13"/>
  <c r="E115" i="13"/>
  <c r="D115" i="13"/>
  <c r="C115" i="13"/>
  <c r="B115" i="13"/>
  <c r="H114" i="13"/>
  <c r="G114" i="13"/>
  <c r="F114" i="13"/>
  <c r="E114" i="13"/>
  <c r="D114" i="13"/>
  <c r="C114" i="13"/>
  <c r="B114" i="13"/>
  <c r="H112" i="13"/>
  <c r="G112" i="13"/>
  <c r="B112" i="13"/>
  <c r="H111" i="13"/>
  <c r="G111" i="13"/>
  <c r="F111" i="13"/>
  <c r="E111" i="13"/>
  <c r="D111" i="13"/>
  <c r="C111" i="13"/>
  <c r="B111" i="13"/>
  <c r="H110" i="13"/>
  <c r="G110" i="13"/>
  <c r="F110" i="13"/>
  <c r="E110" i="13"/>
  <c r="D110" i="13"/>
  <c r="C110" i="13"/>
  <c r="B110" i="13"/>
  <c r="G105" i="13"/>
  <c r="F105" i="13"/>
  <c r="E105" i="13"/>
  <c r="D105" i="13"/>
  <c r="C105" i="13"/>
  <c r="J99" i="13"/>
  <c r="J98" i="13"/>
  <c r="J97" i="13"/>
  <c r="J96" i="13"/>
  <c r="I99" i="13"/>
  <c r="I98" i="13"/>
  <c r="I97" i="13"/>
  <c r="I96" i="13"/>
  <c r="H99" i="13"/>
  <c r="H98" i="13"/>
  <c r="H97" i="13"/>
  <c r="H96" i="13"/>
  <c r="G99" i="13"/>
  <c r="G98" i="13"/>
  <c r="G97" i="13"/>
  <c r="G96" i="13"/>
  <c r="F99" i="13"/>
  <c r="F98" i="13"/>
  <c r="F97" i="13"/>
  <c r="F96" i="13"/>
  <c r="J92" i="13"/>
  <c r="I92" i="13"/>
  <c r="H92" i="13"/>
  <c r="G92" i="13"/>
  <c r="F92" i="13"/>
  <c r="C91" i="13"/>
  <c r="E91" i="13" s="1"/>
  <c r="C90" i="13"/>
  <c r="E90" i="13" s="1"/>
  <c r="C89" i="13"/>
  <c r="E89" i="13" s="1"/>
  <c r="C88" i="13"/>
  <c r="E88" i="13" s="1"/>
  <c r="C87" i="13"/>
  <c r="E87" i="13" s="1"/>
  <c r="G83" i="13"/>
  <c r="G82" i="13"/>
  <c r="G81" i="13"/>
  <c r="G80" i="13"/>
  <c r="G79" i="13"/>
  <c r="F83" i="13"/>
  <c r="F82" i="13"/>
  <c r="F81" i="13"/>
  <c r="F80" i="13"/>
  <c r="F79" i="13"/>
  <c r="E83" i="13"/>
  <c r="E82" i="13"/>
  <c r="E81" i="13"/>
  <c r="E80" i="13"/>
  <c r="E79" i="13"/>
  <c r="D83" i="13"/>
  <c r="D82" i="13"/>
  <c r="D81" i="13"/>
  <c r="D80" i="13"/>
  <c r="D79" i="13"/>
  <c r="C83" i="13"/>
  <c r="C82" i="13"/>
  <c r="C81" i="13"/>
  <c r="C80" i="13"/>
  <c r="C79" i="13"/>
  <c r="B83" i="13"/>
  <c r="B82" i="13"/>
  <c r="B81" i="13"/>
  <c r="B80" i="13"/>
  <c r="B79" i="13"/>
  <c r="G72" i="13"/>
  <c r="G76" i="13"/>
  <c r="G75" i="13"/>
  <c r="G74" i="13"/>
  <c r="G73" i="13"/>
  <c r="G71" i="13"/>
  <c r="G70" i="13"/>
  <c r="G69" i="13"/>
  <c r="F76" i="13"/>
  <c r="F75" i="13"/>
  <c r="F74" i="13"/>
  <c r="F73" i="13"/>
  <c r="F72" i="13"/>
  <c r="F71" i="13"/>
  <c r="F70" i="13"/>
  <c r="F69" i="13"/>
  <c r="E76" i="13"/>
  <c r="E75" i="13"/>
  <c r="E74" i="13"/>
  <c r="E73" i="13"/>
  <c r="E72" i="13"/>
  <c r="E71" i="13"/>
  <c r="E70" i="13"/>
  <c r="E69" i="13"/>
  <c r="D76" i="13"/>
  <c r="D75" i="13"/>
  <c r="D74" i="13"/>
  <c r="D73" i="13"/>
  <c r="D72" i="13"/>
  <c r="D71" i="13"/>
  <c r="D70" i="13"/>
  <c r="D69" i="13"/>
  <c r="C76" i="13"/>
  <c r="C75" i="13"/>
  <c r="C74" i="13"/>
  <c r="C73" i="13"/>
  <c r="C72" i="13"/>
  <c r="C71" i="13"/>
  <c r="C70" i="13"/>
  <c r="C69" i="13"/>
  <c r="B76" i="13"/>
  <c r="B75" i="13"/>
  <c r="B74" i="13"/>
  <c r="B73" i="13"/>
  <c r="B72" i="13"/>
  <c r="B71" i="13"/>
  <c r="B70" i="13"/>
  <c r="B69" i="13"/>
  <c r="G63" i="13"/>
  <c r="G62" i="13"/>
  <c r="G61" i="13"/>
  <c r="G60" i="13"/>
  <c r="G59" i="13"/>
  <c r="G58" i="13"/>
  <c r="G57" i="13"/>
  <c r="E58" i="13" s="1"/>
  <c r="F63" i="13"/>
  <c r="F62" i="13"/>
  <c r="F61" i="13"/>
  <c r="F60" i="13"/>
  <c r="F59" i="13"/>
  <c r="F58" i="13"/>
  <c r="F57" i="13"/>
  <c r="E63" i="13"/>
  <c r="E62" i="13"/>
  <c r="E61" i="13"/>
  <c r="E60" i="13"/>
  <c r="E59" i="13"/>
  <c r="E57" i="13"/>
  <c r="D63" i="13"/>
  <c r="D62" i="13"/>
  <c r="D61" i="13"/>
  <c r="D60" i="13"/>
  <c r="D59" i="13"/>
  <c r="D58" i="13"/>
  <c r="D57" i="13"/>
  <c r="C63" i="13"/>
  <c r="C62" i="13"/>
  <c r="C61" i="13"/>
  <c r="C60" i="13"/>
  <c r="C59" i="13"/>
  <c r="C58" i="13"/>
  <c r="C57" i="13"/>
  <c r="B63" i="13"/>
  <c r="B62" i="13"/>
  <c r="B61" i="13"/>
  <c r="B60" i="13"/>
  <c r="B59" i="13"/>
  <c r="B58" i="13"/>
  <c r="B57" i="13"/>
  <c r="H52" i="13"/>
  <c r="H51" i="13"/>
  <c r="H50" i="13"/>
  <c r="H49" i="13"/>
  <c r="G52" i="13"/>
  <c r="F52" i="13"/>
  <c r="E52" i="13"/>
  <c r="D52" i="13"/>
  <c r="C52" i="13"/>
  <c r="H45" i="13"/>
  <c r="H44" i="13"/>
  <c r="H43" i="13"/>
  <c r="G45" i="13"/>
  <c r="F45" i="13"/>
  <c r="E45" i="13"/>
  <c r="D45" i="13"/>
  <c r="C45" i="13"/>
  <c r="H39" i="13"/>
  <c r="H38" i="13"/>
  <c r="H37" i="13"/>
  <c r="G39" i="13"/>
  <c r="F39" i="13"/>
  <c r="E39" i="13"/>
  <c r="D39" i="13"/>
  <c r="C39" i="13"/>
  <c r="H31" i="13"/>
  <c r="H30" i="13"/>
  <c r="H29" i="13"/>
  <c r="H28" i="13"/>
  <c r="H27" i="13"/>
  <c r="G31" i="13"/>
  <c r="G30" i="13"/>
  <c r="G28" i="13"/>
  <c r="G27" i="13"/>
  <c r="F31" i="13"/>
  <c r="F30" i="13"/>
  <c r="F28" i="13"/>
  <c r="F27" i="13"/>
  <c r="E31" i="13"/>
  <c r="E30" i="13"/>
  <c r="E28" i="13"/>
  <c r="E27" i="13"/>
  <c r="D31" i="13"/>
  <c r="D30" i="13"/>
  <c r="D28" i="13"/>
  <c r="D27" i="13"/>
  <c r="C31" i="13"/>
  <c r="C30" i="13"/>
  <c r="C28" i="13"/>
  <c r="C27" i="13"/>
  <c r="Z20" i="13"/>
  <c r="Z19" i="13"/>
  <c r="Z17" i="13"/>
  <c r="Z15" i="13"/>
  <c r="Z14" i="13"/>
  <c r="Z13" i="13"/>
  <c r="Z22" i="13"/>
  <c r="Z21" i="13"/>
  <c r="Z18" i="13"/>
  <c r="Z16" i="13"/>
  <c r="Z10" i="13"/>
  <c r="Y22" i="13"/>
  <c r="X22" i="13"/>
  <c r="W22" i="13"/>
  <c r="V22" i="13"/>
  <c r="Y21" i="13"/>
  <c r="Y18" i="13"/>
  <c r="Y16" i="13"/>
  <c r="Y20" i="13"/>
  <c r="Y19" i="13"/>
  <c r="Y17" i="13"/>
  <c r="Y15" i="13"/>
  <c r="Y14" i="13"/>
  <c r="Y13" i="13"/>
  <c r="Y12" i="13"/>
  <c r="Y11" i="13"/>
  <c r="Y10" i="13"/>
  <c r="X21" i="13"/>
  <c r="W21" i="13"/>
  <c r="V21" i="13"/>
  <c r="X18" i="13"/>
  <c r="W18" i="13"/>
  <c r="V18" i="13"/>
  <c r="W16" i="13"/>
  <c r="V16" i="13"/>
  <c r="X16" i="13"/>
  <c r="X20" i="13"/>
  <c r="X19" i="13"/>
  <c r="X17" i="13"/>
  <c r="X15" i="13"/>
  <c r="X14" i="13"/>
  <c r="X13" i="13"/>
  <c r="X12" i="13"/>
  <c r="X11" i="13"/>
  <c r="X10" i="13"/>
  <c r="U20" i="13"/>
  <c r="U19" i="13"/>
  <c r="U17" i="13"/>
  <c r="U15" i="13"/>
  <c r="U14" i="13"/>
  <c r="U13" i="13"/>
  <c r="U22" i="13"/>
  <c r="U21" i="13"/>
  <c r="U18" i="13"/>
  <c r="U16" i="13"/>
  <c r="U10" i="13"/>
  <c r="T22" i="13"/>
  <c r="S22" i="13"/>
  <c r="R22" i="13"/>
  <c r="Q22" i="13"/>
  <c r="T21" i="13"/>
  <c r="T18" i="13"/>
  <c r="T16" i="13"/>
  <c r="T20" i="13"/>
  <c r="T19" i="13"/>
  <c r="T17" i="13"/>
  <c r="T15" i="13"/>
  <c r="T14" i="13"/>
  <c r="T13" i="13"/>
  <c r="T12" i="13"/>
  <c r="T11" i="13"/>
  <c r="T10" i="13"/>
  <c r="S21" i="13"/>
  <c r="R21" i="13"/>
  <c r="Q21" i="13"/>
  <c r="S18" i="13"/>
  <c r="R18" i="13"/>
  <c r="Q18" i="13"/>
  <c r="R16" i="13"/>
  <c r="Q16" i="13"/>
  <c r="S20" i="13"/>
  <c r="S19" i="13"/>
  <c r="S17" i="13"/>
  <c r="S15" i="13"/>
  <c r="S14" i="13"/>
  <c r="S13" i="13"/>
  <c r="S12" i="13"/>
  <c r="S11" i="13"/>
  <c r="S10" i="13"/>
  <c r="P20" i="13"/>
  <c r="P19" i="13"/>
  <c r="P17" i="13"/>
  <c r="P15" i="13"/>
  <c r="P14" i="13"/>
  <c r="P13" i="13"/>
  <c r="P22" i="13"/>
  <c r="P21" i="13"/>
  <c r="P18" i="13"/>
  <c r="P16" i="13"/>
  <c r="P10" i="13"/>
  <c r="O22" i="13"/>
  <c r="N22" i="13"/>
  <c r="M22" i="13"/>
  <c r="L22" i="13"/>
  <c r="O21" i="13"/>
  <c r="O18" i="13"/>
  <c r="O16" i="13"/>
  <c r="O20" i="13"/>
  <c r="O19" i="13"/>
  <c r="O17" i="13"/>
  <c r="O15" i="13"/>
  <c r="O14" i="13"/>
  <c r="O13" i="13"/>
  <c r="O12" i="13"/>
  <c r="O11" i="13"/>
  <c r="O10" i="13"/>
  <c r="N21" i="13"/>
  <c r="M21" i="13"/>
  <c r="L21" i="13"/>
  <c r="N18" i="13"/>
  <c r="M18" i="13"/>
  <c r="L18" i="13"/>
  <c r="M16" i="13"/>
  <c r="L16" i="13"/>
  <c r="N16" i="13" s="1"/>
  <c r="N20" i="13"/>
  <c r="N19" i="13"/>
  <c r="N17" i="13"/>
  <c r="N15" i="13"/>
  <c r="N14" i="13"/>
  <c r="N13" i="13"/>
  <c r="N12" i="13"/>
  <c r="N11" i="13"/>
  <c r="N10" i="13"/>
  <c r="K20" i="13"/>
  <c r="K19" i="13"/>
  <c r="K17" i="13"/>
  <c r="K15" i="13"/>
  <c r="K14" i="13"/>
  <c r="K13" i="13"/>
  <c r="K22" i="13"/>
  <c r="K21" i="13"/>
  <c r="K18" i="13"/>
  <c r="K16" i="13"/>
  <c r="K10" i="13"/>
  <c r="J22" i="13"/>
  <c r="I22" i="13"/>
  <c r="H22" i="13"/>
  <c r="G22" i="13"/>
  <c r="J21" i="13"/>
  <c r="J18" i="13"/>
  <c r="J16" i="13"/>
  <c r="J20" i="13"/>
  <c r="J19" i="13"/>
  <c r="J17" i="13"/>
  <c r="J15" i="13"/>
  <c r="J14" i="13"/>
  <c r="J13" i="13"/>
  <c r="J12" i="13"/>
  <c r="J11" i="13"/>
  <c r="J10" i="13"/>
  <c r="I21" i="13"/>
  <c r="H21" i="13"/>
  <c r="G21" i="13"/>
  <c r="I18" i="13"/>
  <c r="H18" i="13"/>
  <c r="G18" i="13"/>
  <c r="H16" i="13"/>
  <c r="I16" i="13" s="1"/>
  <c r="G16" i="13"/>
  <c r="I20" i="13"/>
  <c r="I19" i="13"/>
  <c r="I17" i="13"/>
  <c r="I15" i="13"/>
  <c r="I14" i="13"/>
  <c r="I13" i="13"/>
  <c r="I12" i="13"/>
  <c r="I11" i="13"/>
  <c r="I10" i="13"/>
  <c r="F20" i="13"/>
  <c r="F19" i="13"/>
  <c r="F17" i="13"/>
  <c r="F15" i="13"/>
  <c r="F14" i="13"/>
  <c r="F13" i="13"/>
  <c r="F22" i="13"/>
  <c r="F21" i="13"/>
  <c r="F18" i="13"/>
  <c r="F16" i="13"/>
  <c r="F10" i="13"/>
  <c r="E22" i="13"/>
  <c r="D22" i="13"/>
  <c r="C22" i="13"/>
  <c r="B22" i="13"/>
  <c r="E21" i="13"/>
  <c r="E18" i="13"/>
  <c r="E16" i="13"/>
  <c r="E20" i="13"/>
  <c r="E19" i="13"/>
  <c r="E17" i="13"/>
  <c r="E15" i="13"/>
  <c r="E14" i="13"/>
  <c r="E13" i="13"/>
  <c r="E12" i="13"/>
  <c r="E11" i="13"/>
  <c r="E10" i="13"/>
  <c r="D21" i="13"/>
  <c r="C21" i="13"/>
  <c r="B21" i="13"/>
  <c r="D18" i="13"/>
  <c r="C18" i="13"/>
  <c r="B18" i="13"/>
  <c r="B16" i="13"/>
  <c r="D16" i="13" s="1"/>
  <c r="D20" i="13"/>
  <c r="D19" i="13"/>
  <c r="D17" i="13"/>
  <c r="D15" i="13"/>
  <c r="D14" i="13"/>
  <c r="D13" i="13"/>
  <c r="D12" i="13"/>
  <c r="D11" i="13"/>
  <c r="D10" i="13"/>
  <c r="D161" i="13" l="1"/>
  <c r="B162" i="13"/>
  <c r="F162" i="13"/>
  <c r="E148" i="13"/>
  <c r="I148" i="13"/>
  <c r="B160" i="13" s="1"/>
  <c r="E149" i="13"/>
  <c r="I149" i="13"/>
  <c r="C160" i="13" s="1"/>
  <c r="E150" i="13"/>
  <c r="I150" i="13"/>
  <c r="D160" i="13" s="1"/>
  <c r="E151" i="13"/>
  <c r="I151" i="13"/>
  <c r="E160" i="13" s="1"/>
  <c r="E152" i="13"/>
  <c r="I152" i="13"/>
  <c r="F160" i="13" s="1"/>
  <c r="D153" i="13"/>
  <c r="H153" i="13"/>
  <c r="E161" i="13"/>
  <c r="C162" i="13"/>
  <c r="J148" i="13"/>
  <c r="J149" i="13"/>
  <c r="J150" i="13"/>
  <c r="J151" i="13"/>
  <c r="J152" i="13"/>
  <c r="G143" i="13"/>
  <c r="V143" i="13"/>
  <c r="L143" i="13"/>
  <c r="B143" i="13"/>
  <c r="Q143" i="13"/>
  <c r="W143" i="13"/>
  <c r="M143" i="13"/>
  <c r="C143" i="13"/>
  <c r="H143" i="13"/>
  <c r="R143" i="13"/>
  <c r="AC142" i="13"/>
  <c r="AD142" i="13" s="1"/>
  <c r="AD133" i="13"/>
  <c r="F142" i="13"/>
  <c r="E142" i="13"/>
  <c r="O142" i="13"/>
  <c r="Z142" i="13"/>
  <c r="Y142" i="13"/>
  <c r="O132" i="13"/>
  <c r="Y134" i="13"/>
  <c r="O136" i="13"/>
  <c r="E138" i="13"/>
  <c r="O140" i="13"/>
  <c r="J142" i="13"/>
  <c r="O131" i="13"/>
  <c r="U131" i="13"/>
  <c r="J132" i="13"/>
  <c r="E133" i="13"/>
  <c r="K133" i="13"/>
  <c r="Y133" i="13"/>
  <c r="F134" i="13"/>
  <c r="T134" i="13"/>
  <c r="O135" i="13"/>
  <c r="U135" i="13"/>
  <c r="J136" i="13"/>
  <c r="E137" i="13"/>
  <c r="K137" i="13"/>
  <c r="Y137" i="13"/>
  <c r="T138" i="13"/>
  <c r="Z138" i="13"/>
  <c r="O139" i="13"/>
  <c r="U139" i="13"/>
  <c r="J140" i="13"/>
  <c r="H58" i="3"/>
  <c r="H63" i="3"/>
  <c r="L34" i="12"/>
  <c r="L35" i="12"/>
  <c r="L33" i="12"/>
  <c r="L40" i="12"/>
  <c r="N28" i="12"/>
  <c r="M29" i="12"/>
  <c r="S16" i="13"/>
  <c r="O18" i="12"/>
  <c r="M18" i="12"/>
  <c r="K18" i="12"/>
  <c r="O17" i="12"/>
  <c r="M17" i="12"/>
  <c r="K17" i="12"/>
  <c r="O16" i="12"/>
  <c r="M16" i="12"/>
  <c r="K16" i="12"/>
  <c r="O15" i="12"/>
  <c r="M15" i="12"/>
  <c r="K15" i="12"/>
  <c r="O14" i="12"/>
  <c r="M14" i="12"/>
  <c r="K14" i="12"/>
  <c r="O13" i="12"/>
  <c r="M13" i="12"/>
  <c r="K13" i="12"/>
  <c r="O12" i="12"/>
  <c r="M12" i="12"/>
  <c r="K12" i="12"/>
  <c r="O11" i="12"/>
  <c r="M11" i="12"/>
  <c r="K11" i="12"/>
  <c r="O10" i="12"/>
  <c r="M10" i="12"/>
  <c r="K10" i="12"/>
  <c r="O9" i="12"/>
  <c r="M9" i="12"/>
  <c r="K9" i="12"/>
  <c r="F35" i="3"/>
  <c r="E35" i="3"/>
  <c r="D35" i="3"/>
  <c r="J23" i="11"/>
  <c r="J29" i="11" s="1"/>
  <c r="D23" i="11"/>
  <c r="D29" i="11" s="1"/>
  <c r="D134" i="11"/>
  <c r="B87" i="11"/>
  <c r="B86" i="11"/>
  <c r="B85" i="11"/>
  <c r="F10" i="3"/>
  <c r="C31" i="8" s="1"/>
  <c r="E10" i="3"/>
  <c r="E11" i="3" s="1"/>
  <c r="D10" i="3"/>
  <c r="D11" i="3" s="1"/>
  <c r="F7" i="3"/>
  <c r="E12" i="5" s="1"/>
  <c r="E7" i="3"/>
  <c r="D7" i="3"/>
  <c r="H8" i="2"/>
  <c r="G8" i="2"/>
  <c r="H7" i="2"/>
  <c r="G7" i="2"/>
  <c r="C118" i="11"/>
  <c r="C120" i="11" s="1"/>
  <c r="C116" i="11"/>
  <c r="C117" i="11" s="1"/>
  <c r="C103" i="11"/>
  <c r="C101" i="11"/>
  <c r="C102" i="11" s="1"/>
  <c r="E98" i="11"/>
  <c r="K28" i="11"/>
  <c r="G28" i="11"/>
  <c r="F28" i="11"/>
  <c r="E28" i="11"/>
  <c r="D28" i="11"/>
  <c r="C28" i="11"/>
  <c r="K27" i="11"/>
  <c r="G27" i="11"/>
  <c r="F27" i="11"/>
  <c r="E27" i="11"/>
  <c r="D27" i="11"/>
  <c r="C27" i="11"/>
  <c r="K26" i="11"/>
  <c r="G26" i="11"/>
  <c r="F26" i="11"/>
  <c r="E26" i="11"/>
  <c r="D26" i="11"/>
  <c r="C26" i="11"/>
  <c r="K25" i="11"/>
  <c r="G25" i="11"/>
  <c r="F25" i="11"/>
  <c r="E25" i="11"/>
  <c r="E29" i="11" s="1"/>
  <c r="D25" i="11"/>
  <c r="C25" i="11"/>
  <c r="I22" i="11"/>
  <c r="H22" i="11"/>
  <c r="J22" i="11" s="1"/>
  <c r="L22" i="11" s="1"/>
  <c r="I21" i="11"/>
  <c r="H21" i="11"/>
  <c r="J21" i="11" s="1"/>
  <c r="L21" i="11" s="1"/>
  <c r="I20" i="11"/>
  <c r="H20" i="11"/>
  <c r="J20" i="11" s="1"/>
  <c r="L20" i="11" s="1"/>
  <c r="I19" i="11"/>
  <c r="H19" i="11"/>
  <c r="J19" i="11" s="1"/>
  <c r="L19" i="11" s="1"/>
  <c r="I18" i="11"/>
  <c r="I28" i="11" s="1"/>
  <c r="H18" i="11"/>
  <c r="J18" i="11" s="1"/>
  <c r="I17" i="11"/>
  <c r="H17" i="11"/>
  <c r="J17" i="11" s="1"/>
  <c r="L17" i="11" s="1"/>
  <c r="I16" i="11"/>
  <c r="H16" i="11"/>
  <c r="J16" i="11" s="1"/>
  <c r="L16" i="11" s="1"/>
  <c r="I15" i="11"/>
  <c r="H15" i="11"/>
  <c r="J15" i="11" s="1"/>
  <c r="L15" i="11" s="1"/>
  <c r="I14" i="11"/>
  <c r="I27" i="11" s="1"/>
  <c r="H14" i="11"/>
  <c r="J14" i="11" s="1"/>
  <c r="I13" i="11"/>
  <c r="H13" i="11"/>
  <c r="J13" i="11" s="1"/>
  <c r="L13" i="11" s="1"/>
  <c r="I12" i="11"/>
  <c r="I26" i="11" s="1"/>
  <c r="H12" i="11"/>
  <c r="J12" i="11" s="1"/>
  <c r="I11" i="11"/>
  <c r="H11" i="11"/>
  <c r="J11" i="11" s="1"/>
  <c r="L11" i="11" s="1"/>
  <c r="I10" i="11"/>
  <c r="H10" i="11"/>
  <c r="J10" i="11" s="1"/>
  <c r="L10" i="11" s="1"/>
  <c r="I9" i="11"/>
  <c r="H9" i="11"/>
  <c r="J9" i="11" s="1"/>
  <c r="L9" i="11" s="1"/>
  <c r="I8" i="11"/>
  <c r="I25" i="11" s="1"/>
  <c r="I29" i="11" s="1"/>
  <c r="H8" i="11"/>
  <c r="J8" i="11" s="1"/>
  <c r="B52" i="4"/>
  <c r="B23" i="1"/>
  <c r="B53" i="8"/>
  <c r="B52" i="8"/>
  <c r="B51" i="8"/>
  <c r="B18" i="8"/>
  <c r="B17" i="8"/>
  <c r="B16" i="8"/>
  <c r="B67" i="8"/>
  <c r="B66" i="8"/>
  <c r="B63" i="8"/>
  <c r="B60" i="8"/>
  <c r="B59" i="8"/>
  <c r="B58" i="8"/>
  <c r="B57" i="8"/>
  <c r="B56" i="8"/>
  <c r="B43" i="8"/>
  <c r="B42" i="8"/>
  <c r="B41" i="8"/>
  <c r="B40" i="8"/>
  <c r="B39" i="8"/>
  <c r="B38" i="8"/>
  <c r="B37" i="8"/>
  <c r="B36" i="8"/>
  <c r="B35" i="8"/>
  <c r="B34" i="8"/>
  <c r="B53" i="4"/>
  <c r="B43" i="4"/>
  <c r="B42" i="4"/>
  <c r="B15" i="4"/>
  <c r="B14" i="4"/>
  <c r="B13" i="4"/>
  <c r="B12" i="4"/>
  <c r="B9" i="4"/>
  <c r="E22" i="4"/>
  <c r="C22" i="4"/>
  <c r="B11" i="4"/>
  <c r="E23" i="6"/>
  <c r="B80" i="8"/>
  <c r="B6" i="5"/>
  <c r="E29" i="9"/>
  <c r="E28" i="9"/>
  <c r="C29" i="9"/>
  <c r="C28" i="9"/>
  <c r="F6" i="9"/>
  <c r="B13" i="9"/>
  <c r="B12" i="9"/>
  <c r="C24" i="9"/>
  <c r="F30" i="1"/>
  <c r="F29" i="1"/>
  <c r="F28" i="1"/>
  <c r="F27" i="1"/>
  <c r="B41" i="9"/>
  <c r="B2" i="9"/>
  <c r="O41" i="5"/>
  <c r="P34" i="5"/>
  <c r="P33" i="5"/>
  <c r="P32" i="5"/>
  <c r="E34" i="2"/>
  <c r="D34" i="2"/>
  <c r="C34" i="2"/>
  <c r="D13" i="9"/>
  <c r="C13" i="9"/>
  <c r="F63" i="5"/>
  <c r="C11" i="4"/>
  <c r="B5" i="5"/>
  <c r="O61" i="5"/>
  <c r="O60" i="5"/>
  <c r="O59" i="5"/>
  <c r="P59" i="5" s="1"/>
  <c r="O58" i="5"/>
  <c r="P58" i="5" s="1"/>
  <c r="O57" i="5"/>
  <c r="P57" i="5" s="1"/>
  <c r="C4" i="5"/>
  <c r="E13" i="9" s="1"/>
  <c r="B4" i="5"/>
  <c r="C76" i="8" s="1"/>
  <c r="D31" i="4"/>
  <c r="D24" i="4"/>
  <c r="D31" i="9" s="1"/>
  <c r="D23" i="4"/>
  <c r="I60" i="4"/>
  <c r="H60" i="4"/>
  <c r="G60" i="4"/>
  <c r="F60" i="4"/>
  <c r="E60" i="4"/>
  <c r="D60" i="4"/>
  <c r="C60" i="4"/>
  <c r="I59" i="4"/>
  <c r="H59" i="4"/>
  <c r="G59" i="4"/>
  <c r="F59" i="4"/>
  <c r="E59" i="4"/>
  <c r="D59" i="4"/>
  <c r="C59" i="4"/>
  <c r="I58" i="4"/>
  <c r="H58" i="4"/>
  <c r="G58" i="4"/>
  <c r="F58" i="4"/>
  <c r="E58" i="4"/>
  <c r="D58" i="4"/>
  <c r="C58" i="4"/>
  <c r="I57" i="4"/>
  <c r="H57" i="4"/>
  <c r="G57" i="4"/>
  <c r="F57" i="4"/>
  <c r="E57" i="4"/>
  <c r="D57" i="4"/>
  <c r="C57" i="4"/>
  <c r="I56" i="4"/>
  <c r="H56" i="4"/>
  <c r="G56" i="4"/>
  <c r="F56" i="4"/>
  <c r="E56" i="4"/>
  <c r="D56" i="4"/>
  <c r="C56" i="4"/>
  <c r="C31" i="4"/>
  <c r="C23" i="4"/>
  <c r="C30" i="4"/>
  <c r="D30" i="4" s="1"/>
  <c r="D37" i="9" s="1"/>
  <c r="C29" i="4"/>
  <c r="D29" i="4" s="1"/>
  <c r="D36" i="9" s="1"/>
  <c r="C28" i="4"/>
  <c r="D28" i="4" s="1"/>
  <c r="D35" i="9" s="1"/>
  <c r="C27" i="4"/>
  <c r="D27" i="4" s="1"/>
  <c r="C26" i="4"/>
  <c r="D26" i="4" s="1"/>
  <c r="D33" i="9" s="1"/>
  <c r="C25" i="4"/>
  <c r="D25" i="4" s="1"/>
  <c r="D32" i="9" s="1"/>
  <c r="C24" i="4"/>
  <c r="G2" i="2"/>
  <c r="D17" i="2"/>
  <c r="F36" i="3"/>
  <c r="E36" i="3"/>
  <c r="D36" i="3"/>
  <c r="F23" i="3"/>
  <c r="I23" i="3" s="1"/>
  <c r="E23" i="3"/>
  <c r="D23" i="3"/>
  <c r="F18" i="3"/>
  <c r="F24" i="6" s="1"/>
  <c r="E18" i="3"/>
  <c r="D18" i="3"/>
  <c r="F24" i="3"/>
  <c r="D25" i="9" s="1"/>
  <c r="E24" i="3"/>
  <c r="D24" i="3"/>
  <c r="C14" i="9" s="1"/>
  <c r="F17" i="2"/>
  <c r="E17" i="2"/>
  <c r="E49" i="3" s="1"/>
  <c r="F72" i="2"/>
  <c r="C36" i="8"/>
  <c r="C40" i="8" s="1"/>
  <c r="D29" i="2"/>
  <c r="G39" i="2"/>
  <c r="F61" i="2"/>
  <c r="E80" i="2"/>
  <c r="G80" i="2" s="1"/>
  <c r="H38" i="2"/>
  <c r="B37" i="9"/>
  <c r="B36" i="9"/>
  <c r="C35" i="9"/>
  <c r="B35" i="9"/>
  <c r="D34" i="9"/>
  <c r="B34" i="9"/>
  <c r="C33" i="9"/>
  <c r="B33" i="9"/>
  <c r="B32" i="9"/>
  <c r="C31" i="9"/>
  <c r="B31" i="9"/>
  <c r="F30" i="9"/>
  <c r="D30" i="9"/>
  <c r="C30" i="9"/>
  <c r="B30" i="9"/>
  <c r="F29" i="9"/>
  <c r="D29" i="9"/>
  <c r="B29" i="9"/>
  <c r="E12" i="9"/>
  <c r="D12" i="9"/>
  <c r="C12" i="9"/>
  <c r="G12" i="9"/>
  <c r="D6" i="9"/>
  <c r="F65" i="5"/>
  <c r="F64" i="5"/>
  <c r="C42" i="8"/>
  <c r="C41" i="8"/>
  <c r="C34" i="8"/>
  <c r="D34" i="8" s="1"/>
  <c r="E34" i="8" s="1"/>
  <c r="C16" i="8"/>
  <c r="C14" i="8"/>
  <c r="C9" i="8"/>
  <c r="E31" i="7"/>
  <c r="E30" i="7"/>
  <c r="E29" i="7"/>
  <c r="E27" i="7"/>
  <c r="E26" i="7"/>
  <c r="E40" i="7"/>
  <c r="G38" i="2"/>
  <c r="D23" i="6"/>
  <c r="F23" i="6" s="1"/>
  <c r="F28" i="6"/>
  <c r="C11" i="6"/>
  <c r="F11" i="6" s="1"/>
  <c r="B2" i="3"/>
  <c r="B1" i="4"/>
  <c r="B3" i="1"/>
  <c r="B1" i="5"/>
  <c r="P52" i="5"/>
  <c r="O52" i="5"/>
  <c r="P51" i="5"/>
  <c r="O51" i="5"/>
  <c r="P50" i="5"/>
  <c r="O50" i="5"/>
  <c r="P49" i="5"/>
  <c r="O49" i="5"/>
  <c r="Q49" i="5" s="1"/>
  <c r="P48" i="5"/>
  <c r="O48" i="5"/>
  <c r="P47" i="5"/>
  <c r="O47" i="5"/>
  <c r="O42" i="5"/>
  <c r="O40" i="5"/>
  <c r="O39" i="5"/>
  <c r="O38" i="5"/>
  <c r="O34" i="5"/>
  <c r="Q33" i="5"/>
  <c r="O33" i="5"/>
  <c r="O32" i="5"/>
  <c r="J11" i="5"/>
  <c r="F69" i="2"/>
  <c r="E29" i="2"/>
  <c r="H56" i="2"/>
  <c r="G56" i="2"/>
  <c r="H55" i="2"/>
  <c r="G55" i="2"/>
  <c r="H54" i="2"/>
  <c r="G54" i="2"/>
  <c r="H53" i="2"/>
  <c r="G53" i="2"/>
  <c r="H52" i="2"/>
  <c r="G52" i="2"/>
  <c r="H51" i="2"/>
  <c r="G51" i="2"/>
  <c r="H50" i="2"/>
  <c r="G50" i="2"/>
  <c r="H49" i="2"/>
  <c r="G49" i="2"/>
  <c r="H48" i="2"/>
  <c r="G48" i="2"/>
  <c r="H47" i="2"/>
  <c r="G47" i="2"/>
  <c r="H46" i="2"/>
  <c r="G46" i="2"/>
  <c r="H45" i="2"/>
  <c r="G45" i="2"/>
  <c r="H44" i="2"/>
  <c r="G44" i="2"/>
  <c r="H43" i="2"/>
  <c r="G43" i="2"/>
  <c r="H42" i="2"/>
  <c r="G42" i="2"/>
  <c r="H41" i="2"/>
  <c r="G41" i="2"/>
  <c r="H40" i="2"/>
  <c r="G40" i="2"/>
  <c r="H39" i="2"/>
  <c r="H26" i="2"/>
  <c r="G26" i="2"/>
  <c r="H25" i="2"/>
  <c r="G25" i="2"/>
  <c r="H24" i="2"/>
  <c r="G24" i="2"/>
  <c r="H23" i="2"/>
  <c r="G23" i="2"/>
  <c r="H22" i="2"/>
  <c r="G22" i="2"/>
  <c r="H21" i="2"/>
  <c r="G21" i="2"/>
  <c r="H20" i="2"/>
  <c r="G20" i="2"/>
  <c r="H19" i="2"/>
  <c r="G19" i="2"/>
  <c r="H18" i="2"/>
  <c r="G18" i="2"/>
  <c r="H15" i="2"/>
  <c r="G15" i="2"/>
  <c r="H14" i="2"/>
  <c r="G14" i="2"/>
  <c r="H13" i="2"/>
  <c r="G13" i="2"/>
  <c r="H12" i="2"/>
  <c r="G12" i="2"/>
  <c r="H11" i="2"/>
  <c r="G11" i="2"/>
  <c r="H10" i="2"/>
  <c r="G10" i="2"/>
  <c r="H9" i="2"/>
  <c r="G9" i="2"/>
  <c r="H6" i="2"/>
  <c r="G6" i="2"/>
  <c r="H5" i="2"/>
  <c r="G5" i="2"/>
  <c r="H4" i="2"/>
  <c r="G4" i="2"/>
  <c r="H3" i="2"/>
  <c r="G3" i="2"/>
  <c r="H2" i="2"/>
  <c r="F88" i="2"/>
  <c r="F87" i="2"/>
  <c r="F86" i="2"/>
  <c r="F85" i="2"/>
  <c r="F84" i="2"/>
  <c r="F83" i="2"/>
  <c r="D24" i="9" s="1"/>
  <c r="F82" i="2"/>
  <c r="F81" i="2"/>
  <c r="F80" i="2"/>
  <c r="E88" i="2"/>
  <c r="G88" i="2" s="1"/>
  <c r="E87" i="2"/>
  <c r="G87" i="2" s="1"/>
  <c r="E86" i="2"/>
  <c r="G86" i="2" s="1"/>
  <c r="E85" i="2"/>
  <c r="G85" i="2" s="1"/>
  <c r="E84" i="2"/>
  <c r="G84" i="2" s="1"/>
  <c r="E83" i="2"/>
  <c r="G83" i="2" s="1"/>
  <c r="E82" i="2"/>
  <c r="G82" i="2" s="1"/>
  <c r="E81" i="2"/>
  <c r="G81" i="2" s="1"/>
  <c r="F24" i="4"/>
  <c r="F31" i="9" s="1"/>
  <c r="H7" i="4"/>
  <c r="N41" i="4"/>
  <c r="M41" i="4"/>
  <c r="L41" i="4"/>
  <c r="K41" i="4"/>
  <c r="J41" i="4"/>
  <c r="I41" i="4"/>
  <c r="H41" i="4"/>
  <c r="G41" i="4"/>
  <c r="F41" i="4"/>
  <c r="E41" i="4"/>
  <c r="D41" i="4"/>
  <c r="C41" i="4"/>
  <c r="N40" i="4"/>
  <c r="M40" i="4"/>
  <c r="L40" i="4"/>
  <c r="K40" i="4"/>
  <c r="J40" i="4"/>
  <c r="I40" i="4"/>
  <c r="H40" i="4"/>
  <c r="G40" i="4"/>
  <c r="F40" i="4"/>
  <c r="E40" i="4"/>
  <c r="D40" i="4"/>
  <c r="C40" i="4"/>
  <c r="N39" i="4"/>
  <c r="M39" i="4"/>
  <c r="L39" i="4"/>
  <c r="K39" i="4"/>
  <c r="J39" i="4"/>
  <c r="I39" i="4"/>
  <c r="H39" i="4"/>
  <c r="G39" i="4"/>
  <c r="F39" i="4"/>
  <c r="E39" i="4"/>
  <c r="D39" i="4"/>
  <c r="C39" i="4"/>
  <c r="N38" i="4"/>
  <c r="M38" i="4"/>
  <c r="L38" i="4"/>
  <c r="K38" i="4"/>
  <c r="J38" i="4"/>
  <c r="I38" i="4"/>
  <c r="H38" i="4"/>
  <c r="G38" i="4"/>
  <c r="F38" i="4"/>
  <c r="E38" i="4"/>
  <c r="D38" i="4"/>
  <c r="C38" i="4"/>
  <c r="N37" i="4"/>
  <c r="M37" i="4"/>
  <c r="L37" i="4"/>
  <c r="K37" i="4"/>
  <c r="J37" i="4"/>
  <c r="I37" i="4"/>
  <c r="H37" i="4"/>
  <c r="G37" i="4"/>
  <c r="F37" i="4"/>
  <c r="E37" i="4"/>
  <c r="D37" i="4"/>
  <c r="C37" i="4"/>
  <c r="N36" i="4"/>
  <c r="M36" i="4"/>
  <c r="M42" i="4" s="1"/>
  <c r="L36" i="4"/>
  <c r="L42" i="4" s="1"/>
  <c r="K36" i="4"/>
  <c r="J36" i="4"/>
  <c r="J42" i="4" s="1"/>
  <c r="I36" i="4"/>
  <c r="I42" i="4" s="1"/>
  <c r="H36" i="4"/>
  <c r="G36" i="4"/>
  <c r="G42" i="4" s="1"/>
  <c r="F36" i="4"/>
  <c r="F42" i="4" s="1"/>
  <c r="E36" i="4"/>
  <c r="E42" i="4" s="1"/>
  <c r="D36" i="4"/>
  <c r="D42" i="4" s="1"/>
  <c r="C36" i="4"/>
  <c r="F31" i="4"/>
  <c r="F29" i="4"/>
  <c r="F36" i="9" s="1"/>
  <c r="F28" i="4"/>
  <c r="F35" i="9" s="1"/>
  <c r="F26" i="4"/>
  <c r="F33" i="9" s="1"/>
  <c r="E23" i="4"/>
  <c r="E24" i="4"/>
  <c r="E25" i="4" s="1"/>
  <c r="E32" i="9" s="1"/>
  <c r="F11" i="4"/>
  <c r="E11" i="4"/>
  <c r="D11" i="4"/>
  <c r="C9" i="4"/>
  <c r="E9" i="4" s="1"/>
  <c r="G7" i="4"/>
  <c r="F6" i="3"/>
  <c r="I6" i="3" s="1"/>
  <c r="F47" i="3"/>
  <c r="I47" i="3" s="1"/>
  <c r="E47" i="3"/>
  <c r="D47" i="3"/>
  <c r="F42" i="3"/>
  <c r="D8" i="4" s="1"/>
  <c r="E42" i="3"/>
  <c r="E43" i="3" s="1"/>
  <c r="D42" i="3"/>
  <c r="D43" i="3" s="1"/>
  <c r="D44" i="3" s="1"/>
  <c r="F39" i="3"/>
  <c r="I39" i="3" s="1"/>
  <c r="E39" i="3"/>
  <c r="D39" i="3"/>
  <c r="F34" i="3"/>
  <c r="E34" i="3"/>
  <c r="D34" i="3"/>
  <c r="C18" i="9" s="1"/>
  <c r="F28" i="3"/>
  <c r="I28" i="3" s="1"/>
  <c r="F26" i="3"/>
  <c r="D6" i="5" s="1"/>
  <c r="F25" i="3"/>
  <c r="E25" i="3"/>
  <c r="D25" i="3"/>
  <c r="I18" i="3"/>
  <c r="F8" i="3"/>
  <c r="I8" i="3" s="1"/>
  <c r="E8" i="3"/>
  <c r="D8" i="3"/>
  <c r="E6" i="3"/>
  <c r="D6" i="3"/>
  <c r="D28" i="6"/>
  <c r="E30" i="9"/>
  <c r="E31" i="9"/>
  <c r="Q32" i="5"/>
  <c r="D26" i="3"/>
  <c r="D48" i="3"/>
  <c r="D49" i="3"/>
  <c r="D28" i="3"/>
  <c r="E14" i="9"/>
  <c r="E76" i="2"/>
  <c r="Q48" i="5"/>
  <c r="Q50" i="5"/>
  <c r="Q52" i="5"/>
  <c r="I15" i="5"/>
  <c r="K15" i="5" s="1"/>
  <c r="C14" i="6"/>
  <c r="G14" i="6" s="1"/>
  <c r="I13" i="5"/>
  <c r="K13" i="5" s="1"/>
  <c r="I17" i="5"/>
  <c r="K17" i="5" s="1"/>
  <c r="D12" i="4"/>
  <c r="I14" i="5"/>
  <c r="K14" i="5" s="1"/>
  <c r="I12" i="5"/>
  <c r="K12" i="5" s="1"/>
  <c r="D24" i="6"/>
  <c r="E18" i="5"/>
  <c r="G13" i="9" s="1"/>
  <c r="I26" i="5"/>
  <c r="F8" i="4"/>
  <c r="F43" i="3"/>
  <c r="I43" i="3" s="1"/>
  <c r="I42" i="3"/>
  <c r="E17" i="5"/>
  <c r="K42" i="4"/>
  <c r="H42" i="4"/>
  <c r="C17" i="5"/>
  <c r="E8" i="4"/>
  <c r="N42" i="4"/>
  <c r="G151" i="13" l="1"/>
  <c r="F151" i="13"/>
  <c r="E163" i="13" s="1"/>
  <c r="E159" i="13"/>
  <c r="G161" i="13"/>
  <c r="E158" i="13"/>
  <c r="D158" i="13"/>
  <c r="I153" i="13"/>
  <c r="G160" i="13" s="1"/>
  <c r="E153" i="13"/>
  <c r="G162" i="13"/>
  <c r="C158" i="13"/>
  <c r="F158" i="13"/>
  <c r="B158" i="13"/>
  <c r="G158" i="13" s="1"/>
  <c r="C159" i="13"/>
  <c r="G149" i="13"/>
  <c r="F149" i="13"/>
  <c r="C163" i="13" s="1"/>
  <c r="G152" i="13"/>
  <c r="F159" i="13"/>
  <c r="F152" i="13"/>
  <c r="F163" i="13" s="1"/>
  <c r="G150" i="13"/>
  <c r="F150" i="13"/>
  <c r="D163" i="13" s="1"/>
  <c r="D159" i="13"/>
  <c r="G148" i="13"/>
  <c r="B159" i="13"/>
  <c r="G159" i="13" s="1"/>
  <c r="F148" i="13"/>
  <c r="B163" i="13" s="1"/>
  <c r="J153" i="13"/>
  <c r="Q51" i="5"/>
  <c r="C32" i="9"/>
  <c r="C36" i="9"/>
  <c r="F76" i="2"/>
  <c r="F25" i="4"/>
  <c r="F32" i="9" s="1"/>
  <c r="E31" i="4"/>
  <c r="F75" i="3"/>
  <c r="E56" i="8"/>
  <c r="E74" i="5"/>
  <c r="C45" i="5"/>
  <c r="C46" i="5" s="1"/>
  <c r="D74" i="5"/>
  <c r="E32" i="5"/>
  <c r="E26" i="4"/>
  <c r="O40" i="4"/>
  <c r="O36" i="4"/>
  <c r="C42" i="4"/>
  <c r="Q47" i="5"/>
  <c r="C9" i="6"/>
  <c r="B37" i="5"/>
  <c r="B38" i="5" s="1"/>
  <c r="P63" i="5"/>
  <c r="D42" i="5"/>
  <c r="E72" i="5"/>
  <c r="D72" i="5"/>
  <c r="B41" i="5"/>
  <c r="F41" i="5"/>
  <c r="F42" i="5" s="1"/>
  <c r="I36" i="3"/>
  <c r="P61" i="5"/>
  <c r="D37" i="5"/>
  <c r="D38" i="5" s="1"/>
  <c r="E35" i="8"/>
  <c r="F34" i="8"/>
  <c r="F42" i="8" s="1"/>
  <c r="D4" i="5"/>
  <c r="C77" i="8" s="1"/>
  <c r="I17" i="2"/>
  <c r="J17" i="2"/>
  <c r="F79" i="3"/>
  <c r="I79" i="3" s="1"/>
  <c r="I5" i="2"/>
  <c r="Q34" i="5"/>
  <c r="C6" i="6"/>
  <c r="F6" i="6" s="1"/>
  <c r="E18" i="4"/>
  <c r="F12" i="4"/>
  <c r="C29" i="1"/>
  <c r="I24" i="3"/>
  <c r="F48" i="3"/>
  <c r="I48" i="3" s="1"/>
  <c r="O37" i="4"/>
  <c r="O38" i="4"/>
  <c r="O39" i="4"/>
  <c r="O41" i="4"/>
  <c r="F17" i="5"/>
  <c r="F49" i="3"/>
  <c r="I49" i="3" s="1"/>
  <c r="O43" i="5"/>
  <c r="C35" i="2"/>
  <c r="D69" i="3"/>
  <c r="D64" i="3"/>
  <c r="D57" i="3"/>
  <c r="D16" i="2"/>
  <c r="D59" i="3" s="1"/>
  <c r="E64" i="3"/>
  <c r="E57" i="3"/>
  <c r="E69" i="3"/>
  <c r="F64" i="3"/>
  <c r="F57" i="3"/>
  <c r="F69" i="3"/>
  <c r="E35" i="2"/>
  <c r="H42" i="3"/>
  <c r="H24" i="3"/>
  <c r="F25" i="9"/>
  <c r="I22" i="5"/>
  <c r="G11" i="6"/>
  <c r="E18" i="9"/>
  <c r="C13" i="6"/>
  <c r="G13" i="6" s="1"/>
  <c r="D22" i="6"/>
  <c r="F37" i="3"/>
  <c r="C11" i="5"/>
  <c r="E11" i="5"/>
  <c r="F11" i="5" s="1"/>
  <c r="E20" i="5"/>
  <c r="G18" i="9" s="1"/>
  <c r="D19" i="6"/>
  <c r="C5" i="6"/>
  <c r="F5" i="6" s="1"/>
  <c r="G6" i="6"/>
  <c r="F22" i="6"/>
  <c r="H34" i="3"/>
  <c r="H39" i="3"/>
  <c r="I11" i="5"/>
  <c r="K11" i="5" s="1"/>
  <c r="D14" i="9"/>
  <c r="E56" i="3"/>
  <c r="C75" i="8"/>
  <c r="D46" i="3"/>
  <c r="H25" i="3"/>
  <c r="C25" i="9"/>
  <c r="F56" i="3"/>
  <c r="H6" i="3"/>
  <c r="E62" i="3"/>
  <c r="C35" i="8"/>
  <c r="C37" i="8" s="1"/>
  <c r="C38" i="8" s="1"/>
  <c r="F14" i="6"/>
  <c r="H23" i="3"/>
  <c r="F19" i="6"/>
  <c r="F62" i="3"/>
  <c r="E46" i="3"/>
  <c r="H43" i="3"/>
  <c r="E44" i="3"/>
  <c r="F44" i="3"/>
  <c r="C23" i="9" s="1"/>
  <c r="H47" i="3"/>
  <c r="H18" i="3"/>
  <c r="F46" i="3"/>
  <c r="I46" i="3" s="1"/>
  <c r="G14" i="9"/>
  <c r="I25" i="3"/>
  <c r="M30" i="12"/>
  <c r="N29" i="12"/>
  <c r="F29" i="11"/>
  <c r="H26" i="11"/>
  <c r="C119" i="11"/>
  <c r="C29" i="11"/>
  <c r="G29" i="11"/>
  <c r="H28" i="11"/>
  <c r="K29" i="11"/>
  <c r="E19" i="9"/>
  <c r="C21" i="5"/>
  <c r="I37" i="3"/>
  <c r="I10" i="3"/>
  <c r="F11" i="3"/>
  <c r="H11" i="3" s="1"/>
  <c r="F84" i="3"/>
  <c r="H84" i="3" s="1"/>
  <c r="I84" i="3" s="1"/>
  <c r="H35" i="3"/>
  <c r="H36" i="3"/>
  <c r="H10" i="3"/>
  <c r="F87" i="3"/>
  <c r="H87" i="3" s="1"/>
  <c r="I87" i="3" s="1"/>
  <c r="I26" i="3"/>
  <c r="C6" i="5"/>
  <c r="D37" i="3"/>
  <c r="C19" i="9" s="1"/>
  <c r="H11" i="4"/>
  <c r="E12" i="4"/>
  <c r="E13" i="4" s="1"/>
  <c r="E14" i="4" s="1"/>
  <c r="E15" i="4" s="1"/>
  <c r="E16" i="2"/>
  <c r="E59" i="3" s="1"/>
  <c r="D5" i="5"/>
  <c r="F41" i="8"/>
  <c r="C43" i="4"/>
  <c r="O42" i="4"/>
  <c r="C12" i="5"/>
  <c r="F12" i="5" s="1"/>
  <c r="H7" i="3"/>
  <c r="I7" i="3"/>
  <c r="D18" i="9"/>
  <c r="E37" i="3"/>
  <c r="D35" i="2"/>
  <c r="H8" i="3"/>
  <c r="E42" i="8"/>
  <c r="E41" i="8"/>
  <c r="D35" i="8"/>
  <c r="D42" i="8"/>
  <c r="D41" i="8"/>
  <c r="D36" i="8" s="1"/>
  <c r="G11" i="4"/>
  <c r="E48" i="3"/>
  <c r="H48" i="3" s="1"/>
  <c r="E26" i="3"/>
  <c r="H26" i="3" s="1"/>
  <c r="G17" i="2"/>
  <c r="E28" i="3"/>
  <c r="H28" i="3" s="1"/>
  <c r="H17" i="2"/>
  <c r="C20" i="5"/>
  <c r="B27" i="5" s="1"/>
  <c r="I35" i="3"/>
  <c r="I16" i="5"/>
  <c r="K16" i="5" s="1"/>
  <c r="F9" i="4"/>
  <c r="F18" i="4" s="1"/>
  <c r="F27" i="4"/>
  <c r="F34" i="9" s="1"/>
  <c r="F16" i="2"/>
  <c r="F68" i="3" s="1"/>
  <c r="C59" i="8"/>
  <c r="C18" i="5"/>
  <c r="C5" i="5"/>
  <c r="C8" i="4"/>
  <c r="C18" i="4" s="1"/>
  <c r="I34" i="3"/>
  <c r="D9" i="4"/>
  <c r="I18" i="5"/>
  <c r="K18" i="5" s="1"/>
  <c r="F30" i="4"/>
  <c r="F37" i="9" s="1"/>
  <c r="C34" i="9"/>
  <c r="C37" i="9"/>
  <c r="C105" i="11"/>
  <c r="C96" i="11"/>
  <c r="E96" i="11" s="1"/>
  <c r="C92" i="11"/>
  <c r="C90" i="11"/>
  <c r="J25" i="11"/>
  <c r="L8" i="11"/>
  <c r="L25" i="11" s="1"/>
  <c r="L12" i="11"/>
  <c r="L26" i="11" s="1"/>
  <c r="J26" i="11"/>
  <c r="J27" i="11"/>
  <c r="L14" i="11"/>
  <c r="L27" i="11" s="1"/>
  <c r="C91" i="11"/>
  <c r="L18" i="11"/>
  <c r="L28" i="11" s="1"/>
  <c r="J28" i="11"/>
  <c r="H25" i="11"/>
  <c r="H27" i="11"/>
  <c r="G153" i="13" l="1"/>
  <c r="F153" i="13"/>
  <c r="G163" i="13" s="1"/>
  <c r="E27" i="4"/>
  <c r="E33" i="9"/>
  <c r="F71" i="3"/>
  <c r="I71" i="3" s="1"/>
  <c r="E70" i="5"/>
  <c r="D70" i="5"/>
  <c r="C41" i="5"/>
  <c r="C42" i="5"/>
  <c r="E33" i="5"/>
  <c r="I75" i="3"/>
  <c r="E80" i="5"/>
  <c r="D80" i="5"/>
  <c r="F27" i="6"/>
  <c r="E81" i="5"/>
  <c r="D81" i="5"/>
  <c r="D27" i="6"/>
  <c r="F9" i="6"/>
  <c r="G9" i="6"/>
  <c r="F13" i="6"/>
  <c r="G34" i="8"/>
  <c r="F35" i="8"/>
  <c r="F59" i="3"/>
  <c r="H59" i="3" s="1"/>
  <c r="J16" i="2"/>
  <c r="I16" i="2"/>
  <c r="G5" i="6"/>
  <c r="C39" i="8"/>
  <c r="C43" i="8" s="1"/>
  <c r="C46" i="8" s="1"/>
  <c r="E21" i="5"/>
  <c r="G19" i="9" s="1"/>
  <c r="H49" i="3"/>
  <c r="E68" i="3"/>
  <c r="H68" i="3" s="1"/>
  <c r="D68" i="3"/>
  <c r="I57" i="3"/>
  <c r="H57" i="3"/>
  <c r="I64" i="3"/>
  <c r="H64" i="3"/>
  <c r="I69" i="3"/>
  <c r="H69" i="3"/>
  <c r="F21" i="5"/>
  <c r="I25" i="5"/>
  <c r="C10" i="6"/>
  <c r="H44" i="3"/>
  <c r="E22" i="5"/>
  <c r="I56" i="3"/>
  <c r="H56" i="3"/>
  <c r="I62" i="3"/>
  <c r="H62" i="3"/>
  <c r="D26" i="6"/>
  <c r="F26" i="6"/>
  <c r="I44" i="3"/>
  <c r="C22" i="5"/>
  <c r="D23" i="9" s="1"/>
  <c r="I27" i="5"/>
  <c r="H46" i="3"/>
  <c r="M31" i="12"/>
  <c r="N30" i="12"/>
  <c r="C14" i="5"/>
  <c r="E14" i="5"/>
  <c r="D25" i="6"/>
  <c r="G10" i="6"/>
  <c r="F10" i="6"/>
  <c r="F25" i="6"/>
  <c r="I11" i="3"/>
  <c r="F20" i="5"/>
  <c r="F18" i="5"/>
  <c r="C44" i="4"/>
  <c r="D43" i="4"/>
  <c r="E36" i="8"/>
  <c r="D40" i="8"/>
  <c r="D18" i="4"/>
  <c r="G18" i="4" s="1"/>
  <c r="D13" i="4"/>
  <c r="D14" i="4" s="1"/>
  <c r="D15" i="4" s="1"/>
  <c r="G9" i="4"/>
  <c r="H9" i="4"/>
  <c r="D17" i="3"/>
  <c r="D19" i="3"/>
  <c r="D27" i="3"/>
  <c r="D15" i="3"/>
  <c r="D29" i="3"/>
  <c r="D9" i="3"/>
  <c r="D20" i="3"/>
  <c r="D14" i="3"/>
  <c r="C17" i="9" s="1"/>
  <c r="D16" i="3"/>
  <c r="E30" i="2"/>
  <c r="E31" i="2" s="1"/>
  <c r="F20" i="3"/>
  <c r="E41" i="7"/>
  <c r="H16" i="2"/>
  <c r="E37" i="7"/>
  <c r="F15" i="3"/>
  <c r="F14" i="3"/>
  <c r="F36" i="7"/>
  <c r="E28" i="7"/>
  <c r="C17" i="8"/>
  <c r="F27" i="3"/>
  <c r="F67" i="3" s="1"/>
  <c r="E42" i="7"/>
  <c r="E36" i="7"/>
  <c r="F17" i="3"/>
  <c r="F19" i="3"/>
  <c r="F9" i="3"/>
  <c r="F29" i="3"/>
  <c r="E38" i="7"/>
  <c r="F16" i="3"/>
  <c r="E39" i="7"/>
  <c r="D37" i="8"/>
  <c r="E17" i="3"/>
  <c r="E27" i="3"/>
  <c r="D30" i="2"/>
  <c r="D31" i="2" s="1"/>
  <c r="E16" i="3"/>
  <c r="E15" i="3"/>
  <c r="E19" i="3"/>
  <c r="E20" i="3"/>
  <c r="E14" i="3"/>
  <c r="D17" i="9" s="1"/>
  <c r="G16" i="2"/>
  <c r="E29" i="3"/>
  <c r="E9" i="3"/>
  <c r="G8" i="4"/>
  <c r="C12" i="4"/>
  <c r="H8" i="4"/>
  <c r="H37" i="3"/>
  <c r="D19" i="9"/>
  <c r="E19" i="4"/>
  <c r="E17" i="4"/>
  <c r="E16" i="4"/>
  <c r="F13" i="4"/>
  <c r="F14" i="4" s="1"/>
  <c r="F15" i="4" s="1"/>
  <c r="E91" i="11"/>
  <c r="C94" i="11"/>
  <c r="E94" i="11" s="1"/>
  <c r="C93" i="11"/>
  <c r="E93" i="11" s="1"/>
  <c r="E90" i="11"/>
  <c r="H29" i="11"/>
  <c r="C97" i="11"/>
  <c r="E97" i="11" s="1"/>
  <c r="C95" i="11"/>
  <c r="E127" i="11"/>
  <c r="E92" i="11"/>
  <c r="L29" i="11"/>
  <c r="E126" i="11" s="1"/>
  <c r="B134" i="11"/>
  <c r="F134" i="11" s="1"/>
  <c r="B135" i="11" s="1"/>
  <c r="F72" i="3" l="1"/>
  <c r="I72" i="3" s="1"/>
  <c r="P62" i="5"/>
  <c r="C37" i="5"/>
  <c r="C38" i="5" s="1"/>
  <c r="E71" i="5"/>
  <c r="B32" i="5"/>
  <c r="D71" i="5"/>
  <c r="B33" i="5"/>
  <c r="E37" i="5"/>
  <c r="E38" i="5" s="1"/>
  <c r="F37" i="5"/>
  <c r="F38" i="5" s="1"/>
  <c r="E28" i="4"/>
  <c r="E34" i="9"/>
  <c r="F61" i="3"/>
  <c r="E79" i="5"/>
  <c r="P73" i="5"/>
  <c r="P74" i="5" s="1"/>
  <c r="G5" i="5"/>
  <c r="D79" i="5"/>
  <c r="G6" i="5"/>
  <c r="G4" i="5"/>
  <c r="H6" i="5"/>
  <c r="H4" i="5"/>
  <c r="H34" i="8"/>
  <c r="G35" i="8"/>
  <c r="G42" i="8"/>
  <c r="G41" i="8"/>
  <c r="F22" i="5"/>
  <c r="F23" i="9"/>
  <c r="F14" i="5"/>
  <c r="I68" i="3"/>
  <c r="B26" i="5"/>
  <c r="C16" i="9"/>
  <c r="D61" i="3"/>
  <c r="C15" i="9"/>
  <c r="D67" i="3"/>
  <c r="D16" i="9"/>
  <c r="E61" i="3"/>
  <c r="I61" i="3"/>
  <c r="D15" i="9"/>
  <c r="E67" i="3"/>
  <c r="H67" i="3" s="1"/>
  <c r="I67" i="3"/>
  <c r="M32" i="12"/>
  <c r="N31" i="12"/>
  <c r="H12" i="4"/>
  <c r="C13" i="4"/>
  <c r="G12" i="4"/>
  <c r="I17" i="3"/>
  <c r="H17" i="3"/>
  <c r="C18" i="8"/>
  <c r="C19" i="8" s="1"/>
  <c r="H15" i="3"/>
  <c r="F85" i="3"/>
  <c r="I15" i="3"/>
  <c r="I23" i="5"/>
  <c r="D38" i="8"/>
  <c r="D39" i="8" s="1"/>
  <c r="D43" i="8" s="1"/>
  <c r="I29" i="3"/>
  <c r="H29" i="3"/>
  <c r="F36" i="8"/>
  <c r="E40" i="8"/>
  <c r="E37" i="8"/>
  <c r="D19" i="4"/>
  <c r="D16" i="4"/>
  <c r="D17" i="4"/>
  <c r="C13" i="5"/>
  <c r="E13" i="5"/>
  <c r="I9" i="3"/>
  <c r="H9" i="3"/>
  <c r="F19" i="4"/>
  <c r="F16" i="4"/>
  <c r="F17" i="4"/>
  <c r="I16" i="3"/>
  <c r="H16" i="3"/>
  <c r="H19" i="3"/>
  <c r="I19" i="3"/>
  <c r="E5" i="5"/>
  <c r="E4" i="5"/>
  <c r="E15" i="9"/>
  <c r="F86" i="3"/>
  <c r="H86" i="3" s="1"/>
  <c r="I86" i="3" s="1"/>
  <c r="I24" i="5"/>
  <c r="C19" i="5"/>
  <c r="C7" i="6"/>
  <c r="H27" i="3"/>
  <c r="E19" i="5"/>
  <c r="I32" i="3"/>
  <c r="C30" i="1"/>
  <c r="I27" i="3"/>
  <c r="C8" i="6"/>
  <c r="E17" i="9"/>
  <c r="C15" i="5"/>
  <c r="E15" i="5"/>
  <c r="I14" i="3"/>
  <c r="D20" i="6"/>
  <c r="H14" i="3"/>
  <c r="F20" i="6"/>
  <c r="H18" i="4"/>
  <c r="E6" i="5"/>
  <c r="I20" i="3"/>
  <c r="C28" i="1"/>
  <c r="D21" i="6"/>
  <c r="F21" i="6"/>
  <c r="F92" i="3"/>
  <c r="C16" i="5"/>
  <c r="H20" i="3"/>
  <c r="C12" i="6"/>
  <c r="E16" i="9"/>
  <c r="E16" i="5"/>
  <c r="I92" i="3"/>
  <c r="D44" i="4"/>
  <c r="E43" i="4"/>
  <c r="E130" i="11"/>
  <c r="B31" i="11"/>
  <c r="E125" i="11"/>
  <c r="E95" i="11"/>
  <c r="E129" i="11"/>
  <c r="E128" i="11"/>
  <c r="H61" i="3" l="1"/>
  <c r="E29" i="4"/>
  <c r="E35" i="9"/>
  <c r="H41" i="8"/>
  <c r="H35" i="8"/>
  <c r="H42" i="8"/>
  <c r="N32" i="12"/>
  <c r="M33" i="12"/>
  <c r="B25" i="5"/>
  <c r="F7" i="6"/>
  <c r="G7" i="6"/>
  <c r="F13" i="5"/>
  <c r="G36" i="8"/>
  <c r="F40" i="8"/>
  <c r="F37" i="8"/>
  <c r="F15" i="5"/>
  <c r="G17" i="9"/>
  <c r="F16" i="5"/>
  <c r="G16" i="9"/>
  <c r="F43" i="4"/>
  <c r="E44" i="4"/>
  <c r="G12" i="6"/>
  <c r="F12" i="6"/>
  <c r="F8" i="6"/>
  <c r="G8" i="6"/>
  <c r="F19" i="5"/>
  <c r="G15" i="9"/>
  <c r="E38" i="8"/>
  <c r="E39" i="8" s="1"/>
  <c r="E43" i="8" s="1"/>
  <c r="C20" i="8"/>
  <c r="C22" i="8" s="1"/>
  <c r="C14" i="4"/>
  <c r="G13" i="4"/>
  <c r="H13" i="4"/>
  <c r="C30" i="6"/>
  <c r="C32" i="6"/>
  <c r="H85" i="3"/>
  <c r="I85" i="3" s="1"/>
  <c r="F90" i="3"/>
  <c r="E30" i="4" l="1"/>
  <c r="E37" i="9" s="1"/>
  <c r="E36" i="9"/>
  <c r="E78" i="5"/>
  <c r="D78" i="5"/>
  <c r="I77" i="3"/>
  <c r="I59" i="3"/>
  <c r="F60" i="3"/>
  <c r="D60" i="3"/>
  <c r="E60" i="3"/>
  <c r="M34" i="12"/>
  <c r="N33" i="12"/>
  <c r="F7" i="9"/>
  <c r="F45" i="8"/>
  <c r="D45" i="8"/>
  <c r="D46" i="8" s="1"/>
  <c r="H45" i="8"/>
  <c r="G45" i="8"/>
  <c r="E45" i="8"/>
  <c r="E46" i="8" s="1"/>
  <c r="C15" i="4"/>
  <c r="G14" i="4"/>
  <c r="H14" i="4"/>
  <c r="F38" i="8"/>
  <c r="F39" i="8" s="1"/>
  <c r="F43" i="8" s="1"/>
  <c r="F46" i="8" s="1"/>
  <c r="B7" i="9"/>
  <c r="F4" i="5"/>
  <c r="B28" i="5" s="1"/>
  <c r="B6" i="9"/>
  <c r="F6" i="5"/>
  <c r="D5" i="9" s="1"/>
  <c r="B5" i="9"/>
  <c r="F5" i="5"/>
  <c r="C26" i="1"/>
  <c r="F91" i="3"/>
  <c r="C27" i="1" s="1"/>
  <c r="H90" i="3"/>
  <c r="I90" i="3"/>
  <c r="G43" i="4"/>
  <c r="F44" i="4"/>
  <c r="H36" i="8"/>
  <c r="G40" i="8"/>
  <c r="G37" i="8"/>
  <c r="H60" i="3" l="1"/>
  <c r="I60" i="3"/>
  <c r="M35" i="12"/>
  <c r="N34" i="12"/>
  <c r="G38" i="8"/>
  <c r="G39" i="8"/>
  <c r="G43" i="8" s="1"/>
  <c r="G46" i="8" s="1"/>
  <c r="C16" i="4"/>
  <c r="C17" i="4"/>
  <c r="G15" i="4"/>
  <c r="H15" i="4"/>
  <c r="C19" i="4"/>
  <c r="H43" i="4"/>
  <c r="G44" i="4"/>
  <c r="H40" i="8"/>
  <c r="H37" i="8"/>
  <c r="M36" i="12" l="1"/>
  <c r="N35" i="12"/>
  <c r="G17" i="4"/>
  <c r="H17" i="4"/>
  <c r="H38" i="8"/>
  <c r="H39" i="8" s="1"/>
  <c r="H43" i="8" s="1"/>
  <c r="H16" i="4"/>
  <c r="G16" i="4"/>
  <c r="H44" i="4"/>
  <c r="I43" i="4"/>
  <c r="N36" i="12" l="1"/>
  <c r="M37" i="12"/>
  <c r="C51" i="8"/>
  <c r="C52" i="8" s="1"/>
  <c r="C53" i="8" s="1"/>
  <c r="C57" i="8" s="1"/>
  <c r="H46" i="8"/>
  <c r="C56" i="8" s="1"/>
  <c r="I44" i="4"/>
  <c r="J43" i="4"/>
  <c r="M38" i="12" l="1"/>
  <c r="N37" i="12"/>
  <c r="J44" i="4"/>
  <c r="K43" i="4"/>
  <c r="E85" i="8"/>
  <c r="F84" i="8"/>
  <c r="G83" i="8"/>
  <c r="C83" i="8"/>
  <c r="D82" i="8"/>
  <c r="E81" i="8"/>
  <c r="D85" i="8"/>
  <c r="E84" i="8"/>
  <c r="F83" i="8"/>
  <c r="G82" i="8"/>
  <c r="C82" i="8"/>
  <c r="D81" i="8"/>
  <c r="G85" i="8"/>
  <c r="C85" i="8"/>
  <c r="D84" i="8"/>
  <c r="E83" i="8"/>
  <c r="F82" i="8"/>
  <c r="G81" i="8"/>
  <c r="C81" i="8"/>
  <c r="F85" i="8"/>
  <c r="G84" i="8"/>
  <c r="C84" i="8"/>
  <c r="D83" i="8"/>
  <c r="E82" i="8"/>
  <c r="F81" i="8"/>
  <c r="D87" i="8"/>
  <c r="C87" i="8"/>
  <c r="F87" i="8"/>
  <c r="E86" i="8"/>
  <c r="D86" i="8"/>
  <c r="G86" i="8"/>
  <c r="F86" i="8"/>
  <c r="E87" i="8"/>
  <c r="C86" i="8"/>
  <c r="C65" i="8"/>
  <c r="G87" i="8"/>
  <c r="C67" i="8"/>
  <c r="C58" i="8"/>
  <c r="D66" i="3" l="1"/>
  <c r="F66" i="3"/>
  <c r="E66" i="3"/>
  <c r="F65" i="3"/>
  <c r="M39" i="12"/>
  <c r="N38" i="12"/>
  <c r="F5" i="9"/>
  <c r="C60" i="8"/>
  <c r="L43" i="4"/>
  <c r="K44" i="4"/>
  <c r="I65" i="3" l="1"/>
  <c r="H65" i="3"/>
  <c r="I66" i="3"/>
  <c r="H66" i="3"/>
  <c r="M40" i="12"/>
  <c r="N39" i="12"/>
  <c r="L44" i="4"/>
  <c r="M43" i="4"/>
  <c r="C63" i="8"/>
  <c r="C66" i="8"/>
  <c r="N40" i="12" l="1"/>
  <c r="M41" i="12"/>
  <c r="N43" i="4"/>
  <c r="M44" i="4"/>
  <c r="M42" i="12" l="1"/>
  <c r="N41" i="12"/>
  <c r="O43" i="4"/>
  <c r="N44" i="4"/>
  <c r="M43" i="12" l="1"/>
  <c r="N42" i="12"/>
  <c r="M44" i="12" l="1"/>
  <c r="N43" i="12"/>
  <c r="N44" i="12" l="1"/>
  <c r="M45" i="12"/>
  <c r="M46" i="12" l="1"/>
  <c r="N45" i="12"/>
  <c r="M47" i="12" l="1"/>
  <c r="N47" i="12" s="1"/>
  <c r="N46"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Ludo</author>
  </authors>
  <commentList>
    <comment ref="F26" authorId="0" shapeId="0" xr:uid="{EF24110B-48A4-44ED-890D-AF2B6CE29689}">
      <text>
        <r>
          <rPr>
            <b/>
            <sz val="9"/>
            <color indexed="81"/>
            <rFont val="Tahoma"/>
          </rPr>
          <t>Ludo:</t>
        </r>
        <r>
          <rPr>
            <sz val="9"/>
            <color indexed="81"/>
            <rFont val="Tahoma"/>
          </rPr>
          <t xml:space="preserve">
🔵 Sélectionner parmi :
• € (unités)
• k€ (milliers)
• M€ (millions)
• Mrd€ (milliards)
Tout le classeur s'adapte automatiquement.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Ludo</author>
  </authors>
  <commentList>
    <comment ref="L1" authorId="0" shapeId="0" xr:uid="{3ABEBE68-FF7F-43F5-8EFD-D685CC187D3F}">
      <text>
        <r>
          <rPr>
            <b/>
            <sz val="9"/>
            <color indexed="81"/>
            <rFont val="Tahoma"/>
            <family val="2"/>
          </rPr>
          <t>Ludo:</t>
        </r>
        <r>
          <rPr>
            <sz val="9"/>
            <color indexed="81"/>
            <rFont val="Tahoma"/>
            <family val="2"/>
          </rPr>
          <t xml:space="preserve">
✏️ SAISIR ICI le nom de l'entreprise analysée.
Cette cellule alimente automatiquement :
• Dashboard Interactif (B1)
• Accueil (B3)
• Analyse Approfondie (B1)
Format conseillé : 'Raison Sociale SAS' ou 'Nom SA'</t>
        </r>
      </text>
    </comment>
    <comment ref="D16" authorId="0" shapeId="0" xr:uid="{D7FF2670-075F-4580-984E-DD8A9F69C96D}">
      <text>
        <r>
          <rPr>
            <b/>
            <sz val="9"/>
            <color indexed="81"/>
            <rFont val="Tahoma"/>
            <family val="2"/>
          </rPr>
          <t>Report à nouveau = Total Actif − (CP hors RAN + Dettes)
Inclut Stocks en-cours (C7) et Marchandises (C8).
Remplacer par la valeur liasse fiscale si disponible.</t>
        </r>
      </text>
    </comment>
    <comment ref="D17" authorId="0" shapeId="0" xr:uid="{B7687570-09F9-4A31-8C6B-50E90F622D32}">
      <text>
        <r>
          <rPr>
            <b/>
            <sz val="9"/>
            <color indexed="81"/>
            <rFont val="Tahoma"/>
            <family val="2"/>
          </rPr>
          <t>PCG : RN = Total Produits − Total Charges
= (CA+Prod.stockée+Prod.immob+Subv+Autres prod+Prod.fin+Prod.except)
− (Achats+Var.stocks+Aut.achats+I&amp;T+Personnel+Dot.amort+Dot.prov+Aut.charges+Ch.fin+Ch.except+Particip+IS)
Remplacer par la valeur liasse fiscale si disponible.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Ludo</author>
  </authors>
  <commentList>
    <comment ref="D56" authorId="0" shapeId="0" xr:uid="{F6E61C4D-A0DE-41F9-99D6-2DF3CEDCB459}">
      <text>
        <r>
          <rPr>
            <b/>
            <sz val="9"/>
            <color indexed="81"/>
            <rFont val="Tahoma"/>
            <family val="2"/>
          </rPr>
          <t>Ludo:</t>
        </r>
        <r>
          <rPr>
            <sz val="9"/>
            <color indexed="81"/>
            <rFont val="Tahoma"/>
            <family val="2"/>
          </rPr>
          <t xml:space="preserve">
Pas de N-1 (2022) disponible pour calculer la croissance CA</t>
        </r>
      </text>
    </comment>
    <comment ref="F61" authorId="0" shapeId="0" xr:uid="{22666A43-2AF5-4AA8-8128-780EB07BF4E4}">
      <text>
        <r>
          <rPr>
            <b/>
            <sz val="9"/>
            <color indexed="81"/>
            <rFont val="Tahoma"/>
          </rPr>
          <t>Ludo:</t>
        </r>
        <r>
          <rPr>
            <sz val="9"/>
            <color indexed="81"/>
            <rFont val="Tahoma"/>
          </rPr>
          <t xml:space="preserve">
Réutilise le Z-Score déjà calculé en ligne 20. Les 5 composantes X1-X5 sont identiques.</t>
        </r>
      </text>
    </comment>
    <comment ref="D62" authorId="0" shapeId="0" xr:uid="{2EDF7E8F-7213-4FD1-8804-7865915C5A37}">
      <text>
        <r>
          <rPr>
            <b/>
            <sz val="9"/>
            <color indexed="81"/>
            <rFont val="Tahoma"/>
            <family val="2"/>
          </rPr>
          <t>Ludo:</t>
        </r>
        <r>
          <rPr>
            <sz val="9"/>
            <color indexed="81"/>
            <rFont val="Tahoma"/>
            <family val="2"/>
          </rPr>
          <t xml:space="preserve">
Piotroski nécessite N-1 (2022) non disponible pour 2023</t>
        </r>
      </text>
    </comment>
    <comment ref="D65" authorId="0" shapeId="0" xr:uid="{60804EE2-CAC8-46ED-9BB7-F4E6A3CC678F}">
      <text>
        <r>
          <rPr>
            <b/>
            <sz val="9"/>
            <color indexed="81"/>
            <rFont val="Tahoma"/>
            <family val="2"/>
          </rPr>
          <t>Ludo:</t>
        </r>
        <r>
          <rPr>
            <sz val="9"/>
            <color indexed="81"/>
            <rFont val="Tahoma"/>
            <family val="2"/>
          </rPr>
          <t xml:space="preserve">
FCF Yield nécessite l'EV du DCF, non applicable rétroactivement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Ludo</author>
  </authors>
  <commentList>
    <comment ref="C31" authorId="0" shapeId="0" xr:uid="{D4EAE40D-2FC3-4F48-8EED-6E63DEB2DF92}">
      <text>
        <r>
          <rPr>
            <b/>
            <sz val="9"/>
            <color indexed="81"/>
            <rFont val="Tahoma"/>
            <family val="2"/>
          </rPr>
          <t>Ludo:</t>
        </r>
        <r>
          <rPr>
            <sz val="9"/>
            <color indexed="81"/>
            <rFont val="Tahoma"/>
            <family val="2"/>
          </rPr>
          <t xml:space="preserve">
⚠️ Ce montant (1 100k) ne correspond pas au Résultat Net 2025 des Données Brutes (1 580k). À réconcilier.</t>
        </r>
      </text>
    </comment>
    <comment ref="E31" authorId="0" shapeId="0" xr:uid="{92D23E29-04DF-4436-B1EF-A433C6177FA3}">
      <text>
        <r>
          <rPr>
            <b/>
            <sz val="9"/>
            <color indexed="81"/>
            <rFont val="Tahoma"/>
            <family val="2"/>
          </rPr>
          <t>Ludo:</t>
        </r>
        <r>
          <rPr>
            <sz val="9"/>
            <color indexed="81"/>
            <rFont val="Tahoma"/>
            <family val="2"/>
          </rPr>
          <t xml:space="preserve">
⚠️ ALERTE : Le cumulé des écarts (-220k) ne correspond pas au Réel hardcodé (1 100k) ni au RN des Données Brutes (1 580k). Les écarts C24:C30 doivent être recalibrés pour boucler avec le RN réel.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Ludo</author>
  </authors>
  <commentList>
    <comment ref="D23" authorId="0" shapeId="0" xr:uid="{86A7DF90-9C9F-43AB-B7A2-39C317134E9D}">
      <text>
        <r>
          <rPr>
            <b/>
            <sz val="9"/>
            <color indexed="81"/>
            <rFont val="Tahoma"/>
            <charset val="1"/>
          </rPr>
          <t>Ludo:</t>
        </r>
        <r>
          <rPr>
            <sz val="9"/>
            <color indexed="81"/>
            <rFont val="Tahoma"/>
            <charset val="1"/>
          </rPr>
          <t xml:space="preserve">
SI Valeur = Stock initial bilan (Données Brutes) − Stock initial détaillé
Permet de réconcilier le détail avec le bilan.</t>
        </r>
      </text>
    </comment>
    <comment ref="J23" authorId="0" shapeId="0" xr:uid="{B91BC5D6-93B5-4F0A-B1CC-5AC97F92B606}">
      <text>
        <r>
          <rPr>
            <b/>
            <sz val="9"/>
            <color indexed="81"/>
            <rFont val="Tahoma"/>
            <charset val="1"/>
          </rPr>
          <t>Ludo:</t>
        </r>
        <r>
          <rPr>
            <sz val="9"/>
            <color indexed="81"/>
            <rFont val="Tahoma"/>
            <charset val="1"/>
          </rPr>
          <t xml:space="preserve">
SF Valeur = Stock final bilan (Données Brutes 2025) − Stock final détaillé
Permet de réconcilier le détail avec le bilan.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Ludo</author>
  </authors>
  <commentList>
    <comment ref="C31" authorId="0" shapeId="0" xr:uid="{043B140B-52F5-41AA-A30D-9913A7DF8E19}">
      <text>
        <r>
          <rPr>
            <b/>
            <sz val="9"/>
            <color indexed="81"/>
            <rFont val="Tahoma"/>
            <family val="2"/>
          </rPr>
          <t>Ludo:</t>
        </r>
        <r>
          <rPr>
            <sz val="9"/>
            <color indexed="81"/>
            <rFont val="Tahoma"/>
            <family val="2"/>
          </rPr>
          <t xml:space="preserve">
BFR/CA dynamique — était hardcodé à 1,5%. Valeur 2025 = ~13,9%.</t>
        </r>
      </text>
    </comment>
    <comment ref="D36" authorId="0" shapeId="0" xr:uid="{78AC5255-F470-499D-A82B-19F3A59FCFCB}">
      <text>
        <r>
          <rPr>
            <b/>
            <sz val="9"/>
            <color indexed="81"/>
            <rFont val="Tahoma"/>
            <family val="2"/>
          </rPr>
          <t>Ludo:</t>
        </r>
        <r>
          <rPr>
            <sz val="9"/>
            <color indexed="81"/>
            <rFont val="Tahoma"/>
            <family val="2"/>
          </rPr>
          <t xml:space="preserve">
Amort = base + CAPEX annuel / 10 ans (durée de vie actifs industriels acier)</t>
        </r>
      </text>
    </comment>
    <comment ref="D42" authorId="0" shapeId="0" xr:uid="{35E4260A-C97F-4CE5-BCF5-1659A21A6E02}">
      <text>
        <r>
          <rPr>
            <b/>
            <sz val="9"/>
            <color indexed="81"/>
            <rFont val="Tahoma"/>
            <family val="2"/>
          </rPr>
          <t>Ludo:</t>
        </r>
        <r>
          <rPr>
            <sz val="9"/>
            <color indexed="81"/>
            <rFont val="Tahoma"/>
            <family val="2"/>
          </rPr>
          <t xml:space="preserve">
Variation BFR = delta CA × ratio BFR/CA (variation marginale uniquement)</t>
        </r>
      </text>
    </comment>
    <comment ref="C65" authorId="0" shapeId="0" xr:uid="{4D7EBECD-C883-4E79-952B-4D0F19F91910}">
      <text>
        <r>
          <rPr>
            <b/>
            <sz val="9"/>
            <color indexed="81"/>
            <rFont val="Tahoma"/>
            <family val="2"/>
          </rPr>
          <t>Ludo:</t>
        </r>
        <r>
          <rPr>
            <sz val="9"/>
            <color indexed="81"/>
            <rFont val="Tahoma"/>
            <family val="2"/>
          </rPr>
          <t xml:space="preserve">
Scénario bas : VT -20%, déduction dettes nettes</t>
        </r>
      </text>
    </comment>
    <comment ref="C67" authorId="0" shapeId="0" xr:uid="{6A19BDC1-68D6-4826-919B-C3747A089DB7}">
      <text>
        <r>
          <rPr>
            <b/>
            <sz val="9"/>
            <color indexed="81"/>
            <rFont val="Tahoma"/>
            <family val="2"/>
          </rPr>
          <t>Ludo:</t>
        </r>
        <r>
          <rPr>
            <sz val="9"/>
            <color indexed="81"/>
            <rFont val="Tahoma"/>
            <family val="2"/>
          </rPr>
          <t xml:space="preserve">
Scénario haut : VT +20%, déduction dettes nettes</t>
        </r>
      </text>
    </comment>
    <comment ref="C71" authorId="0" shapeId="0" xr:uid="{85309629-D45B-4EA8-852D-2678533A607E}">
      <text>
        <r>
          <rPr>
            <b/>
            <sz val="9"/>
            <color indexed="81"/>
            <rFont val="Tahoma"/>
            <family val="2"/>
          </rPr>
          <t>Ludo:</t>
        </r>
        <r>
          <rPr>
            <sz val="9"/>
            <color indexed="81"/>
            <rFont val="Tahoma"/>
            <family val="2"/>
          </rPr>
          <t xml:space="preserve">
⚠️ Hypothèse hardcodée — Médiane sectorielle acier. Source à documenter (ex: Damodaran, Bloomberg, FactSet). Mettre à jour régulièrement.</t>
        </r>
      </text>
    </comment>
    <comment ref="C72" authorId="0" shapeId="0" xr:uid="{5B70B916-F9BA-48D8-9F0F-67B4134F1EF2}">
      <text>
        <r>
          <rPr>
            <b/>
            <sz val="9"/>
            <color indexed="81"/>
            <rFont val="Tahoma"/>
            <family val="2"/>
          </rPr>
          <t>Ludo:</t>
        </r>
        <r>
          <rPr>
            <sz val="9"/>
            <color indexed="81"/>
            <rFont val="Tahoma"/>
            <family val="2"/>
          </rPr>
          <t xml:space="preserve">
⚠️ Hypothèse hardcodée — EV/CA médian sectoriel acier. Source à documenter.</t>
        </r>
      </text>
    </comment>
    <comment ref="C73" authorId="0" shapeId="0" xr:uid="{DA117226-B9C5-4601-8D7A-9E9AF40172FD}">
      <text>
        <r>
          <rPr>
            <b/>
            <sz val="9"/>
            <color indexed="81"/>
            <rFont val="Tahoma"/>
            <family val="2"/>
          </rPr>
          <t>Ludo:</t>
        </r>
        <r>
          <rPr>
            <sz val="9"/>
            <color indexed="81"/>
            <rFont val="Tahoma"/>
            <family val="2"/>
          </rPr>
          <t xml:space="preserve">
⚠️ Hypothèse hardcodée — P/E médian sectoriel. Source à documenter.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Ludo</author>
  </authors>
  <commentList>
    <comment ref="F23" authorId="0" shapeId="0" xr:uid="{2E1DD2CF-B295-44E1-88E4-CB9F58346CE4}">
      <text>
        <r>
          <rPr>
            <b/>
            <sz val="9"/>
            <color indexed="81"/>
            <rFont val="Tahoma"/>
          </rPr>
          <t>Ludo:</t>
        </r>
        <r>
          <rPr>
            <sz val="9"/>
            <color indexed="81"/>
            <rFont val="Tahoma"/>
          </rPr>
          <t xml:space="preserve">
Seuil dynamique : trésorerie &lt; 1% du CA = Attention. Adaptable quel que soit l'ordre de grandeur (milliers, millions, milliards).</t>
        </r>
      </text>
    </comment>
  </commentList>
</comments>
</file>

<file path=xl/sharedStrings.xml><?xml version="1.0" encoding="utf-8"?>
<sst xmlns="http://schemas.openxmlformats.org/spreadsheetml/2006/main" count="2430" uniqueCount="1819">
  <si>
    <t>Turn #</t>
  </si>
  <si>
    <t>Date</t>
  </si>
  <si>
    <t>User Request</t>
  </si>
  <si>
    <t>Action Taken</t>
  </si>
  <si>
    <t>Details</t>
  </si>
  <si>
    <t>Outcome</t>
  </si>
  <si>
    <t>Analyse complète du fichier pour détecter erreurs, laisser-aller et incohérences dans le simulateur d'analyse d'entreprise</t>
  </si>
  <si>
    <t>Audit intégral de 9 onglets : Données Brutes, Ratios, DCF, Analyse Approfondie, Dashboard, Benchmark, etc.</t>
  </si>
  <si>
    <t>Identifié : (1) Bilan déséquilibré -2,16M€ toutes années, (2) DCF avec Amortissements=Charges personnel=6,9M au lieu de 1,45M via lien Dashboard, (3) EBIT négatif -2,58M faussant toute la valorisation, (4) #NOM? en B43, (5) Sous-totaux flux trésorerie incorrects (copier-coller SUMIF Financement partout), (6) Waterfall ne boucle pas (cumulé E29 cassé), (7) Multiples hardcodés sans formule, (8) Table sensibilité statique</t>
  </si>
  <si>
    <t>Rapport complet remis à l'utilisateur avec 10+ erreurs critiques et recommandations de correction</t>
  </si>
  <si>
    <t>Utilisateur confirme : corriger toutes les erreurs identifiées dans l'audit</t>
  </si>
  <si>
    <t>Corrections appliquées : (1) DCF C36 corrigé E45→amort, (2) B43 #NOM? fixé, (3) Sous-totaux flux nettoyés, (4) Waterfall E29 rétabli + notes alerte, (5) Table sensibilité dynamisée, (6) Fourchette valorisation harmonisée, (7) Notes sur multiples</t>
  </si>
  <si>
    <t>DCF : EV corrigée de 50,8M€ → 15,6M€ — Equity Value 11,5M€. Table sensibilité : 35 formules dynamiques remplacent les hardcodes. Flux tréso : sous-totaux parasites supprimés, seuls F58/F66/F69 conservés. Waterfall : chaînage E29 rétabli, notes d'alerte sur incohérence RN (1100k vs 1580k). Reste à corriger : bilan déséquilibré (2,16M€ — nécessite données manquantes du client).</t>
  </si>
  <si>
    <t>7 corrections appliquées. Bilan non corrigé (données manquantes). Waterfall partiellement corrigé (écarts à recalibrer par l'utilisateur).</t>
  </si>
  <si>
    <t>L'utilisateur souhaite réaliser une simulation complète en étant guidé pas à pas pour alimenter les données</t>
  </si>
  <si>
    <t>Plan de simulation en 6 étapes présenté : (1) Nom entreprise, (2) Données Brutes, (3) Scénarios, (4) WACC, (5) Projections DCF, (6) Multiples. Étape 1 validée (nom conservé). Étape 2 lancée — l'utilisateur veut modifier toutes les données brutes.</t>
  </si>
  <si>
    <t>Cartographie complète des cellules modifiables : K1 (nom), C2:E23 (bilan 3 ans), C35:E53 (CPC 3 ans), C58:E72 (flux 3 ans), C7:F9 Analyse Approf. (scénarios), C7:C13 + C27:C31 + C50 + C62 + C71:C73 DCF (hypothèses). Guide structuré envoyé pour la saisie du bilan (22 postes × 3 années).</t>
  </si>
  <si>
    <t>En attente des données bilan/CPC/flux de l'utilisateur. Étape 2A (Bilan) en cours.</t>
  </si>
  <si>
    <t>L'utilisateur demande comment être sûr que les données financières qu'il va recevoir soient dans le même ordre que son tableau</t>
  </si>
  <si>
    <t>Explication des 3 méthodes : (1) envoyer les données brutes et laisser Claude mapper, (2) tableau de correspondance ligne par ligne, (3) upload fichier. Alerte sur saisie manuelle en cours (C3 possiblement erroné : 1,14M au lieu de 11,4M).</t>
  </si>
  <si>
    <t>L'utilisateur a commencé à modifier C2 (610k) et C3 (1 140 000 — possible erreur de zéro). Recommandation : envoyer la source comptable d'un bloc pour mapping automatique plutôt que saisie cellule par cellule.</t>
  </si>
  <si>
    <t>En attente du choix de méthode de saisie et des données de l'utilisateur.</t>
  </si>
  <si>
    <t>L'utilisateur pense que certaines formules de l'onglet Données Brutes sont buguées (sélection sur C28, l'écart bilan)</t>
  </si>
  <si>
    <t>Audit complet de TOUTES les formules de l'onglet : variations F/G (22+19 postes), totaux actif/passif (C26:E27), contrôle bilan (C28:E28), sous-totaux flux (F58/F66/F69/F73), flux net (E73). Toutes les formules sont correctes.</t>
  </si>
  <si>
    <t>Le problème n'est pas les formules mais les données : écart bilan 2023=3,81M (aggravé par modif C2/C3), 2024=730k, 2025=2,16M. Il manque probablement un poste 'Report à nouveau' côté passif. Proposition : ajouter une ligne CP ou intégrer dans Réserves.</t>
  </si>
  <si>
    <t>Diagnostic livré. En attente décision utilisateur : ajouter 'Report à nouveau' ou intégrer dans Réserves.</t>
  </si>
  <si>
    <t>L'utilisateur demande de se conformer aux normes comptables légales (PCG) en ajoutant le poste Report à nouveau pour équilibrer le bilan</t>
  </si>
  <si>
    <t>Ajout ligne 14 'Report à nouveau' (Capitaux Propres) conformément au PCG. Formule dynamique : =Actif Total − (Autres CP + Dettes). Correction formules écart C29/D29 après décalage. Mise à jour DCF C17 pour inclure E14 dans les CP. Vérification cascade complète sur tous les onglets.</t>
  </si>
  <si>
    <t>Report à nouveau calculé : 2023=3 810k, 2024=730k, 2025=2 160k. Bilan équilibré à 0€ pour les 3 années. DCF : CP passent de 10,23M à 12,39M, WACC ajusté de 6,51% à 6,70%, Equity Value = 10,85M€ (vs 11,48M avant). Toutes les refs inter-onglets vérifiées (Dashboard, Benchmark, Budget OK). Note ajoutée : remplacer par valeur réelle de la liasse fiscale.</t>
  </si>
  <si>
    <t>Bilan équilibré ✅ — PCG respecté. DCF recalculé. Prêt à reprendre la simulation étape 2.</t>
  </si>
  <si>
    <t>L'utilisateur demande un audit complet de conformité PCG sur les calculs, formules et analyses du fichier</t>
  </si>
  <si>
    <t>Audit exhaustif PCG via Python : reconstitution des 8 SIG, vérification croisée CPC↔Bilan, contrôle de chaque ratio. 6 non-conformités identifiées dont 3 critiques.</t>
  </si>
  <si>
    <t>Non-conformités trouvées : (1) EBITDA omet Prod.stockée/immob/subventions (écart 540k), (2) RN CPC≠RN Bilan (2 115k vs 1 580k, écart 535k), (3) Marge Brute=Taux MCV (doublon), (4) SIG intermédiaires manquants (Production, VA, RCAI, R.exceptionnel), (5) Cap.remboursement utilise EBITDA au lieu de CAF, (6) DPO exclut Autres achats du dénominateur.</t>
  </si>
  <si>
    <t>Rapport complet livré. En attente décision utilisateur sur corrections à apporter.</t>
  </si>
  <si>
    <t>L'utilisateur valide les corrections PCG à appliquer</t>
  </si>
  <si>
    <t>5 corrections PCG appliquées : (1) RN bilan=RN CPC via formule dynamique, (2) EBE/EBITDA Dashboard+Ratios inclut Prod.stockée/immob/Subventions, (3) Marge Brute inclut Production, (4) DPO inclut Autres achats, (5) Cap.remboursement utilise CAF</t>
  </si>
  <si>
    <t>Résultats 2025 corrigés : RN=2 115k (vs 1 580k), EBE=4 770k (vs 4 320k), Marge EBITDA=14,7% (vs 13,3%), Marge Brute=52,2% (vs 51,1%), DPO=66,8j (vs 86,4j), CCC=100j (vs 80j), Cap.rembours.=2,76 ans (vs 2,41). Marge nette=6,5%, ROE=17,1%. DCF: EBITDA base=4 770k, FCFF 2025=2 190k, EV=15M, Equity=10,85M.</t>
  </si>
  <si>
    <t>Conformité PCG atteinte sur les 5 points identifiés. Il reste les SIG manquants (Production, VA, RCAI, R.except) qui sont un 'nice to have' mais non bloquant.</t>
  </si>
  <si>
    <t>L'utilisateur demande s'il y a des erreurs sur la colonne D du DCF et la cellule C38. Il a aussi modifié C14/C15/D14 et C27 (syntaxe SOMME.SI).</t>
  </si>
  <si>
    <t>Audit colonne D et C38 : aucune erreur trouvée, formules toutes correctes. Correction de 2 erreurs introduites par l'utilisateur : (1) C27 en format texte après saisie SOMME.SI → remis en General + SUMIF, (2) C14 référence circulaire résolue en pointant sur les cellules individuelles au lieu de C27.</t>
  </si>
  <si>
    <t>C38=EBIT×IS=830k ✅. Colonne D : CA+5%, Marge EBITDA 15% normalisée, toutes formules correctes. C27 était formaté texte (SOMME.SI), converti en General+SUMIF. Bilan 2023 rééquilibré à 0€.</t>
  </si>
  <si>
    <t>DCF validé. Bilan 2023 rééquilibré. Toutes erreurs résolues.</t>
  </si>
  <si>
    <t>Automatiser l'onglet Analyse Approfondie avec des formules dynamiques et vérifier/corriger les erreurs</t>
  </si>
  <si>
    <t>4 corrections majeures : (1) Waterfall 5B entièrement automatisé avec formules liées au Budget/Réel, (2) Table de sensibilité 5D — 35 cellules hardcodées remplacées par formules SUMIF, (3) G12/H12 corrigées (format texte @→nombre), (4) F55 changé de texte à nombre, (5) B53 dynamisé, (6) Colonne D Sens automatisée</t>
  </si>
  <si>
    <t>Waterfall : C23=Budget calculé (4 820k), C24:C30=écarts dynamiques depuis T_Budget, C31=Réel calculé (2 330k). Réconciliation parfaite : Budget + Σ écarts = Réel ✅. Sensibilité : formule = Tréso_base + CA×ΔCA − COGS×Inflation, toutes 35 valeurs identiques aux originales. G12/H12 : format texte @ empêchait l'évaluation des MIN/MAX — corrigé via Office.js. F55 : '0% (Base)' → 0 pour éviter #VALEUR!</t>
  </si>
  <si>
    <t>Onglet Analyse Approfondie entièrement automatisé. Sections 5A (scénarios), 5B (waterfall), 5C (trésorerie), 5D (sensibilité) toutes dynamiques. 0 erreurs restantes. Toutes les données se mettent à jour automatiquement si les Données Brutes changent.</t>
  </si>
  <si>
    <t>Proposer des améliorations du Dashboard Interactif pour le rendre plus professionnel et compréhensif pour présentation COMEX</t>
  </si>
  <si>
    <t>Audit complet du Dashboard : 5 charts, 12 ratios, KPI cards, section ESG. Plan de refonte en 5 phases proposé à l'utilisateur.</t>
  </si>
  <si>
    <t>Phase 1: Reformater KPI cards + ajouter Trésorerie Nette. Phase 2: Colonne tendance YoY + réorganisation ratios + alertes raccourcies. Phase 3: Corriger source graphique Évolution 3 ans + ajouter Écart % sur Budget vs Réel. Phase 4: Synthèse exécutive textuelle + décomposition charges. Phase 5: Grouper données techniques pour masquage en présentation.</t>
  </si>
  <si>
    <t>Plan présenté, en attente validation utilisateur avant exécution.</t>
  </si>
  <si>
    <t>Refonte complète du Dashboard Interactif pour présentation COMEX : visuels + contenu + nouveaux éléments</t>
  </si>
  <si>
    <t>Phase 1: KPI cards refondues (format M€, variations YoY, indicateurs secondaires). Phase 2: Synthèse exécutive dynamique (Forces/Vigilance/Actions). Phase 3: Nouveau chart doughnut Répartition Charges. Phase 4: Colonnes techniques groupées. Phase 5: Mise en forme conditionnelle ratios.</t>
  </si>
  <si>
    <t>KPI: B4=32,4M€ (+8,7%), C4=4,77M€ (marge 14,7%), D4=2,12M€ (+70k), E4=17,1% ROE, F4=116/150 pts. Sous-KPI: Tréso 1 950k, DIO/DSO, Marge Nette 6,5%, Z-Score 2,93, Verdict VERT. Synthèse: 4 lignes dynamiques. 6 charts total. Cols H:Q groupées.</t>
  </si>
  <si>
    <t>Dashboard refait pour COMEX. 6 graphiques, KPI cards enrichis, synthèse exécutive dynamique, données techniques masquées.</t>
  </si>
  <si>
    <t>Graphiques blancs après groupement des colonnes de données H:Q</t>
  </si>
  <si>
    <t>Dégroupé et démasqué colonnes H:Q. Les graphiques Excel ne peuvent pas afficher de données provenant de colonnes masquées. Appliqué un style atténué (gris clair, taille 8) aux données techniques pour les rendre discrètes sans casser les graphiques.</t>
  </si>
  <si>
    <t>Colonnes de données techniques (H:Q) = couleur grisée, discrètes mais fonctionnelles. Cause : les graphiques Excel ne rendent pas les données de colonnes cachées/groupées repliées.</t>
  </si>
  <si>
    <t>6 graphiques restaurés et fonctionnels. Données techniques atténuées visuellement.</t>
  </si>
  <si>
    <t>Appliquer toutes les améliorations identifiées dans l'audit (14 points)</t>
  </si>
  <si>
    <t>12 corrections appliquées : (1) EBITDA graphique harmonisé PCG, (2) DCF BFR dynamique 13,9%, (3) DCF amort liés au CAPEX/10, (4) DCF ΔBFR marginale, (5) One-Pager EBITDA 3 ans complet, (6) One-Pager alertes dynamisées, (7) One-Pager WACC/g locale FR, (8) Cascade EBE Dashboard corrigée, (9) Contrôle CPC ajouté Données Brutes, (10) Label BFR/CA DCF, (11) Format texte P32:P34 corrigé, (12) O41 EBE cascade PCG</t>
  </si>
  <si>
    <t>DCF : EV passe de 15,0M€ à 27,6M€, Equity = 23,4M€. FCFF croissants : 980k→1,44M. BFR = 13,9% (vs 1,5% avant). Amort progressifs liés au CAPEX. EBITDA graphique : 2023=3,98M, 2024=4,23M, 2025=4,77M (cohérent avec C4). Contrôle CPC : RN Bilan = RN CPC ✅ (écart 0€ x3 ans). One-Pager : EBITDA 3 ans + alertes dynamiques.</t>
  </si>
  <si>
    <t>Toutes corrections critiques et modérées appliquées. Restent à documenter : multiples sectoriels DCF (C71:C73), benchmarks sectoriels (D5:D14), coefficients saisonnalité trésorerie.</t>
  </si>
  <si>
    <t>Refonte visuelle complète du One-Pager pour le rendre attractif et professionnel</t>
  </si>
  <si>
    <t>Redesign intégral : (1) Reset formatting complet, (2) Bandeau header navy + sous-titre, (3) 3 score cards alignées (Score/Feu/EV DCF), (4) KPI table avec alternance de couleurs et bordures légères, (5) Section alertes rouge structurée, (6) Waterfall bleu avec code couleur Défavorable/Favorable, (7) Footer confidentiel, (8) Number formats cohérents (%, x, j).</t>
  </si>
  <si>
    <t>Colonnes uniformisées A=8px B=200 C-E=115 F=160 G=250. Couleurs : navy #1B2A4A (headers), #F4F6F9 (cards), rouge #C0392B (alertes), bleu #2471A3 (waterfall). Labels raccourcis. Alertes C23:C25 dynamisées. EBITDA 3 ans complet. Commentaires waterfall ajoutés. Freeze top 3 rows.</t>
  </si>
  <si>
    <t>One-Pager entièrement reformaté — prêt pour impression ou présentation COMEX.</t>
  </si>
  <si>
    <t>Construire un simulateur de consolidation groupe IFRS complet : 12 onglets (Sprint 1-3). Onglets PERIMETRE, CONSOL_VAR_CP, IFRS16_LEASES, IAS12_IMPOTS_DIFF, IAS36_IMPAIRMENT, IFRS8_SEGMENTS, CONSOL_RG, NOTES_IFRS, SCENARIOS, DOUBLE_MATERIALITE, TAXONOMIE_UE, AUDIT_CONTROLS.</t>
  </si>
  <si>
    <t>Onglet PERIMETRE créé — Sprint 1 onglet 1/4. 4 tableaux : (1) Périmètre de consolidation 5 entités, (2) Contrôle IFRS 10, (3) NCI, (4) Organigramme. Convention couleurs respectée.</t>
  </si>
  <si>
    <t>Formules : F=MAX(D,D+E), G=IF(&gt;=50%,IG,MEE,HP), J=IF(I='',Actif,Sorti), B_NCI=1-D, D_NCI=B×C, E_IFRS10=AND(3 critères). Données exemples : FR 150M CP, UK NCI 20%=7M, SG NCI 30%=8.4M. Cellules jaunes avec notes pour liaisons futures.</t>
  </si>
  <si>
    <t>PERIMETRE créé et fonctionnel. En attente validation avant onglet 2 (CONSOL_VAR_CP).</t>
  </si>
  <si>
    <t>Validation PERIMETRE OK. Construction onglet 2 : CONSOL_VAR_CP (Variation des capitaux propres consolidés IAS 1.106 / IFRS 18).</t>
  </si>
  <si>
    <t>CONSOL_VAR_CP créé avec matrice complète : 10 lignes × 9 colonnes de données (B-J). Formules totaux H=SUM(B:G), J=H+I. Ligne 12 résultat global, ligne 18 solde clôture. 2 contrôles automatiques. Liaison PERIMETRE!F34 pour NCI résultat.</t>
  </si>
  <si>
    <t>Solde ouverture 183 900k€, RG +26 470k€, Dividendes -9 500k€, Clôture 200 870k€. NCI: 14 200→15 070. I6=PERIMETRE!F34 (2 800). Mémo affectation résultat N-1 ajouté. Bordures, freeze row 4, convention couleurs respectée.</t>
  </si>
  <si>
    <t>CONSOL_VAR_CP fonctionnel. 2 contrôles ✅. En attente validation avant onglet 3 (IFRS16_LEASES).</t>
  </si>
  <si>
    <t>Adapter le classeur pour les grands montants GAFAM (ex: Apple) — les données volumineuses sont illisibles sans séparateurs de milliers</t>
  </si>
  <si>
    <t>Formatage numérique complet de 8 onglets : séparateurs milliers (#,##0), pourcentages (0.0%), ratios (0.00), jours (0.0). Élargissement des colonnes de données.</t>
  </si>
  <si>
    <t>Données Brutes: C2:E89 → #,##0, F:G → 0.0%. Ratios: 32 lignes formatées (monétaire/pct/ratio/jours). Analyse Approf: scénarios, waterfall, trésorerie 12 mois, sensibilité. DCF: WACC en %, FCFF/EV/Equity en #,##0, facteurs actualisation en 0.0000. Dashboard: KPIs, données graphiques. One-Pager: KPIs 3 ans, waterfall, EV. Benchmark: ratios + alertes. Colonnes C-H élargies à 130-150px sur tous les onglets.</t>
  </si>
  <si>
    <t>Tous les montants s'affichent désormais avec séparateurs de milliers (ex: 11 400 000 au lieu de 11400000). Prêt pour des données GAFAM (centaines de milliards). Vérification confirmée : 28500000 → '28 500 000', -37.7% → '-37,7%', 27551554 → '27 551 554'.</t>
  </si>
  <si>
    <t>Analyse de compatibilité du modèle avec différents ordres de grandeur (milliers, millions, milliards) — le modèle gère-t-il correctement tous les types de montants ?</t>
  </si>
  <si>
    <t>Audit approfondi de 9 onglets : vérification des formules (ratios, divisions, IFERROR), formats numériques (#,##0), affichage DCF (sensibilité en M€ hardcodé /1000000), labels textuels avec TEXT(), et seuils d'alertes. Identification de 6 problèmes de scalabilité.</t>
  </si>
  <si>
    <t>Les formules relationnelles (ratios, %, variations) sont universelles. MAIS : (1) Labels One-Pager C24 hardcodent /1000000 et 'M' → cassent si données en k€ ou Mrd€, (2) Table sensibilité DCF divise par 1000000 (ROUND(.../1000000,1)) → header dit 'EUR M' mais ne s'adapte pas, (3) Seuils alertes Benchmark F23 hardcodent 300000 → inadapté pour milliards, (4) Dashboard textes hardcodent 'k€' et 'M€', (5) Prévision trésorerie 5C divise par 12 (mensualisation) OK, (6) Aucun onglet de paramétrage d'unité centralisé.</t>
  </si>
  <si>
    <t>Le modèle est partiellement compatible. Ratios et % = OK universels. Montants absolus et labels textuels = problèmes si on change d'ordre de grandeur. Recommandations livrées.</t>
  </si>
  <si>
    <t>Mise en place d'un système d'unité dynamique pour rendre le classeur compatible avec tous les ordres de grandeur (€, k€, M€, Mrd€) — menu déroulant dans Accueil</t>
  </si>
  <si>
    <t>5 phases : (1) Sélecteur d'unité Accueil F26 avec dropdown + diviseur F27 + suffixe F28 + décimales F29, (2) Labels One-Pager dynamisés (C24 CAPEX, B12-B13 KPIs, F5-F6 EV DCF, C28/E28 headers), (3) Table sensibilité DCF 25 formules /1000000 → /Accueil!F27, (4) Seuil Benchmark F23 en % du CA au lieu de 300k€ hardcodé, (5) Labels DCF/Analyse Approfondie/Dashboard tous dynamisés</t>
  </si>
  <si>
    <t>~60 cellules modifiées sur 5 onglets : Accueil (sélecteur + validation), One-Pager (7 cellules), Dashboard (3 cellules), Valorisation DCF (25 sensibilité + 18 labels), Analyse Approfondie (10 labels + 1 sensibilité), Benchmark (2 cellules seuil). Formule diviseur : IF imbriqués sur F26. Décimales adaptatives : 0 pour €/k€, 1 pour M€, 2 pour Mrd€.</t>
  </si>
  <si>
    <t>Système fonctionnel — actuellement réglé sur M€ (millions). Changer le dropdown F26 dans Accueil adapte automatiquement : tous les labels (CA, EBITDA, EV...), la table de sensibilité DCF, les textes Dashboard/One-Pager, et les seuils d'alertes. Compatible avec données de 1€ à 999 Mrd€.</t>
  </si>
  <si>
    <t>Synthèse automatique  ·  Données liées au modèle financier  ·  Mise à jour: 2025</t>
  </si>
  <si>
    <t>📊 SCORE GLOBAL</t>
  </si>
  <si>
    <t>🚦 FEU TRICOLORE</t>
  </si>
  <si>
    <t>💎 ENTERPRISE VALUE (DCF)</t>
  </si>
  <si>
    <t>Score &gt;= 75% = VERT, &gt;=50% = ORANGE, &lt;50% = ROUGE</t>
  </si>
  <si>
    <t>KPIs FINANCIERS CLES 2025</t>
  </si>
  <si>
    <t>Indicateur</t>
  </si>
  <si>
    <t>Norme</t>
  </si>
  <si>
    <t>Statut</t>
  </si>
  <si>
    <t>Hausse</t>
  </si>
  <si>
    <t>&gt; 15% CA</t>
  </si>
  <si>
    <t>Marge EBITDA</t>
  </si>
  <si>
    <t>&gt; 15%</t>
  </si>
  <si>
    <t>ROE</t>
  </si>
  <si>
    <t>&gt; 12%</t>
  </si>
  <si>
    <t>Altman Z-Score</t>
  </si>
  <si>
    <t>&gt; 2,99</t>
  </si>
  <si>
    <t>Endettement (D/E)</t>
  </si>
  <si>
    <t>&lt; 1,0x</t>
  </si>
  <si>
    <t>Délai Clients (DSO)</t>
  </si>
  <si>
    <t>&lt; 45j</t>
  </si>
  <si>
    <t>Cycle Trésorerie (CCC)</t>
  </si>
  <si>
    <t>&lt; 60j</t>
  </si>
  <si>
    <t>3 ALERTES CRITIQUES — SOURCE: BENCHMARK &amp; ALERTES</t>
  </si>
  <si>
    <t>#</t>
  </si>
  <si>
    <t>Alerte</t>
  </si>
  <si>
    <t>Valeur</t>
  </si>
  <si>
    <t>Seuil</t>
  </si>
  <si>
    <t>Action prioritaire</t>
  </si>
  <si>
    <t>&lt; 300 j</t>
  </si>
  <si>
    <t>Audit charges fixes — Réduire coûts d'exploitation</t>
  </si>
  <si>
    <t>&gt; +10%</t>
  </si>
  <si>
    <t>CRITIQUE</t>
  </si>
  <si>
    <t>Revoir plan CAPEX 2026 — Validation DG</t>
  </si>
  <si>
    <t>Renégociation fournisseurs — Optimiser mix coûts</t>
  </si>
  <si>
    <t>WATERFALL CASH-FLOW — BRIDGE RESULTAT NET 2025 (Budget → Réel)</t>
  </si>
  <si>
    <t>Étape</t>
  </si>
  <si>
    <t>Impact</t>
  </si>
  <si>
    <t>Δ% vs Budget</t>
  </si>
  <si>
    <t>Commentaire</t>
  </si>
  <si>
    <t>Objectif initial 2025</t>
  </si>
  <si>
    <t>CA réel &lt; budget (−14,7%)</t>
  </si>
  <si>
    <t>Hausse coût matières</t>
  </si>
  <si>
    <t>Recrutements suppl.</t>
  </si>
  <si>
    <t>Prestataires &gt; budget</t>
  </si>
  <si>
    <t>CAPEX &gt; plan</t>
  </si>
  <si>
    <t>Renégociation emprunts</t>
  </si>
  <si>
    <t>Optimisation fiscale</t>
  </si>
  <si>
    <t>Note : Graphique Waterfall disponible dans l'onglet Analyse Approfondie (section 5B)</t>
  </si>
  <si>
    <t>Liens: Dashboard Interactif | Valorisation DCF | Analyse Approfondie | Benchmark &amp; Alertes</t>
  </si>
  <si>
    <t>📊 ANALYSE FINANCIÈRE &amp; CONTRÔLE DE GESTION</t>
  </si>
  <si>
    <t>📌 SOMMAIRE — Naviguez vers chaque onglet</t>
  </si>
  <si>
    <t>1 — 📋 Données Brutes</t>
  </si>
  <si>
    <t>Bilan · CPC · Flux de trésorerie · Budget vs Réel (2023-2025)</t>
  </si>
  <si>
    <t>2 — 📐 Ratios &amp; Indicateurs</t>
  </si>
  <si>
    <t>30+ ratios : Liquidité, Solvabilité, Rentabilité, Efficacité, Point mort</t>
  </si>
  <si>
    <t>3 — 🔍 Analyse Approfondie</t>
  </si>
  <si>
    <t>3 Scénarios · Waterfall budget-réel · Prévision trésorerie 12 mois</t>
  </si>
  <si>
    <t>4 — 📊 Dashboard Interactif</t>
  </si>
  <si>
    <t>KPIs, Score /100, Feux tricolores, Graphiques, Radar, Point mort</t>
  </si>
  <si>
    <t>5 — 🎯 Benchmark &amp; Alertes</t>
  </si>
  <si>
    <t>Benchmark sectoriel · 10 alertes automatiques · Scoring</t>
  </si>
  <si>
    <t>6 — 📖 Méthodologie</t>
  </si>
  <si>
    <t>Formules détaillées · Glossaire · Normes · Sources</t>
  </si>
  <si>
    <t>✅ 7 onglets · 4 tableaux · 30+ ratios · 3 scénarios · 12 mois trésorerie · 10 alertes · Dashboard graphiques</t>
  </si>
  <si>
    <t>SANTÉ FINANCIÈRE EN TEMPS RÉEL</t>
  </si>
  <si>
    <t>⚙️ PARAMÈTRES D'AFFICHAGE</t>
  </si>
  <si>
    <t>Score Global /100 :</t>
  </si>
  <si>
    <t>Unité d'affichage :</t>
  </si>
  <si>
    <t>M€ (millions)</t>
  </si>
  <si>
    <t>Feu Tricolore :</t>
  </si>
  <si>
    <t>Diviseur :</t>
  </si>
  <si>
    <t>Altman Z-Score :</t>
  </si>
  <si>
    <t>Suffixe :</t>
  </si>
  <si>
    <t>Marge EBITDA 2025 :</t>
  </si>
  <si>
    <t>Décimales :</t>
  </si>
  <si>
    <t>ROE 2025 :</t>
  </si>
  <si>
    <t>Format auto :</t>
  </si>
  <si>
    <t>Poste</t>
  </si>
  <si>
    <t>Catégorie</t>
  </si>
  <si>
    <t>2023</t>
  </si>
  <si>
    <t>2024</t>
  </si>
  <si>
    <t>2025</t>
  </si>
  <si>
    <t>Var. 23→24</t>
  </si>
  <si>
    <t>Var. 24→25</t>
  </si>
  <si>
    <t>✔ Contrôle</t>
  </si>
  <si>
    <t>🏢 NOM DE L'ENTREPRISE</t>
  </si>
  <si>
    <t>→</t>
  </si>
  <si>
    <t>Acier Côte Ouest SAS</t>
  </si>
  <si>
    <t>Immobilisations incorporelles</t>
  </si>
  <si>
    <t>Actif Non Courant</t>
  </si>
  <si>
    <t>⬆ Modifier cette cellule pour mettre à jour tout le classeur</t>
  </si>
  <si>
    <t>Immobilisations corporelles</t>
  </si>
  <si>
    <t>Immobilisations financières</t>
  </si>
  <si>
    <t>Stocks matières premières</t>
  </si>
  <si>
    <t>Actif Courant</t>
  </si>
  <si>
    <t>Stocks produits finis</t>
  </si>
  <si>
    <t>Créances clients</t>
  </si>
  <si>
    <t>Autres créances</t>
  </si>
  <si>
    <t>Trésorerie active</t>
  </si>
  <si>
    <t>VMP</t>
  </si>
  <si>
    <t>Charges constatées d'avance</t>
  </si>
  <si>
    <t>Capital social</t>
  </si>
  <si>
    <t>Capitaux Propres</t>
  </si>
  <si>
    <t>Réserves</t>
  </si>
  <si>
    <t>Report à nouveau</t>
  </si>
  <si>
    <t>Résultat net</t>
  </si>
  <si>
    <t>Provisions réglementées</t>
  </si>
  <si>
    <t>Emprunts obligataires</t>
  </si>
  <si>
    <t>Dettes Non Courantes</t>
  </si>
  <si>
    <t>Emprunts bancaires LT</t>
  </si>
  <si>
    <t>Provisions risques</t>
  </si>
  <si>
    <t>Dettes fournisseurs</t>
  </si>
  <si>
    <t>Dettes Courantes</t>
  </si>
  <si>
    <t>Dettes fiscales &amp; sociales</t>
  </si>
  <si>
    <t>Concours bancaires courants</t>
  </si>
  <si>
    <t>Autres dettes courantes</t>
  </si>
  <si>
    <t>Produits constatés d'avance</t>
  </si>
  <si>
    <t>✔ CONTRÔLE BILAN</t>
  </si>
  <si>
    <t>Total Actif (2025)</t>
  </si>
  <si>
    <t>Total Passif (CP+Dettes)</t>
  </si>
  <si>
    <t>⚖️ Écart (= 0 si équilibré)</t>
  </si>
  <si>
    <t>✔ CONTRÔLE CPC</t>
  </si>
  <si>
    <t>RN calculé (Produits − Charges)</t>
  </si>
  <si>
    <t>⚖️ Écart vs Bilan (= 0 si cohérent)</t>
  </si>
  <si>
    <t>T_CPC — Compte de Résultat</t>
  </si>
  <si>
    <t>Section</t>
  </si>
  <si>
    <t>Chiffre d'affaires net</t>
  </si>
  <si>
    <t>Produits Exploitation</t>
  </si>
  <si>
    <t>Production stockée</t>
  </si>
  <si>
    <t>Production immobilisée</t>
  </si>
  <si>
    <t>Subventions exploitation</t>
  </si>
  <si>
    <t>Autres produits exploitation</t>
  </si>
  <si>
    <t>Achats matières premières</t>
  </si>
  <si>
    <t>Charges Exploitation</t>
  </si>
  <si>
    <t>Variation stocks MP</t>
  </si>
  <si>
    <t>Autres achats &amp; charges ext.</t>
  </si>
  <si>
    <t>Impôts &amp; taxes</t>
  </si>
  <si>
    <t>Charges de personnel</t>
  </si>
  <si>
    <t>Dotations amortissements</t>
  </si>
  <si>
    <t>Dotations provisions exploit.</t>
  </si>
  <si>
    <t>Autres charges exploitation</t>
  </si>
  <si>
    <t>Produits financiers</t>
  </si>
  <si>
    <t>Résultat Financier</t>
  </si>
  <si>
    <t>Charges financières</t>
  </si>
  <si>
    <t>Produits exceptionnels</t>
  </si>
  <si>
    <t>Résultat Exceptionnel</t>
  </si>
  <si>
    <t>Charges exceptionnelles</t>
  </si>
  <si>
    <t>Participation salariés</t>
  </si>
  <si>
    <t>Participation &amp; IS</t>
  </si>
  <si>
    <t>Impôt sur les sociétés</t>
  </si>
  <si>
    <t>T_Tresorerie — Flux de Trésorerie</t>
  </si>
  <si>
    <t>Sous-total 2025</t>
  </si>
  <si>
    <t>Colonne1</t>
  </si>
  <si>
    <t>Exploitation</t>
  </si>
  <si>
    <t>Dotations provisions</t>
  </si>
  <si>
    <t>Plus/moins-values cessions</t>
  </si>
  <si>
    <t>Variation stocks</t>
  </si>
  <si>
    <t>Variation créances clients</t>
  </si>
  <si>
    <t>Variation dettes fournisseurs</t>
  </si>
  <si>
    <t>Variation autres BFR</t>
  </si>
  <si>
    <t>Acquisitions immobilisations</t>
  </si>
  <si>
    <t>Investissement</t>
  </si>
  <si>
    <t>Cessions immobilisations</t>
  </si>
  <si>
    <t>Investissements financiers</t>
  </si>
  <si>
    <t>Augmentation capital</t>
  </si>
  <si>
    <t>Financement</t>
  </si>
  <si>
    <t>Nouveaux emprunts</t>
  </si>
  <si>
    <t>Remboursements emprunts</t>
  </si>
  <si>
    <t>Dividendes versés</t>
  </si>
  <si>
    <t>FLUX NET TOTAL 2025</t>
  </si>
  <si>
    <t>T_Budget — Budget vs Réel 2025</t>
  </si>
  <si>
    <t>Budget 2025</t>
  </si>
  <si>
    <t>Réel 2025</t>
  </si>
  <si>
    <t>Écart Abs.</t>
  </si>
  <si>
    <t>Écart %</t>
  </si>
  <si>
    <t>Chiffre d'affaires</t>
  </si>
  <si>
    <t>Revenus</t>
  </si>
  <si>
    <t>Coût matières premières</t>
  </si>
  <si>
    <t>COGS</t>
  </si>
  <si>
    <t>OPEX</t>
  </si>
  <si>
    <t>Autres charges externes</t>
  </si>
  <si>
    <t>Amortissements</t>
  </si>
  <si>
    <t>Financier</t>
  </si>
  <si>
    <t>Impôts</t>
  </si>
  <si>
    <t>Fiscal</t>
  </si>
  <si>
    <t>CAPEX</t>
  </si>
  <si>
    <t>Invest.</t>
  </si>
  <si>
    <t>Bottom Line</t>
  </si>
  <si>
    <t>TABLEAU DE BORD DES RATIOS FINANCIERS</t>
  </si>
  <si>
    <t>Nº</t>
  </si>
  <si>
    <t>💧  LIQUIDITÉ &amp; TRÉSORERIE</t>
  </si>
  <si>
    <t>Liquidité Générale (Current Ratio)</t>
  </si>
  <si>
    <t>&gt; 1,5</t>
  </si>
  <si>
    <t>Liquidité Réduite — Quick Ratio</t>
  </si>
  <si>
    <t>&gt; 1,0</t>
  </si>
  <si>
    <t>Liquidité Immédiate — Cash Ratio</t>
  </si>
  <si>
    <t>&gt; 0,2</t>
  </si>
  <si>
    <t>FRNG — Fonds de Roulement Net Global</t>
  </si>
  <si>
    <t>&gt; 0</t>
  </si>
  <si>
    <t>BFR — Besoin en Fonds de Roulement</t>
  </si>
  <si>
    <t>Structurel</t>
  </si>
  <si>
    <t>05b</t>
  </si>
  <si>
    <t>BFR en jours de CA</t>
  </si>
  <si>
    <t>&lt; 60 jours</t>
  </si>
  <si>
    <t>🏦  SOLVABILITÉ &amp; ENDETTEMENT</t>
  </si>
  <si>
    <t>Ratio Endettement — Debt / Equity</t>
  </si>
  <si>
    <t>&lt; 1,0</t>
  </si>
  <si>
    <t>Autonomie Financière  (CP / Actif)</t>
  </si>
  <si>
    <t>&gt; 33%</t>
  </si>
  <si>
    <t>Gearing — Endettement Net / CP</t>
  </si>
  <si>
    <t>&lt; 0,5</t>
  </si>
  <si>
    <t>Capacité de Remboursement  (ans)</t>
  </si>
  <si>
    <t>&lt; 3 ans</t>
  </si>
  <si>
    <t>Couverture des Intérêts  (EBITDA / Charges Fin.)</t>
  </si>
  <si>
    <t>&gt; 3,0x</t>
  </si>
  <si>
    <t>Dettes LT / Capitaux Permanents</t>
  </si>
  <si>
    <t>&lt; 50%</t>
  </si>
  <si>
    <t>ALTMAN Z-Score  (prédiction défaillance 2 ans)</t>
  </si>
  <si>
    <t>&gt; 2,99 = Sûr</t>
  </si>
  <si>
    <t>📈  RENTABILITÉ</t>
  </si>
  <si>
    <t>Marge Brute</t>
  </si>
  <si>
    <t>Sectoriel</t>
  </si>
  <si>
    <t>Marge EBITDA  (EBE / CA)</t>
  </si>
  <si>
    <t>Marge Opérationnelle  (EBIT / CA)</t>
  </si>
  <si>
    <t>&gt; 8%</t>
  </si>
  <si>
    <t>Marge Nette  (Résultat Net / CA)</t>
  </si>
  <si>
    <t>&gt; 5%</t>
  </si>
  <si>
    <t>ROE — Return on Equity</t>
  </si>
  <si>
    <t>ROA — Return on Assets</t>
  </si>
  <si>
    <t>ROCE — Return on Capital Employed</t>
  </si>
  <si>
    <t>&gt; WACC</t>
  </si>
  <si>
    <t>↳ DuPont</t>
  </si>
  <si>
    <t>DuPont — Marge Nette × Rotation Actifs × Levier Financier  =  ROE</t>
  </si>
  <si>
    <t>⚙️  EFFICACITÉ &amp; ROTATIONS</t>
  </si>
  <si>
    <t>DSO — Délai Clients  (jours)</t>
  </si>
  <si>
    <t>&lt; 45 j</t>
  </si>
  <si>
    <t>DIO — Délai Stocks  (jours)</t>
  </si>
  <si>
    <t>&lt; 60 j</t>
  </si>
  <si>
    <t>DPO — Délai Fournisseurs  (jours)</t>
  </si>
  <si>
    <t>&gt; 30 j</t>
  </si>
  <si>
    <t>CCC — Cash Conversion Cycle  (DSO + DIO − DPO)</t>
  </si>
  <si>
    <t>Productivité  (VA / Charges Personnel)</t>
  </si>
  <si>
    <t>&gt; 1,5x</t>
  </si>
  <si>
    <t/>
  </si>
  <si>
    <t>🎯  CONTRÔLE DE GESTION</t>
  </si>
  <si>
    <t>Taux MCV — Marge sur Coût Variable</t>
  </si>
  <si>
    <t>&gt; 50%</t>
  </si>
  <si>
    <t>Seuil de Rentabilité  (€)</t>
  </si>
  <si>
    <t>&lt; 90% du CA</t>
  </si>
  <si>
    <t>Point Mort  (jours dans l'année)</t>
  </si>
  <si>
    <t>&lt; 270 j</t>
  </si>
  <si>
    <t>Taux de Marge de Sécurité  (MS / CA)</t>
  </si>
  <si>
    <t>Levier Opérationnel — DOL  (MCV / EBIT)</t>
  </si>
  <si>
    <t>Info</t>
  </si>
  <si>
    <t>CAF — Capacité d'Autofinancement</t>
  </si>
  <si>
    <t>Payout Ratio — Taux de Distribution</t>
  </si>
  <si>
    <t>&lt; 70%</t>
  </si>
  <si>
    <t>🏆  SCORING FINANCIER GLOBAL</t>
  </si>
  <si>
    <t>Pondération</t>
  </si>
  <si>
    <t>Taux</t>
  </si>
  <si>
    <t>Résultat</t>
  </si>
  <si>
    <t>💧</t>
  </si>
  <si>
    <t>Score Liquidité  (Ratios 01–06)</t>
  </si>
  <si>
    <t>max 50 pts</t>
  </si>
  <si>
    <t>🏦</t>
  </si>
  <si>
    <t>Score Solvabilité  (Ratios 07–13)</t>
  </si>
  <si>
    <t>📈</t>
  </si>
  <si>
    <t>Score Rentabilité  (Ratios 14–21)</t>
  </si>
  <si>
    <t>max 25 pts</t>
  </si>
  <si>
    <t>⚙️</t>
  </si>
  <si>
    <t>Score Efficacité  (Ratios 22–27)</t>
  </si>
  <si>
    <t>🏆</t>
  </si>
  <si>
    <t>Score total obtenu</t>
  </si>
  <si>
    <t>/ 150 pts</t>
  </si>
  <si>
    <t>Verdict</t>
  </si>
  <si>
    <t>Altman Z-Score  (référence)</t>
  </si>
  <si>
    <t>ℹ️  Colonnes D / E = historique 2023–2024  ·  Colonne F = valeur 2025 (référence)  ·  Colonne H = variation 2024→2025 (vert = amélioration)  ·  Colonne I = statut automatique</t>
  </si>
  <si>
    <t>Calculs dynamiques liés aux Données Brutes · Hypothèses modifiables dans les cellules bleues</t>
  </si>
  <si>
    <t>📊  5A — SIMULATION 3 SCÉNARIOS FINANCIERS</t>
  </si>
  <si>
    <t>↳ Hypothèses modifiables</t>
  </si>
  <si>
    <t>Paramètre</t>
  </si>
  <si>
    <t>Base 2025</t>
  </si>
  <si>
    <r>
      <t xml:space="preserve">Pessimiste </t>
    </r>
    <r>
      <rPr>
        <b/>
        <sz val="11"/>
        <color rgb="FFFF0000"/>
        <rFont val="Calibri"/>
        <family val="2"/>
      </rPr>
      <t xml:space="preserve"> −15%</t>
    </r>
  </si>
  <si>
    <r>
      <t xml:space="preserve">Modéré </t>
    </r>
    <r>
      <rPr>
        <b/>
        <sz val="11"/>
        <color rgb="FFFFC000"/>
        <rFont val="Calibri"/>
        <family val="2"/>
      </rPr>
      <t xml:space="preserve"> +5%</t>
    </r>
  </si>
  <si>
    <r>
      <t xml:space="preserve">Optimiste </t>
    </r>
    <r>
      <rPr>
        <b/>
        <sz val="11"/>
        <color rgb="FF92D050"/>
        <rFont val="Calibri"/>
        <family val="2"/>
      </rPr>
      <t xml:space="preserve"> +15%</t>
    </r>
  </si>
  <si>
    <t>MIN</t>
  </si>
  <si>
    <t>MAX</t>
  </si>
  <si>
    <t>Croissance CA vs 2024</t>
  </si>
  <si>
    <t>Taux MCV  (issu des Ratios)</t>
  </si>
  <si>
    <t>↳ Résultats calculés automatiquement</t>
  </si>
  <si>
    <t>Marge Nette simulée (%)</t>
  </si>
  <si>
    <t>ROE simulé (%)  (CP = 0 €)</t>
  </si>
  <si>
    <t>Point Mort simulé (jours)</t>
  </si>
  <si>
    <t>Statut scénario</t>
  </si>
  <si>
    <t>📊  5B — ANALYSE WATERFALL : BUDGET → RÉEL (Résultat Net 2025)</t>
  </si>
  <si>
    <t>Étape de réconciliation</t>
  </si>
  <si>
    <t>Sens</t>
  </si>
  <si>
    <t>Δ %  vs Budget</t>
  </si>
  <si>
    <t>Budget Résultat Net</t>
  </si>
  <si>
    <t>—</t>
  </si>
  <si>
    <t>Écart CA (volume)</t>
  </si>
  <si>
    <t>Croissance CA inférieure au budget</t>
  </si>
  <si>
    <t>Écart Matières premières</t>
  </si>
  <si>
    <t>Hausse des coûts matières</t>
  </si>
  <si>
    <t>Écart Charges personnel</t>
  </si>
  <si>
    <t>Recrutements supplémentaires</t>
  </si>
  <si>
    <t>Écart Charges externes</t>
  </si>
  <si>
    <t>Dépassement budget prestataires</t>
  </si>
  <si>
    <t>Écart Amortissements</t>
  </si>
  <si>
    <t>CAPEX réalisé &gt; budget</t>
  </si>
  <si>
    <t>Écart Charges financières</t>
  </si>
  <si>
    <t>Écart Impôts</t>
  </si>
  <si>
    <t>Réel Résultat Net</t>
  </si>
  <si>
    <t>Résultat net constaté</t>
  </si>
  <si>
    <t>💰  5C — PRÉVISION DE TRÉSORERIE 2025  (12 mois)</t>
  </si>
  <si>
    <t>Ligne</t>
  </si>
  <si>
    <t>Jan</t>
  </si>
  <si>
    <t>Fév</t>
  </si>
  <si>
    <t>Mar</t>
  </si>
  <si>
    <t>Avr</t>
  </si>
  <si>
    <t>Mai</t>
  </si>
  <si>
    <t>Jui</t>
  </si>
  <si>
    <t>Jul</t>
  </si>
  <si>
    <t>Aoû</t>
  </si>
  <si>
    <t>Sep</t>
  </si>
  <si>
    <t>Oct</t>
  </si>
  <si>
    <t>Nov</t>
  </si>
  <si>
    <t>Déc</t>
  </si>
  <si>
    <t>TOTAL</t>
  </si>
  <si>
    <t xml:space="preserve">  ↳ Encaissements clients</t>
  </si>
  <si>
    <t xml:space="preserve">  ↳ Décaissements fournisseurs</t>
  </si>
  <si>
    <t xml:space="preserve">  ↳ Charges de personnel</t>
  </si>
  <si>
    <t xml:space="preserve">  ↳ Autres charges opérationnelles</t>
  </si>
  <si>
    <t xml:space="preserve">  ↳ Charges financières</t>
  </si>
  <si>
    <t xml:space="preserve">  ↳ Remboursements emprunts</t>
  </si>
  <si>
    <t>Signal mensuel</t>
  </si>
  <si>
    <t>ℹ️  Légende &amp; Hypothèses</t>
  </si>
  <si>
    <t>🔵 Cellules bleues</t>
  </si>
  <si>
    <t>Hypothèses saisies manuellement — modifiables par l'utilisateur</t>
  </si>
  <si>
    <t>🟢 Cellules vertes</t>
  </si>
  <si>
    <t>Données liées automatiquement depuis l'onglet Données Brutes ou Ratios &amp; Indicateurs</t>
  </si>
  <si>
    <t>✅ Signal trésorerie</t>
  </si>
  <si>
    <t>Flux net positif et tréso positive · ⚠️ Tréso positive mais flux négatif · 🔴 Tréso négative</t>
  </si>
  <si>
    <t>📊 Scénarios</t>
  </si>
  <si>
    <t>Les formules de la section 5A s'actualisent automatiquement dès modification des taux ligne 7–9</t>
  </si>
  <si>
    <t>Inflation \ ΔCA →</t>
  </si>
  <si>
    <t>LEGENDE</t>
  </si>
  <si>
    <t>&gt; 2 500 000 EUR</t>
  </si>
  <si>
    <t>Tresorerie excellente — objectif maintenu</t>
  </si>
  <si>
    <t>1 000 000 - 2 500 000 EUR</t>
  </si>
  <si>
    <t>Tresorerie saine — surveillance normale</t>
  </si>
  <si>
    <t>0 - 1 000 000 EUR</t>
  </si>
  <si>
    <t>Tresorerie tendue — actions correctrices</t>
  </si>
  <si>
    <t>&lt; 0 EUR</t>
  </si>
  <si>
    <t>Tresorerie negative — ALERTE CRITIQUE</t>
  </si>
  <si>
    <t>Case jaune</t>
  </si>
  <si>
    <t>Scenario de base (reference)</t>
  </si>
  <si>
    <t>🏦  MODÈLE DE VALORISATION — DCF &amp; MULTIPLES  |  Acier Côte Ouest SAS  |  2025</t>
  </si>
  <si>
    <t>Calculs dynamiques liés aux onglets Données Brutes &amp; Ratios  ·  Hypothèses modifiables dans les cellules bleues (🔵)</t>
  </si>
  <si>
    <t>⚙️  SECTION 1 — CALCUL DU WACC (Coût Moyen Pondéré du Capital)</t>
  </si>
  <si>
    <t>COMPOSANTE</t>
  </si>
  <si>
    <t>Hypothese / Source</t>
  </si>
  <si>
    <t>Kd — Coût de la dette avant IS</t>
  </si>
  <si>
    <t>Charges fin. 390k sur Dettes moy.</t>
  </si>
  <si>
    <t>Taux IS (Impôt sur les Sociétés)</t>
  </si>
  <si>
    <t>Taux legal France 2025</t>
  </si>
  <si>
    <t>Kd net d'IS</t>
  </si>
  <si>
    <t>Kd x (1-IS) - calcule</t>
  </si>
  <si>
    <t>Rf — Taux sans risque (risk-free)</t>
  </si>
  <si>
    <t>OAT 10 ans France mars 2025</t>
  </si>
  <si>
    <t>β — Bêta sectoriel acier (désendettu00e9)</t>
  </si>
  <si>
    <t>Damodaran comparable sectoriel</t>
  </si>
  <si>
    <t>Prime de risque marché (ERP)</t>
  </si>
  <si>
    <t>Prime historique France</t>
  </si>
  <si>
    <t>Ke — Coût des fonds propres (CAPM)</t>
  </si>
  <si>
    <t>CAPM: Rf + Beta x ERP</t>
  </si>
  <si>
    <t>Emprunts LT+CT - Tresorerie</t>
  </si>
  <si>
    <t>CP Donnees Brutes 2025</t>
  </si>
  <si>
    <t>Dettes nettes + CP</t>
  </si>
  <si>
    <t>Pondération Dettes (Wd)</t>
  </si>
  <si>
    <t>Pct Dettes dans structure</t>
  </si>
  <si>
    <t>Pondération CP (We)</t>
  </si>
  <si>
    <t>Pct CP dans structure</t>
  </si>
  <si>
    <t>📌  WACC — Taux d’actualisation</t>
  </si>
  <si>
    <t>Kd net x Wd + Ke x We</t>
  </si>
  <si>
    <t>📈  SECTION 2 — FLUX DE TRÉSORERIE DISPONIBLES (FCFF) — PROJECTION 5 ANS</t>
  </si>
  <si>
    <t>Hypotheses de projection modifiables (cellules bleues)</t>
  </si>
  <si>
    <t>Croissance CA annuelle (g)</t>
  </si>
  <si>
    <t>Taux de croissance CA annuel — modifiable</t>
  </si>
  <si>
    <t>Taux de marge EBITDA cible</t>
  </si>
  <si>
    <t>Marge EBITDA normalisee cible</t>
  </si>
  <si>
    <t>Taux IS normatif</t>
  </si>
  <si>
    <t>Taux IS France 2025</t>
  </si>
  <si>
    <t>Capex / CA (%)</t>
  </si>
  <si>
    <t>Capex normatif en pct du CA</t>
  </si>
  <si>
    <t>Variation BFR / CA (%)</t>
  </si>
  <si>
    <t>BFR/CA dynamique (Ratios) — ΔBFR = delta CA × ratio</t>
  </si>
  <si>
    <t>LIGNE / ANNEE</t>
  </si>
  <si>
    <t>2025 (Base)</t>
  </si>
  <si>
    <t>2026 (N+1)</t>
  </si>
  <si>
    <t>2027 (N+2)</t>
  </si>
  <si>
    <t>2028 (N+3)</t>
  </si>
  <si>
    <t>2029 (N+4)</t>
  </si>
  <si>
    <t>2030 (N+5)</t>
  </si>
  <si>
    <t>Facteur actualisation (WACC)</t>
  </si>
  <si>
    <t>FCFF actualise (EUR)</t>
  </si>
  <si>
    <t>💰  SECTION 3 — VALEUR TERMINALE &amp; VALORISATION (Gordon-Shapiro)</t>
  </si>
  <si>
    <t>Taux de croissance perpetuelle (g infini)</t>
  </si>
  <si>
    <t>Croissance perpetuelle normalisee (modifiable)</t>
  </si>
  <si>
    <t>🎯  VALORISATION FINALE — BRIDGE VERS EQUITY VALUE</t>
  </si>
  <si>
    <t>Nbre d'actions (hypothèse)</t>
  </si>
  <si>
    <t>⚡ Fourchette de valorisation (±20% VT)</t>
  </si>
  <si>
    <t>🔄  SECTION 4 — CROSS-CHECK PAR MULTIPLES SECTORIELS</t>
  </si>
  <si>
    <t>Median sectoriel acier France/EU</t>
  </si>
  <si>
    <t>Median sectoriel acier</t>
  </si>
  <si>
    <t>P/E median sectoriel</t>
  </si>
  <si>
    <t>📐  SECTION 5 — TABLE DE SENSIBILITÉ : WACC × Croissance Perpétuelle (g∞)</t>
  </si>
  <si>
    <t>Chiffre d'Affaires</t>
  </si>
  <si>
    <t>EBITDA</t>
  </si>
  <si>
    <t>Résultat Net</t>
  </si>
  <si>
    <t>Score Global</t>
  </si>
  <si>
    <t>TABLEAU DE BORD DES RATIOS CLÉS</t>
  </si>
  <si>
    <t>DONNÉES GRAPHIQUE POINT MORT</t>
  </si>
  <si>
    <t>Ratio</t>
  </si>
  <si>
    <t>CA (EUR)</t>
  </si>
  <si>
    <t>Coûts Var.</t>
  </si>
  <si>
    <t>Coûts Fixes</t>
  </si>
  <si>
    <t>Coûts Totaux</t>
  </si>
  <si>
    <t>CA (droite)</t>
  </si>
  <si>
    <t>Liquidité Générale</t>
  </si>
  <si>
    <t>&gt; 1.5</t>
  </si>
  <si>
    <t>Quick Ratio</t>
  </si>
  <si>
    <t>&gt; 1.0</t>
  </si>
  <si>
    <t>FRNG</t>
  </si>
  <si>
    <t>BFR en jours</t>
  </si>
  <si>
    <t>Debt/Equity</t>
  </si>
  <si>
    <t>&lt; 1.0</t>
  </si>
  <si>
    <t>&gt; 2.99</t>
  </si>
  <si>
    <t>Couverture intérêts</t>
  </si>
  <si>
    <t>&gt; 3x</t>
  </si>
  <si>
    <t>DSO</t>
  </si>
  <si>
    <t>DONNÉES GRAPHIQUE RADAR</t>
  </si>
  <si>
    <t>CCC</t>
  </si>
  <si>
    <t>Axe</t>
  </si>
  <si>
    <t>Score /10</t>
  </si>
  <si>
    <t>Point Mort</t>
  </si>
  <si>
    <t>Liquidité</t>
  </si>
  <si>
    <t>Solvabilité</t>
  </si>
  <si>
    <t>📋  SYNTHÈSE EXÉCUTIVE — POINTS CLÉS 2025</t>
  </si>
  <si>
    <t>Rentabilité</t>
  </si>
  <si>
    <t>Efficacité</t>
  </si>
  <si>
    <t>Couverture</t>
  </si>
  <si>
    <t>Marge Séc.</t>
  </si>
  <si>
    <t>DONNÉES GRAPHIQUE ÉVOLUTION 3 ANS</t>
  </si>
  <si>
    <t>Année</t>
  </si>
  <si>
    <t>CA</t>
  </si>
  <si>
    <t>DONNÉES GRAPHIQUE CASCADE MARGES 2025</t>
  </si>
  <si>
    <t>Solde</t>
  </si>
  <si>
    <t>Montant (€)</t>
  </si>
  <si>
    <t>CA net</t>
  </si>
  <si>
    <t>Valeur Ajoutée</t>
  </si>
  <si>
    <t>EBE / EBITDA</t>
  </si>
  <si>
    <t>EBIT</t>
  </si>
  <si>
    <t>DONNÉES GRAPHIQUE BUDGET VS RÉEL 2025</t>
  </si>
  <si>
    <t>Budget</t>
  </si>
  <si>
    <t>Réel</t>
  </si>
  <si>
    <t>Matières</t>
  </si>
  <si>
    <t>Personnel</t>
  </si>
  <si>
    <t>Charges ext.</t>
  </si>
  <si>
    <t>DONNÉES GRAPHIQUE RÉPARTITION CHARGES 2025</t>
  </si>
  <si>
    <t>% du CA</t>
  </si>
  <si>
    <t>Matières premières</t>
  </si>
  <si>
    <t>SECTION ESG — INDICATEURS EXTRA-FINANCIERS 2025</t>
  </si>
  <si>
    <t>Charges externes</t>
  </si>
  <si>
    <t>Metriques de durabilite — saisir ou lier les valeurs mesurees dans les cellules bleues</t>
  </si>
  <si>
    <t>Amortissements &amp; Prov.</t>
  </si>
  <si>
    <t>Autres (impôts, fin., etc.)</t>
  </si>
  <si>
    <t>Valeur 2025</t>
  </si>
  <si>
    <t>Objectif</t>
  </si>
  <si>
    <t>Unite</t>
  </si>
  <si>
    <t>Commentaire / Action</t>
  </si>
  <si>
    <t>Audit energetique Q1 · Passage LED · Vehicules hybrides 2026</t>
  </si>
  <si>
    <t>Obligation legale 75/100 · Plan mixite en recrutement 2025-2026</t>
  </si>
  <si>
    <t>Plan prevention Q2 · Formation securite · Revue EPI · Analyse AT</t>
  </si>
  <si>
    <t>BENCHMARK SECTORIEL &amp; SYSTÈME D'ALERTES — 2025</t>
  </si>
  <si>
    <t>BENCHMARK SECTORIEL</t>
  </si>
  <si>
    <t>Entreprise 2025</t>
  </si>
  <si>
    <t>Médiane Secteur</t>
  </si>
  <si>
    <t>Quartile Sup.</t>
  </si>
  <si>
    <t>Position</t>
  </si>
  <si>
    <t>Analyse</t>
  </si>
  <si>
    <t>Endettement D/E</t>
  </si>
  <si>
    <t>DSO (jours)</t>
  </si>
  <si>
    <t>CCC (jours)</t>
  </si>
  <si>
    <t>Rotation Actifs</t>
  </si>
  <si>
    <t>Marge Nette</t>
  </si>
  <si>
    <t>Couverture Intérêts</t>
  </si>
  <si>
    <t>SYSTÈME D'ALERTES AUTOMATIQUES</t>
  </si>
  <si>
    <t>Terminologie</t>
  </si>
  <si>
    <t>Valeur actuelle</t>
  </si>
  <si>
    <t>Action recommandée</t>
  </si>
  <si>
    <t>Liquidité insuffisante</t>
  </si>
  <si>
    <t>Négocier lignes de crédit CT</t>
  </si>
  <si>
    <t>Endettement excessif (D/E)</t>
  </si>
  <si>
    <t>&gt; 2.0</t>
  </si>
  <si>
    <t>Réduire la dette ou augmenter les CP</t>
  </si>
  <si>
    <t>Altman Z-Score zone danger</t>
  </si>
  <si>
    <t>&lt; 1.81</t>
  </si>
  <si>
    <t>Plan de restructuration urgent</t>
  </si>
  <si>
    <t>Marge nette négative</t>
  </si>
  <si>
    <t>&lt; 0%</t>
  </si>
  <si>
    <t>Réduire les coûts ou augmenter le CA</t>
  </si>
  <si>
    <t>Trésorerie nette négative</t>
  </si>
  <si>
    <t>Accélérer encaissements clients</t>
  </si>
  <si>
    <t>Couverture intérêts &lt; 2x</t>
  </si>
  <si>
    <t>&lt; 2.0</t>
  </si>
  <si>
    <t>Renégocier les conditions d'emprunt</t>
  </si>
  <si>
    <t>BFR en dégradation</t>
  </si>
  <si>
    <t>&gt; 60 j</t>
  </si>
  <si>
    <t>Réduire stocks et délais clients</t>
  </si>
  <si>
    <t>Point mort &gt; 300 jours</t>
  </si>
  <si>
    <t>&gt; 300 j</t>
  </si>
  <si>
    <t>Revoir structure de coûts fixes</t>
  </si>
  <si>
    <t>CCC &gt; 90 jours</t>
  </si>
  <si>
    <t>&gt; 90 j</t>
  </si>
  <si>
    <t>Optimiser cycle exploitation</t>
  </si>
  <si>
    <t>CAPEX &gt; Budget + 10%</t>
  </si>
  <si>
    <t>Revoir plan d'investissement</t>
  </si>
  <si>
    <t>📋 SYNTHÈSE DES ALERTES</t>
  </si>
  <si>
    <t>💡 Note : Les cellules Statut (colonne F) changent automatiquement selon les valeurs calculées.</t>
  </si>
  <si>
    <t>⚡ SCORE DE RISQUE GLOBAL</t>
  </si>
  <si>
    <t>MÉTHODOLOGIE COMPLÈTE — ANALYSE FINANCIÈRE &amp; CONTRÔLE DE GESTION</t>
  </si>
  <si>
    <t>Document de référence pour l'interprétation des indicateurs · Exercices 2023-2025 · Devise : EUR</t>
  </si>
  <si>
    <t>1. ARCHITECTURE DU FICHIER — GUIDE DES ONGLETS</t>
  </si>
  <si>
    <t>Onglet</t>
  </si>
  <si>
    <t>Contenu principal</t>
  </si>
  <si>
    <t>Source données</t>
  </si>
  <si>
    <t>Lignes clés</t>
  </si>
  <si>
    <t>Note</t>
  </si>
  <si>
    <t>Données Brutes</t>
  </si>
  <si>
    <t>4 tableaux : T_Bilan · T_CPC · T_Tresorerie · T_Budget</t>
  </si>
  <si>
    <t>Saisie manuelle ou import</t>
  </si>
  <si>
    <t>A1:G85</t>
  </si>
  <si>
    <t>Source primaire — ne pas modifier les en-têtes</t>
  </si>
  <si>
    <t>Ratios &amp; Indicateurs</t>
  </si>
  <si>
    <t>36 ratios financiers + score /100 + feu tricolore</t>
  </si>
  <si>
    <t>Formules → Données Brutes</t>
  </si>
  <si>
    <t>B1:H72</t>
  </si>
  <si>
    <t>Colonne C = 2025 (calcul actif)</t>
  </si>
  <si>
    <t>Analyse Approfondie</t>
  </si>
  <si>
    <t>3 scénarios + waterfall + prévision tréso 12 mois</t>
  </si>
  <si>
    <t>Formules → Ratios + DB</t>
  </si>
  <si>
    <t>B1:O45</t>
  </si>
  <si>
    <t>Modifier les hypothèses scénario en colonnes D/E/F</t>
  </si>
  <si>
    <t>Dashboard Interactif</t>
  </si>
  <si>
    <t>KPIs, radars, tableaux de bord graphiques</t>
  </si>
  <si>
    <t>Formules → Ratios</t>
  </si>
  <si>
    <t>B1:P40</t>
  </si>
  <si>
    <t>Vue synthétique pour direction</t>
  </si>
  <si>
    <t>Benchmark &amp; Alertes</t>
  </si>
  <si>
    <t>10 benchmarks secto + 10 alertes automatiques</t>
  </si>
  <si>
    <t>B1:G35</t>
  </si>
  <si>
    <t>Mettre à jour col. D/E avec données sectorielles récentes</t>
  </si>
  <si>
    <t>Méthodologie</t>
  </si>
  <si>
    <t>Glossaire, formules, normes, hypothèses</t>
  </si>
  <si>
    <t>Manuel</t>
  </si>
  <si>
    <t>Tout</t>
  </si>
  <si>
    <t>Document vivant — compléter à chaque mise à jour</t>
  </si>
  <si>
    <t>2. SOURCES DE DONNÉES &amp; HYPOTHÈSES DE CALCUL</t>
  </si>
  <si>
    <t>Source</t>
  </si>
  <si>
    <t>Utilisation</t>
  </si>
  <si>
    <t>Fiabilité</t>
  </si>
  <si>
    <t>Fréquence MAJ</t>
  </si>
  <si>
    <t>Référence</t>
  </si>
  <si>
    <t>Bilans comptables 2023-2025</t>
  </si>
  <si>
    <t>T_Bilan : actif, passif, capitaux propres</t>
  </si>
  <si>
    <t>Haute — comptes certifiés</t>
  </si>
  <si>
    <t>Annuelle (N+3 mois)</t>
  </si>
  <si>
    <t>Liasse fiscale / Expert-comptable</t>
  </si>
  <si>
    <t>Comptes de résultat 2023-2025</t>
  </si>
  <si>
    <t>T_CPC : produits, charges, SIG</t>
  </si>
  <si>
    <t>Annuelle</t>
  </si>
  <si>
    <t>Liasse fiscale / DAF</t>
  </si>
  <si>
    <t>Tableau de flux de trésorerie</t>
  </si>
  <si>
    <t>T_Tresorerie : flux exploitation/invest./financ.</t>
  </si>
  <si>
    <t>Haute</t>
  </si>
  <si>
    <t>Annexe comptable</t>
  </si>
  <si>
    <t>Budget 2025 validé</t>
  </si>
  <si>
    <t>T_Budget : objectifs CA, charges, CAPEX</t>
  </si>
  <si>
    <t>Moyenne — prévisionnel</t>
  </si>
  <si>
    <t>Semestrielle</t>
  </si>
  <si>
    <t>Direction Financière</t>
  </si>
  <si>
    <t>Données sectorielles</t>
  </si>
  <si>
    <t>Benchmark Alertes : médianes et quartiles</t>
  </si>
  <si>
    <t>Indicative</t>
  </si>
  <si>
    <t>Banque de France / INSEE / Euler Hermes</t>
  </si>
  <si>
    <t>Taux d'imposition (IS)</t>
  </si>
  <si>
    <t>Sur changement légal</t>
  </si>
  <si>
    <t>CGI art. 219 — taux normal 25%</t>
  </si>
  <si>
    <t>3. RATIOS DE LIQUIDITÉ &amp; STRUCTURE DE TRÉSORERIE</t>
  </si>
  <si>
    <t>Formule mathématique</t>
  </si>
  <si>
    <t>Norme sectorielle</t>
  </si>
  <si>
    <t>Interprétation &amp; Signaux d'alerte</t>
  </si>
  <si>
    <t>Liquidité Générale
(Current Ratio)</t>
  </si>
  <si>
    <t>Actif Courant ÷ Passif Courant</t>
  </si>
  <si>
    <t>&gt; 1,5 — Optimal : 1,8 – 2,5</t>
  </si>
  <si>
    <t>POSITIF — L'entreprise peut couvrir ses dettes CT 1,96 fois. En dessous de 1,0 : risque de défaillance. Au-dessus de 3 : actifs courants sous-exploités.</t>
  </si>
  <si>
    <t>Liquidité Réduite
(Quick Ratio / Acid Test)</t>
  </si>
  <si>
    <t>(Actif Courant − Stocks) ÷ Passif Courant</t>
  </si>
  <si>
    <t>&gt; 1,0 — Sectoriel variable</t>
  </si>
  <si>
    <t>POSITIF — Sans les stocks (moins liquides), la couverture reste &gt; 1. Ratio exigeant utilisé par les analystes crédit.</t>
  </si>
  <si>
    <t>Liquidité Immédiate
(Cash Ratio)</t>
  </si>
  <si>
    <t>(Trésorerie + VMP) ÷ Passif Courant</t>
  </si>
  <si>
    <t>&gt; 0,2 — Prudent : 0,3–0,5</t>
  </si>
  <si>
    <t>FORT — Trésorerie couvre 54% du passif courant. Un Cash Ratio &gt; 0,5 signale une bonne réserve de précaution.</t>
  </si>
  <si>
    <t>FRNG
(Fonds de Roulement Net Global)</t>
  </si>
  <si>
    <t>POSITIF — Les ressources stables excèdent les emplois stables de 2,87 M€. Ce surplus finance le BFR. Si &lt; 0 : déséquilibre structurel.</t>
  </si>
  <si>
    <t>BFR
(Besoin en Fonds de Roulement)</t>
  </si>
  <si>
    <t>(Stocks + Créances Clients + Autres AC explo.) − (Dettes Fournisseurs + Dettes Fisc.+Soc. + Autres PC explo.)</t>
  </si>
  <si>
    <t>Positif normal
Objectif : &lt; 45 j de CA</t>
  </si>
  <si>
    <t>CORRECT — BFR représente 34 jours de CA. Un BFR élevé signifie que l'entreprise finance son cycle d'exploitation sur fonds propres.</t>
  </si>
  <si>
    <t>Trésorerie Nette</t>
  </si>
  <si>
    <t>FRNG − BFR</t>
  </si>
  <si>
    <t>&gt; 0 impératif</t>
  </si>
  <si>
    <t>POSITIF — FRNG (2,87 M€) &gt; BFR (1,97 M€). L'excédent de 900 k€ est la trésorerie disponible après couverture du cycle.</t>
  </si>
  <si>
    <t>4. RATIOS DE SOLVABILITÉ, ENDETTEMENT &amp; SCORING ALTMAN</t>
  </si>
  <si>
    <t>Interprétation</t>
  </si>
  <si>
    <t>Ratio Endettement
(Debt-to-Equity)</t>
  </si>
  <si>
    <t>Total Dettes (CT + LT) ÷ Capitaux Propres</t>
  </si>
  <si>
    <t>&lt; 1,0 — Optimal
Acceptable jusqu'à 2,0
&gt; 2,0 = risque solvabilité</t>
  </si>
  <si>
    <t>Autonomie Financière</t>
  </si>
  <si>
    <t>Capitaux Propres ÷ Total Actif</t>
  </si>
  <si>
    <t>&gt; 33% — Optimal : 40–60%</t>
  </si>
  <si>
    <t>FORT — 49% des actifs sont financés en fonds propres. Bonne indépendance vis-à-vis des créanciers.</t>
  </si>
  <si>
    <t>Gearing
(Endettement Net)</t>
  </si>
  <si>
    <t>(Dettes − Trésorerie) ÷ Capitaux Propres</t>
  </si>
  <si>
    <t>&lt; 0,5 — Prudent
Acceptable jusqu'à 1,0</t>
  </si>
  <si>
    <t>ATTENTION — Le gearing dépasse 0,5. Les dettes nettes représentent 76% des CP. Envisager remboursement prioritaire.</t>
  </si>
  <si>
    <t>Capacité Remboursement</t>
  </si>
  <si>
    <t>Dettes Nettes ÷ EBITDA</t>
  </si>
  <si>
    <t>&lt; 3 ans — Standard bancaire</t>
  </si>
  <si>
    <t>EXCELLENT — La dette nette serait remboursée en 1,4 an avec l'EBITDA. &lt; 2 ans = profil très sain pour les banques.</t>
  </si>
  <si>
    <t>Couverture des Intérêts
(Interest Coverage)</t>
  </si>
  <si>
    <t>EBITDA ÷ Charges Financières</t>
  </si>
  <si>
    <t>&gt; 3x — Confort : &gt; 5x
&lt; 1,5 = zone de stress</t>
  </si>
  <si>
    <t>EXCELLENT — L'EBITDA couvre 18,5 fois les charges d'intérêts. Les obligations financières sont très largement couvertes.</t>
  </si>
  <si>
    <t>Dettes LT / Cap. Permanents</t>
  </si>
  <si>
    <t>Dettes Non Courantes ÷ (CP + DNC)</t>
  </si>
  <si>
    <t>POSITIF — Seulement 30% des capitaux permanents sont constitués de dettes LT. Structure équilibrée.</t>
  </si>
  <si>
    <t>ALTMAN Z-Score
(Modèle manufacturier)</t>
  </si>
  <si>
    <t>1,2·(FRNG/Actif) + 1,4·(Réserves/Actif) + 3,3·(EBIT/Actif) + 0,6·(CP/Dettes) + 1,0·(CA/Actif)</t>
  </si>
  <si>
    <t>&gt; 2,99 : Zone Sûre
1,81–2,99 : Zone Grise
&lt; 1,81 : Zone Danger</t>
  </si>
  <si>
    <t>ZONE SÛRE ✅ — Score légèrement au-dessus du seuil de 2,99. Probabilité de défaut faible sur 2 ans. Surveiller X4 (CP/Dettes).</t>
  </si>
  <si>
    <t>5. SOLDES INTERMÉDIAIRES DE GESTION (SIG) — CASCADE DE RÉSULTATS</t>
  </si>
  <si>
    <t>Formule de construction</t>
  </si>
  <si>
    <t>Signification économique</t>
  </si>
  <si>
    <t>Point d'attention</t>
  </si>
  <si>
    <t>CA Net − Achats MP − Variation Stocks</t>
  </si>
  <si>
    <t>Valeur créée après les coûts matières uniquement. Reflète le pricing power.</t>
  </si>
  <si>
    <t>12 870 000 €
(61,3% du CA)</t>
  </si>
  <si>
    <t>Si marge brute baisse : problème d'approvisionnement ou pricing. Surveiller ratio vs concurrents.</t>
  </si>
  <si>
    <t>Valeur Ajoutée (VA)</t>
  </si>
  <si>
    <t>Marge Brute − Autres Achats &amp; Charges Ext.</t>
  </si>
  <si>
    <t>Richesse créée par l'entreprise et redistribuée entre salariés, État et actionnaires.</t>
  </si>
  <si>
    <t>9 670 000 €</t>
  </si>
  <si>
    <t>VA/CA = efficacité économique. Un ratio VA/CA faible indique une forte dépendance aux sous-traitants.</t>
  </si>
  <si>
    <t>VA − Charges de Personnel − Impôts &amp; Taxes</t>
  </si>
  <si>
    <t>Résultat brut d'exploitation avant amort. et provisions. Proxy du cash-flow opérationnel.</t>
  </si>
  <si>
    <t>4 060 000 €
(19,3% du CA)</t>
  </si>
  <si>
    <t>EBITDA est la référence bancaire (covenants). Comparer EBITDA/Charges Fin. (= 18,5x ici, excellent).</t>
  </si>
  <si>
    <t>EBIT (Rex)</t>
  </si>
  <si>
    <t>EBITDA − Dotations Amort. − Dotations Prov.</t>
  </si>
  <si>
    <t>Résultat d'exploitation net des dépréciations. Mesure la performance opérationnelle pure.</t>
  </si>
  <si>
    <t>2 610 000 €
(12,4% du CA)</t>
  </si>
  <si>
    <t>L'écart EBITDA-EBIT (= 1 450 k€) représente les dot. Comparer aux CAPEX pour évaluer la politique d'invest.</t>
  </si>
  <si>
    <t>RCAI
(Résultat Courant Avant IS)</t>
  </si>
  <si>
    <t>EBIT + Produits Fin. − Charges Fin.</t>
  </si>
  <si>
    <t>Résultat récurrent avant fiscalité. Élimine les éléments exceptionnels.</t>
  </si>
  <si>
    <t>2 490 000 €</t>
  </si>
  <si>
    <t>RCAI vs Résultat exceptionnel = qualité du résultat net. Idéalement RCAI proche du Résultat Net.</t>
  </si>
  <si>
    <t>CAF
(Capacité d'Autofinancement)</t>
  </si>
  <si>
    <t>Résultat Net + Dot. Amort. + Dot. Prov.</t>
  </si>
  <si>
    <t>Cash généré par l'activité disponible pour investir, rembourser ou distribuer.</t>
  </si>
  <si>
    <t>2 680 000 €</t>
  </si>
  <si>
    <t>CAF &gt; CAPEX : entreprise autofinance ses investissements. Ici CAF (2,68 M€) &lt; CAPEX (1,70 M€) : sain.</t>
  </si>
  <si>
    <t>6. RATIOS DE RENTABILITÉ — ROE · ROA · ROCE · ANALYSE DUPONT</t>
  </si>
  <si>
    <t>Formule</t>
  </si>
  <si>
    <t>Norme / Benchmark</t>
  </si>
  <si>
    <t>Lecture &amp; Leviers d'action</t>
  </si>
  <si>
    <t>Taux Marge Brute</t>
  </si>
  <si>
    <t>Marge Brute ÷ CA</t>
  </si>
  <si>
    <t>Variable par secteur
Manufacture : 40–65%</t>
  </si>
  <si>
    <t>61,3%</t>
  </si>
  <si>
    <t>Reflète la maîtrise des coûts matières et le pouvoir de pricing. Stable si matières premières bien négociées.</t>
  </si>
  <si>
    <t>Taux Marge EBITDA</t>
  </si>
  <si>
    <t>EBITDA ÷ CA</t>
  </si>
  <si>
    <t>&gt; 15% — Bon : 20–30%
Tech : 30–50%</t>
  </si>
  <si>
    <t>19,3%</t>
  </si>
  <si>
    <t>Mesure l'efficacité opérationnelle brute. En hausse sur 3 ans = bonne gestion des charges opérationnelles.</t>
  </si>
  <si>
    <t>Taux Marge Opérationnelle
(EBIT Margin)</t>
  </si>
  <si>
    <t>EBIT ÷ CA</t>
  </si>
  <si>
    <t>&gt; 8% — Bon : 10–15%</t>
  </si>
  <si>
    <t>12,4%</t>
  </si>
  <si>
    <t>Intègre les amortissements. Comparer à la médiane sectorielle. Levier : réduire les dot. amort. via CAPEX optimisé.</t>
  </si>
  <si>
    <t>Taux Marge Nette
(Net Margin)</t>
  </si>
  <si>
    <t>Résultat Net ÷ CA</t>
  </si>
  <si>
    <t>&gt; 5% — Bon : 7–12%</t>
  </si>
  <si>
    <t>5,2%</t>
  </si>
  <si>
    <t>Marge nette modeste vs opérationnelle (écart = charges fin. + IS). Levier : renégocier emprunts ou optimiser IS.</t>
  </si>
  <si>
    <t>ROE
(Return on Equity)</t>
  </si>
  <si>
    <t>Résultat Net ÷ Capitaux Propres</t>
  </si>
  <si>
    <t>&gt; 12% — Excellent : &gt; 15%
Réf. coût des CP = 8-12%</t>
  </si>
  <si>
    <t>14,6%</t>
  </si>
  <si>
    <t>Supérieur au coût théorique des fonds propres (8-10%). La décomposition DuPont révèle les 3 leviers.</t>
  </si>
  <si>
    <t>ROA
(Return on Assets)</t>
  </si>
  <si>
    <t>Résultat Net ÷ Total Actif</t>
  </si>
  <si>
    <t>&gt; 5% — Industriel : 3–8%</t>
  </si>
  <si>
    <t>7,2%</t>
  </si>
  <si>
    <t>Bonne efficacité d'utilisation des actifs totaux. Compare favorablement avec le coût de la dette (≈ 1–3%).</t>
  </si>
  <si>
    <t>ROCE
(Return on Capital Employed)</t>
  </si>
  <si>
    <t>EBIT × (1 − IS%) ÷ (CP + DNC)</t>
  </si>
  <si>
    <t>Doit dépasser le WACC
Secteur : 8–15%</t>
  </si>
  <si>
    <t>18,3%</t>
  </si>
  <si>
    <t>ROCE &gt; WACC signifie que l'entreprise crée de la valeur. La différence ROCE − WACC = Economic Profit.</t>
  </si>
  <si>
    <t>DuPont ROE
(décomposition 3 facteurs)</t>
  </si>
  <si>
    <t>Marge Nette × Rotation Actifs × Levier Financier
= 5,2% × 1,37 × 2,03</t>
  </si>
  <si>
    <t>Vérification algébrique
doit = ROE (14,6%)</t>
  </si>
  <si>
    <t>Levier 1 — Marge Nette (5,2%) : améliorer prix ou réduire coûts. Levier 2 — Rotation (1,37x) : optimiser actifs. Levier 3 — Levier Fin. (2,03x) : choisir le financement.</t>
  </si>
  <si>
    <t>7. RATIOS D'EFFICACITÉ — ROTATIONS &amp; CYCLE DE CONVERSION (CCC)</t>
  </si>
  <si>
    <t>Impact &amp; Actions</t>
  </si>
  <si>
    <t>DSO — Days Sales Outstanding
(Délai de règlement clients)</t>
  </si>
  <si>
    <t>Créances Clients ÷ CA × 365</t>
  </si>
  <si>
    <t>&lt; 45 jours
Objectif : 30–40 j</t>
  </si>
  <si>
    <t>48,7 jours</t>
  </si>
  <si>
    <t>ATTENTION — Au-dessus de 45 j. Chaque jour de DSO supplémentaire = 21 000 € / j immobilisés (CA/365). Actions : relance proactive, escompte de règlement, affacturage.</t>
  </si>
  <si>
    <t>DIO — Days Inventory Outstanding
(Durée de rotation des stocks)</t>
  </si>
  <si>
    <t>Stocks Totaux ÷ Achats × 365</t>
  </si>
  <si>
    <t>&lt; 60 jours
Objectif : 30–45 j</t>
  </si>
  <si>
    <t>97,4 jours</t>
  </si>
  <si>
    <t>ÉLEVÉ — 97 jours de stock est long. Immobilisation importante de trésorerie. Actions : méthode FIFO rigoureuse, réduction des encours, lean manufacturing.</t>
  </si>
  <si>
    <t>DPO — Days Payable Outstanding
(Délai de paiement fournisseurs)</t>
  </si>
  <si>
    <t>Dettes Fournisseurs ÷ Achats × 365</t>
  </si>
  <si>
    <t>&gt; 30 jours
Optimal : 45–60 j</t>
  </si>
  <si>
    <t>94,3 jours</t>
  </si>
  <si>
    <t>FORT — DPO élevé : l'entreprise conserve la trésorerie longtemps. Attention aux relations fournisseurs et aux pénalités légales (LME : max 60 j ou 45 j fin de mois).</t>
  </si>
  <si>
    <t>CCC — Cash Conversion Cycle
(Cycle de conversion de trésorerie)</t>
  </si>
  <si>
    <t>DSO + DIO − DPO
= 48,7 + 97,4 − 94,3</t>
  </si>
  <si>
    <t>&lt; 60 jours
Excellent : &lt; 30 j</t>
  </si>
  <si>
    <t>51,8 jours</t>
  </si>
  <si>
    <t>POSITIF — CCC de 52 jours est correct grâce à un DPO élevé qui compense le long DIO. Amazon : CCC négatif (encaisse avant de payer). Objectif : réduire DIO.</t>
  </si>
  <si>
    <t>Rotation des Actifs</t>
  </si>
  <si>
    <t>CA ÷ Total Actif</t>
  </si>
  <si>
    <t>&gt; 1,0x
Industriel : 0,8–1,5x</t>
  </si>
  <si>
    <t>1,37x</t>
  </si>
  <si>
    <t>BON — Le CA représente 1,37 fois les actifs. Chaque euro d'actif génère 1,37 € de CA. Levier d'amélioration : céder les actifs non productifs.</t>
  </si>
  <si>
    <t>8. CONTRÔLE DE GESTION — SEUIL DE RENTABILITÉ · LEVIERS · CAF</t>
  </si>
  <si>
    <t>Formule &amp; Hypothèse</t>
  </si>
  <si>
    <t>Lecture opérationnelle</t>
  </si>
  <si>
    <t>Charges Variables (CV)</t>
  </si>
  <si>
    <t>Achats MP + Variation Stocks
= charges qui varient avec le volume</t>
  </si>
  <si>
    <t>Hypothèse modèle :
seules les MP sont variables</t>
  </si>
  <si>
    <t>8 130 000 €
(38,7% du CA)</t>
  </si>
  <si>
    <t>Simplification comptable. En pratique, une partie des charges externes peut être variable (transport, emballage, etc.).</t>
  </si>
  <si>
    <t>Taux de Marge sur Coût Variable
(MCV)</t>
  </si>
  <si>
    <t>(CA − CV) ÷ CA</t>
  </si>
  <si>
    <t>Objectif : &gt; 50%
Variation = élasticité</t>
  </si>
  <si>
    <t>Chaque euro de CA libère 0,61 € pour couvrir les charges fixes et générer du résultat. Plus la MCV est haute, plus l'entreprise résiste à une baisse de CA.</t>
  </si>
  <si>
    <t>Seuil de Rentabilité (SR)
(Point Mort en €)</t>
  </si>
  <si>
    <t>Charges Fixes ÷ Taux MCV
= 10 510 000 ÷ 61,3%</t>
  </si>
  <si>
    <t>Idéal &lt; 80% du CA réel</t>
  </si>
  <si>
    <t>17 149 184 €
(81,7% du CA)</t>
  </si>
  <si>
    <t>L'entreprise doit réaliser 17,1 M€ de CA pour couvrir tous ses coûts. Avec un CA de 21 M€, la marge de sécurité est de 3,85 M€.</t>
  </si>
  <si>
    <t>Point Mort (jours)</t>
  </si>
  <si>
    <t>SR ÷ CA × 365
= 17 149 184 ÷ 21 000 000 × 365</t>
  </si>
  <si>
    <t>&lt; 270 j (3e trimestre)
Optimal : avant le 1er août</t>
  </si>
  <si>
    <t>298 jours
(24 octobre)</t>
  </si>
  <si>
    <t>L'entreprise atteint son équilibre vers le 24 octobre. Laisse seulement 67 jours de marge en fin d'année. Objectif : ramener en dessous de 270 j.</t>
  </si>
  <si>
    <t>Marge de Sécurité (MS)</t>
  </si>
  <si>
    <t>CA Réel − Seuil de Rentabilité
= 21 000 000 − 17 149 184</t>
  </si>
  <si>
    <t>&gt; 15% du CA = robuste</t>
  </si>
  <si>
    <t>3 850 816 €
(18,3% du CA)</t>
  </si>
  <si>
    <t>18,3% de marge de sécurité : une baisse de CA &gt; 18% mettrait l'entreprise en déficit. Surveiller lors des scénarios de stress.</t>
  </si>
  <si>
    <t>Levier Opérationnel (DOL)</t>
  </si>
  <si>
    <t>Marge Brute ÷ EBIT
= 12 870 000 ÷ 2 610 000</t>
  </si>
  <si>
    <t>Info qualitative :
haut = risque + potentiel</t>
  </si>
  <si>
    <t>4,93x</t>
  </si>
  <si>
    <t>Un DOL de 4,93 signifie qu'une hausse de CA de 10% entraîne une hausse de résultat de 49,3%. Mais inversement, une baisse de 10% du CA = −49,3% de résultat. Structure à charges fixes élevées.</t>
  </si>
  <si>
    <t>Résultat Net + Dot. Amort. + Dot. Prov.
= 1 100 000 + 1 400 000 + 180 000</t>
  </si>
  <si>
    <t>CAF &gt; CAPEX = autofinancement
CAF × Payout = dividendes viables</t>
  </si>
  <si>
    <t>La CAF finance : CAPEX (1,70 M€), remboursement emprunt (0,40 M€), dividendes (0,40 M€). Total besoins = 2,5 M€. CAF couvre largement — free cash flow positif.</t>
  </si>
  <si>
    <t>Payout Ratio
(Taux de distribution)</t>
  </si>
  <si>
    <t>Dividendes Versés ÷ Résultat Net
= 400 000 ÷ 1 100 000</t>
  </si>
  <si>
    <t>&lt; 70% — Sain
&gt; 100% = insoutenable</t>
  </si>
  <si>
    <t>36,4%</t>
  </si>
  <si>
    <t>Distribution prudente de 36% des bénéfices. Le solde (63,6%) est mis en réserve pour financer la croissance. Politique de dividende viable.</t>
  </si>
  <si>
    <t>9. GRILLE DE SCORING FINANCIER /100 — MÉTHODOLOGIE &amp; BARÈME</t>
  </si>
  <si>
    <t>Indicateurs retenus</t>
  </si>
  <si>
    <t>Barème de points</t>
  </si>
  <si>
    <t>Score max</t>
  </si>
  <si>
    <t>Interprétation du score global</t>
  </si>
  <si>
    <t>Score Liquidité
(max : 40 pts)</t>
  </si>
  <si>
    <t>Liquidité Générale :
≥ 2,0 → 25 pts · ≥ 1,5 → 20 pts · ≥ 1,0 → 15 pts · ≥ 0,8 → 8 pts</t>
  </si>
  <si>
    <t>Quick Ratio :
≥ 1,0 → 25 pts · ≥ 0,8 → 20 pts · ≥ 0,5 → 12 pts</t>
  </si>
  <si>
    <t>50 pts</t>
  </si>
  <si>
    <t>2025 : 45/50 — Excellent</t>
  </si>
  <si>
    <t>Score Solvabilité
(max : 50 pts)</t>
  </si>
  <si>
    <t>Autonomie Financière :
≥ 40% → 15 pts · ≥ 30% → 10 pts · ≥ 20% → 5 pts</t>
  </si>
  <si>
    <t>Altman + Couverture intérêts :
&gt; 2,99 → 20 pts · &gt; 1,81 → 12 pts · Couverture ≥ 5x → 15 pts</t>
  </si>
  <si>
    <t>2025 : 50/50 — Maximum atteint</t>
  </si>
  <si>
    <t>Score Rentabilité
(max : 25 pts)</t>
  </si>
  <si>
    <t>ROE : ≥ 15% → 15 pts · ≥ 10% → 12 pts · ≥ 5% → 8 pts
Marge Nette : ≥ 8% → 10 pts · ≥ 5% → 8 pts · ≥ 2% → 5 pts</t>
  </si>
  <si>
    <t>Total max = 25 pts</t>
  </si>
  <si>
    <t>25 pts</t>
  </si>
  <si>
    <t>2025 : 20/25 — Bon</t>
  </si>
  <si>
    <t>Grille d'interprétation du Score Global /100</t>
  </si>
  <si>
    <t>≥ 75 / 100</t>
  </si>
  <si>
    <r>
      <rPr>
        <sz val="11"/>
        <color theme="9" tint="-0.249977111117893"/>
        <rFont val="Aptos Narrow"/>
        <family val="2"/>
        <scheme val="minor"/>
      </rPr>
      <t>🟢</t>
    </r>
    <r>
      <rPr>
        <sz val="11"/>
        <color theme="1"/>
        <rFont val="Aptos Narrow"/>
        <family val="2"/>
        <scheme val="minor"/>
      </rPr>
      <t xml:space="preserve"> VERT</t>
    </r>
  </si>
  <si>
    <t>Entreprise en bonne santé financière</t>
  </si>
  <si>
    <t>Maintenir la trajectoire — surveiller le DIO</t>
  </si>
  <si>
    <t>Accès aux financements facilité, notation crédit favorable</t>
  </si>
  <si>
    <t>50 – 74 / 100</t>
  </si>
  <si>
    <r>
      <rPr>
        <sz val="11"/>
        <color rgb="FFFFC000"/>
        <rFont val="Aptos Narrow"/>
        <family val="2"/>
        <scheme val="minor"/>
      </rPr>
      <t>🟠</t>
    </r>
    <r>
      <rPr>
        <sz val="11"/>
        <color theme="1"/>
        <rFont val="Aptos Narrow"/>
        <family val="2"/>
        <scheme val="minor"/>
      </rPr>
      <t xml:space="preserve"> ORANGE</t>
    </r>
  </si>
  <si>
    <t>Vigilance requise — fragilités identifiées</t>
  </si>
  <si>
    <t>Plan d'amélioration sur 1–2 ratios prioritaires</t>
  </si>
  <si>
    <t>Surveiller covenants bancaires — préparer justifications</t>
  </si>
  <si>
    <t>&lt; 50 / 100</t>
  </si>
  <si>
    <r>
      <rPr>
        <sz val="11"/>
        <color rgb="FFFF0000"/>
        <rFont val="Aptos Narrow"/>
        <family val="2"/>
        <scheme val="minor"/>
      </rPr>
      <t xml:space="preserve">🔴 </t>
    </r>
    <r>
      <rPr>
        <sz val="11"/>
        <color theme="1"/>
        <rFont val="Aptos Narrow"/>
        <family val="2"/>
        <scheme val="minor"/>
      </rPr>
      <t>ROUGE</t>
    </r>
  </si>
  <si>
    <t>Risques significatifs — action urgente</t>
  </si>
  <si>
    <t>Plan de redressement — consultation expert</t>
  </si>
  <si>
    <t>Risque de défaillance — contacter créanciers</t>
  </si>
  <si>
    <t>10. GLOSSAIRE FINANCIER — DÉFINITIONS ESSENTIELLES</t>
  </si>
  <si>
    <t>Terme</t>
  </si>
  <si>
    <t>Définition complète</t>
  </si>
  <si>
    <t>Acronyme / Synonyme</t>
  </si>
  <si>
    <t>Usage dans ce fichier</t>
  </si>
  <si>
    <t>Ensemble des actifs qui seront convertis en liquidités dans les 12 prochains mois : stocks, créances clients, trésorerie, VMP.</t>
  </si>
  <si>
    <t>AC — Short-term assets</t>
  </si>
  <si>
    <t>C4 (Ratios)</t>
  </si>
  <si>
    <t>Capital Expenditures : dépenses d'investissement en actifs immobilisés (machines, bâtiments, brevets). Ne passe pas par le compte de résultat.</t>
  </si>
  <si>
    <t>Investissements</t>
  </si>
  <si>
    <t>T_Tresorerie ligne 9</t>
  </si>
  <si>
    <t>Covenant</t>
  </si>
  <si>
    <t>Clause contractuelle bancaire exigeant le respect de ratios financiers minimum (ex : D/E &lt; 2, EBITDA/Intérêts &gt; 3x). Déclencheur de remboursement anticipé si violé.</t>
  </si>
  <si>
    <t>Ratio covenant</t>
  </si>
  <si>
    <t>Earnings Before Interest, Taxes, Depreciation and Amortization. Équivalent français : EBE (Excédent Brut d'Exploitation). Proxy standard du cash-flow opérationnel.</t>
  </si>
  <si>
    <t>EBE — Résultat brut d'exploit.</t>
  </si>
  <si>
    <t>C26 (Ratios)</t>
  </si>
  <si>
    <t>Earnings Before Interest and Taxes. Résultat d'exploitation = EBITDA − Dotations amortissements. Mesure la performance opérationnelle nette des dépréciations.</t>
  </si>
  <si>
    <t>Rex — Résultat opérationnel</t>
  </si>
  <si>
    <t>C30 (Ratios)</t>
  </si>
  <si>
    <t>Free Cash Flow (FCF)</t>
  </si>
  <si>
    <t>CAF − CAPEX nets. Flux de trésorerie libre disponible pour rembourser les dettes, verser des dividendes ou investir.</t>
  </si>
  <si>
    <t>FCF — Trésorerie libre</t>
  </si>
  <si>
    <t>Gearing</t>
  </si>
  <si>
    <t>Ratio d'endettement net rapporté aux fonds propres : (Dettes Fin. − Trésorerie) / CP. Mesure l'effet de levier net.</t>
  </si>
  <si>
    <t>Endettement net / CP</t>
  </si>
  <si>
    <t>C25 (Ratios)</t>
  </si>
  <si>
    <t>ROCE</t>
  </si>
  <si>
    <t>Return on Capital Employed. Rentabilité économique nette d'IS des capitaux investis (CP + DNC). Doit dépasser le WACC.</t>
  </si>
  <si>
    <t>Rentabilité économique</t>
  </si>
  <si>
    <t>C41 (Ratios)</t>
  </si>
  <si>
    <t>WACC</t>
  </si>
  <si>
    <t>Weighted Average Cost of Capital. Coût moyen pondéré du capital : mix entre coût des fonds propres (dividendes + croissance) et coût de la dette after tax.</t>
  </si>
  <si>
    <t>Coût du capital</t>
  </si>
  <si>
    <t>Référence ROCE</t>
  </si>
  <si>
    <t>Working Capital
(BFR)</t>
  </si>
  <si>
    <t>Besoin de financement du cycle exploitation = AC explo. − PC explo. En hausse : l'entreprise a besoin de plus de cash pour fonctionner.</t>
  </si>
  <si>
    <t>BFR — NWC</t>
  </si>
  <si>
    <t>C17 (Ratios)</t>
  </si>
  <si>
    <t>Z-Score Altman</t>
  </si>
  <si>
    <t>Modèle prédictif de défaillance à 2 ans créé par Edward Altman (1968) pour les entreprises manufacturières cotées. Adapté depuis pour non-cotées (Z' score).</t>
  </si>
  <si>
    <t>Proba. de défaut</t>
  </si>
  <si>
    <t>C31 (Ratios)</t>
  </si>
  <si>
    <t>11. LIMITES DU MODÈLE, HYPOTHÈSES &amp; AVERTISSEMENTS</t>
  </si>
  <si>
    <t>Hypothèses simplificatrices</t>
  </si>
  <si>
    <t>Les charges variables sont limitées aux Achats Matières + Variation Stocks. En réalité, certaines charges externes (transport, commissions) sont également variables. Pour une analyse coûts-volumes-profits précise, une comptabilité analytique détaillée est nécessaire.</t>
  </si>
  <si>
    <t>Modèle Altman — applicabilité</t>
  </si>
  <si>
    <t>Le Z-Score original (1968) est calibré sur des entreprises manufacturières américaines cotées. Pour les PME non cotées, utiliser le Z'-Score (coefficients différents) ou le Z''-Score (secteurs services). Résultat indicatif uniquement.</t>
  </si>
  <si>
    <t>Les médianes et quartiles du Benchmark proviennent d'estimations. Pour une analyse rigoureuse, utiliser les bases de données Banque de France (FIBEN), Euler Hermes ou votre expert-comptable.</t>
  </si>
  <si>
    <t>Le taux de 25% est le taux légal standard français (loi de finances 2022). En cas de régime réduit (PME bénéfice &lt; 42 500 €) ou de crédits d'impôt (CIR, CII), ajuster le taux effectif dans la cellule ROCE.</t>
  </si>
  <si>
    <t>Prévision tréso 12 mois</t>
  </si>
  <si>
    <t>Les coefficients de saisonnalité sont des hypothèses standard. À calibrer avec les données historiques mensuelles de l'entreprise pour plus de précision.</t>
  </si>
  <si>
    <t>12. CALENDRIER DE MISE À JOUR RECOMMANDÉ</t>
  </si>
  <si>
    <t>Fréquence</t>
  </si>
  <si>
    <t>Action</t>
  </si>
  <si>
    <t>Onglet(s) concerné(s)</t>
  </si>
  <si>
    <t>Responsable</t>
  </si>
  <si>
    <t>Durée estimée</t>
  </si>
  <si>
    <t>Mensuel</t>
  </si>
  <si>
    <t>Mise à jour trésorerie réelle vs prévision</t>
  </si>
  <si>
    <t>Analyse Approfondie (cash flow 12 mois)</t>
  </si>
  <si>
    <t>DAF / Contrôleur de gestion</t>
  </si>
  <si>
    <t>30 min</t>
  </si>
  <si>
    <t>Trimestriel</t>
  </si>
  <si>
    <t>Actualisation ratios avec reporting trimestriel</t>
  </si>
  <si>
    <t>Données Brutes · Ratios · Dashboard</t>
  </si>
  <si>
    <t>Contrôleur de gestion</t>
  </si>
  <si>
    <t>2–3 h</t>
  </si>
  <si>
    <t>Semestriel</t>
  </si>
  <si>
    <t>Révision données sectorielles benchmark</t>
  </si>
  <si>
    <t>Benchmark &amp; Alertes (col. D et E)</t>
  </si>
  <si>
    <t>Analyste financier</t>
  </si>
  <si>
    <t>1 h</t>
  </si>
  <si>
    <t>Annuel (N+3 mois)</t>
  </si>
  <si>
    <t>Mise à jour complète avec comptes certifiés</t>
  </si>
  <si>
    <t>Tous les onglets</t>
  </si>
  <si>
    <t>DAF + Expert-comptable</t>
  </si>
  <si>
    <t>1 journée</t>
  </si>
  <si>
    <t>Sur événement</t>
  </si>
  <si>
    <t>Modification hypothèses scénarios (acquisition, crise, choc MP)</t>
  </si>
  <si>
    <t>Analyse Approfondie + Scénarios</t>
  </si>
  <si>
    <t>DAF / Direction</t>
  </si>
  <si>
    <t>2–4 h</t>
  </si>
  <si>
    <t>Document généré automatiquement · Analyse Financière &amp; Contrôle de Gestion · Exercices 2023-2025 · Révision annuelle recommandée</t>
  </si>
  <si>
    <t>AUTOMATISATION FEC — GUIDE POWER QUERY (Import Fichier Ecritures Comptables)</t>
  </si>
  <si>
    <t>ETAPE 1 : PREPARER LE FICHIER FEC</t>
  </si>
  <si>
    <t>Le FEC est un fichier .txt delimiter par | (pipe) ou tabulation, genere par votre logiciel comptable.</t>
  </si>
  <si>
    <t>Colonnes obligatoires FEC (Art. 19 LPF): JournalCode | JournalLib | EcritureNum | EcritureDate | CompteNum | CompteLib | CompAuxNum | CompAuxLib | PieceRef | PieceDate | EcritureLib | Debit | Credit | EcritureLet | DateLet | ValidDate | Montantdevise | Idevise</t>
  </si>
  <si>
    <t>ETAPE 2 : REQUETE POWER QUERY — Coller ce code dans l Editeur Avance de Power Query</t>
  </si>
  <si>
    <t>let</t>
  </si>
  <si>
    <t xml:space="preserve">    // CONFIGURER : Modifier le chemin du fichier FEC</t>
  </si>
  <si>
    <t xml:space="preserve">    CheminFEC = "C:\MonDossier\FEC_SIRET_2025.txt",</t>
  </si>
  <si>
    <t xml:space="preserve">    </t>
  </si>
  <si>
    <t xml:space="preserve">    // Importer le fichier texte delimite par pipe</t>
  </si>
  <si>
    <t xml:space="preserve">    Source = Csv.Document(File.Contents(CheminFEC), [Delimiter="|", Encoding=1252, QuoteStyle=QuoteStyle.None]),</t>
  </si>
  <si>
    <t xml:space="preserve">    // Promouvoir la premiere ligne en en-tetes</t>
  </si>
  <si>
    <t xml:space="preserve">    Entetes = Table.PromoteHeaders(Source, [PromoteAllScalars=true]),</t>
  </si>
  <si>
    <t xml:space="preserve">    // Convertir les types de colonnes</t>
  </si>
  <si>
    <t xml:space="preserve">    TypesConvertis = Table.TransformColumnTypes(Entetes, {</t>
  </si>
  <si>
    <t xml:space="preserve">        {"JournalCode", type text}, {"EcritureDate", type date},</t>
  </si>
  <si>
    <t xml:space="preserve">        {"CompteNum", type text}, {"Debit", type number}, {"Credit", type number}</t>
  </si>
  <si>
    <t xml:space="preserve">    }),</t>
  </si>
  <si>
    <t xml:space="preserve">    // Ajouter colonne Sens (Debit/Credit)</t>
  </si>
  <si>
    <t xml:space="preserve">    AvecSens = Table.AddColumn(TypesConvertis, "Sens", each if [Debit] &gt; 0 then "Debit" else "Credit"),</t>
  </si>
  <si>
    <t xml:space="preserve">    // Ajouter colonne Montant net (Debit - Credit)</t>
  </si>
  <si>
    <t xml:space="preserve">    AvecMontant = Table.AddColumn(AvecSens, "MontantNet", each [Debit] - [Credit], type number),</t>
  </si>
  <si>
    <t xml:space="preserve">    // Ajouter colonne Classe compte (1er chiffre)</t>
  </si>
  <si>
    <t xml:space="preserve">    AvecClasse = Table.AddColumn(AvecMontant, "ClasseCompte", each Text.Start([CompteNum], 1)),</t>
  </si>
  <si>
    <t xml:space="preserve">    // Ajouter colonne Type (BILAN vs GESTION)</t>
  </si>
  <si>
    <t xml:space="preserve">    AvecType = Table.AddColumn(AvecClasse, "TypeCompte",</t>
  </si>
  <si>
    <t xml:space="preserve">        each if [ClasseCompte] &gt;= "1" and [ClasseCompte] &lt;= "5" then "BILAN"</t>
  </si>
  <si>
    <t xml:space="preserve">             else if [ClasseCompte] &gt;= "6" and [ClasseCompte] &lt;= "7" then "GESTION"</t>
  </si>
  <si>
    <t xml:space="preserve">             else "HORS-BILAN"),</t>
  </si>
  <si>
    <t xml:space="preserve">    // MAPPING vers Donnees Brutes : Filtrer les comptes cles</t>
  </si>
  <si>
    <t xml:space="preserve">    // Classe 7 = Produits → CA net (compte 706 ou 707)</t>
  </si>
  <si>
    <t xml:space="preserve">    // Classe 6 = Charges → Achats, Personnel, etc.</t>
  </si>
  <si>
    <t xml:space="preserve">    // Classe 1-2 = Capitaux &amp; Immobilisations</t>
  </si>
  <si>
    <t xml:space="preserve">    // Classe 3 = Stocks, Classe 4 = Tiers, Classe 5 = Tresorerie</t>
  </si>
  <si>
    <t xml:space="preserve">    MappingFEC = Table.AddColumn(AvecType, "PosteDonneesBrutes",</t>
  </si>
  <si>
    <t xml:space="preserve">        each if Text.StartsWith([CompteNum], "706") or Text.StartsWith([CompteNum], "707") then "Chiffre d affaires net"</t>
  </si>
  <si>
    <t xml:space="preserve">             else if Text.StartsWith([CompteNum], "601") then "Achats matieres premieres"</t>
  </si>
  <si>
    <t xml:space="preserve">             else if Text.StartsWith([CompteNum], "64") then "Charges de personnel"</t>
  </si>
  <si>
    <t xml:space="preserve">             else if Text.StartsWith([CompteNum], "68") then "Dotations amortissements"</t>
  </si>
  <si>
    <t xml:space="preserve">             else if Text.StartsWith([CompteNum], "661") then "Charges financieres"</t>
  </si>
  <si>
    <t xml:space="preserve">             else if Text.StartsWith([CompteNum], "695") then "Impot sur les societes"</t>
  </si>
  <si>
    <t xml:space="preserve">             else "Autres"),</t>
  </si>
  <si>
    <t xml:space="preserve">    // Aggregation par Poste Donnees Brutes</t>
  </si>
  <si>
    <t xml:space="preserve">    Agregation = Table.Group(MappingFEC, {"PosteDonneesBrutes"}, {</t>
  </si>
  <si>
    <t xml:space="preserve">        {"TotalDebit", each List.Sum([Debit]), type number},</t>
  </si>
  <si>
    <t xml:space="preserve">        {"TotalCredit", each List.Sum([Credit]), type number},</t>
  </si>
  <si>
    <t xml:space="preserve">        {"NbEcritures", each Table.RowCount(_), type number}</t>
  </si>
  <si>
    <t xml:space="preserve">    ResultatFinal = Agregation</t>
  </si>
  <si>
    <t>in</t>
  </si>
  <si>
    <t xml:space="preserve">    ResultatFinal</t>
  </si>
  <si>
    <t>ETAPE 3 : CHARGER DANS DONNEES BRUTES</t>
  </si>
  <si>
    <t>Apres avoir execute la requete Power Query, utiliser "Charger dans..." et cibler la plage E35 de l onglet Donnees Brutes.</t>
  </si>
  <si>
    <t>Verifier la correspondance des postes via la colonne PosteDonneesBrutes avant de valider.</t>
  </si>
  <si>
    <t>CONTROLES POST-IMPORT</t>
  </si>
  <si>
    <t>1. Verifier que Total Actif = Total Passif (cellule H27 de Donnees Brutes doit etre = 0)</t>
  </si>
  <si>
    <t>2. Controler le CA FEC vs CA declare (tolerance &lt; 0,1%)</t>
  </si>
  <si>
    <t>3. Valider les charges de personnel vs DADS</t>
  </si>
  <si>
    <t xml:space="preserve">  GESTION DES STOCKS — Analyse detaillee</t>
  </si>
  <si>
    <t>Methode de valorisation :</t>
  </si>
  <si>
    <t>CUMP</t>
  </si>
  <si>
    <t>Unite :</t>
  </si>
  <si>
    <t>EUR</t>
  </si>
  <si>
    <t>Exercice :</t>
  </si>
  <si>
    <t>N</t>
  </si>
  <si>
    <t>LIFO interdit en IFRS (IAS 2) et PCG francais — presente ici a titre comparatif uniquement. Reference : IAS 2.25 / PCG art. 321-22</t>
  </si>
  <si>
    <t>Ref. Article</t>
  </si>
  <si>
    <t>Categorie</t>
  </si>
  <si>
    <t>SI Qte</t>
  </si>
  <si>
    <t>SI Valeur (EUR)</t>
  </si>
  <si>
    <t>Entrees Qte</t>
  </si>
  <si>
    <t>Entrees Val (EUR)</t>
  </si>
  <si>
    <t>Sorties Qte</t>
  </si>
  <si>
    <t>Sorties Val (EUR)</t>
  </si>
  <si>
    <t>SF Qte</t>
  </si>
  <si>
    <t>SF Valeur (EUR)</t>
  </si>
  <si>
    <t>VNR (EUR)</t>
  </si>
  <si>
    <t>Prov. Deprec. (EUR)</t>
  </si>
  <si>
    <t>MP-001</t>
  </si>
  <si>
    <t>Matieres premieres</t>
  </si>
  <si>
    <t>MP-002</t>
  </si>
  <si>
    <t>MP-003</t>
  </si>
  <si>
    <t>MP-004</t>
  </si>
  <si>
    <t>EC-001</t>
  </si>
  <si>
    <t>En-cours</t>
  </si>
  <si>
    <t>EC-002</t>
  </si>
  <si>
    <t>PF-001</t>
  </si>
  <si>
    <t>Produits finis</t>
  </si>
  <si>
    <t>PF-002</t>
  </si>
  <si>
    <t>PF-003</t>
  </si>
  <si>
    <t>PF-004</t>
  </si>
  <si>
    <t>MA-001</t>
  </si>
  <si>
    <t>Marchandises</t>
  </si>
  <si>
    <t>MA-002</t>
  </si>
  <si>
    <t>MA-003</t>
  </si>
  <si>
    <t>MA-004</t>
  </si>
  <si>
    <t>MA-005</t>
  </si>
  <si>
    <t>Total Matieres premieres</t>
  </si>
  <si>
    <t>Total En-cours</t>
  </si>
  <si>
    <t>Total Produits finis</t>
  </si>
  <si>
    <t>Total Marchandises</t>
  </si>
  <si>
    <t>TOTAL GENERAL STOCKS</t>
  </si>
  <si>
    <t>Controle inventaire permanent :</t>
  </si>
  <si>
    <t>Verification : SF = SI + Entrees - Sorties</t>
  </si>
  <si>
    <t>Ecart vs Donnees Brutes :</t>
  </si>
  <si>
    <t>Lier J28 a Donnees Brutes (Stocks actif circulant)</t>
  </si>
  <si>
    <t xml:space="preserve">  COMPARAISON DES METHODES DE VALORISATION — Article MP-001 (7 mouvements)</t>
  </si>
  <si>
    <t>METHODE CUMP (Cout Unitaire Moyen Pondere)</t>
  </si>
  <si>
    <t>Libelle</t>
  </si>
  <si>
    <t>Qte</t>
  </si>
  <si>
    <t>PU (EUR)</t>
  </si>
  <si>
    <t>Montant (EUR)</t>
  </si>
  <si>
    <t>Stock Qte</t>
  </si>
  <si>
    <t>Stock Val (EUR)</t>
  </si>
  <si>
    <t>CUMP (EUR)</t>
  </si>
  <si>
    <t>01/01</t>
  </si>
  <si>
    <t>Stock initial</t>
  </si>
  <si>
    <t>15/02</t>
  </si>
  <si>
    <t>Achat lot 1</t>
  </si>
  <si>
    <t>20/03</t>
  </si>
  <si>
    <t>Sortie production</t>
  </si>
  <si>
    <t>10/05</t>
  </si>
  <si>
    <t>Achat lot 2</t>
  </si>
  <si>
    <t>15/07</t>
  </si>
  <si>
    <t>01/09</t>
  </si>
  <si>
    <t>Achat lot 3</t>
  </si>
  <si>
    <t>25/10</t>
  </si>
  <si>
    <t>31/12</t>
  </si>
  <si>
    <t>STOCK FINAL</t>
  </si>
  <si>
    <t>Formule : CUMP = (Stock Valeur avant + Entree Valeur) / (Stock Qte avant + Entree Qte) — Le CUMP ne change qu aux ENTREES</t>
  </si>
  <si>
    <t>METHODE FIFO (First In, First Out — Premier Entre, Premier Sorti)</t>
  </si>
  <si>
    <t>Detail lots consommes</t>
  </si>
  <si>
    <t>Cout sortie (EUR)</t>
  </si>
  <si>
    <t>Composition stock</t>
  </si>
  <si>
    <t>5000x12,50</t>
  </si>
  <si>
    <t>5000x12,50 + 4000x13,20</t>
  </si>
  <si>
    <t>3500x12,50 (lot SI)</t>
  </si>
  <si>
    <t>1500x12,50 + 4000x13,20</t>
  </si>
  <si>
    <t>1500x12,50 + 4000x13,20 + 4500x13,50</t>
  </si>
  <si>
    <t>1500x12,50 + 2700x13,20</t>
  </si>
  <si>
    <t>1300x13,20 + 4500x13,50</t>
  </si>
  <si>
    <t>1300x13,20 + 4500x13,50 + 3500x12,80</t>
  </si>
  <si>
    <t>1300x13,20 + 2500x13,50</t>
  </si>
  <si>
    <t>2000x13,50 + 3500x12,80</t>
  </si>
  <si>
    <t>Principe : Les sorties epuisent les lots les plus ANCIENS en premier. Stock final valorise aux couts les plus RECENTS (bilan fidele)</t>
  </si>
  <si>
    <t>METHODE LIFO (Last In, First Out) — INTERDIT PCG/IFRS</t>
  </si>
  <si>
    <t>3500x13,20 (lot 1 - recent)</t>
  </si>
  <si>
    <t>5000x12,50 + 500x13,20</t>
  </si>
  <si>
    <t>5000x12,50 + 500x13,20 + 4500x13,50</t>
  </si>
  <si>
    <t>4200x13,50 (lot 2 - recent)</t>
  </si>
  <si>
    <t>5000x12,50 + 500x13,20 + 300x13,50</t>
  </si>
  <si>
    <t>5000x12,50 + 500x13,20 + 300x13,50 + 3500x12,80</t>
  </si>
  <si>
    <t>3500x12,80 + 300x13,50</t>
  </si>
  <si>
    <t>Principe : Les sorties epuisent les lots les plus RECENTS en premier. Stock final valorise aux couts les plus ANCIENS</t>
  </si>
  <si>
    <t xml:space="preserve">  TABLEAU COMPARATIF DES 3 METHODES</t>
  </si>
  <si>
    <t>FIFO</t>
  </si>
  <si>
    <t>LIFO</t>
  </si>
  <si>
    <t>Cout total des sorties</t>
  </si>
  <si>
    <t>LIFO charge + = resultat -</t>
  </si>
  <si>
    <t>Stock final Quantite</t>
  </si>
  <si>
    <t>Identique quelle que soit la methode</t>
  </si>
  <si>
    <t>Stock final Valeur (EUR)</t>
  </si>
  <si>
    <t>FIFO = bilan le + fidele (couts recents)</t>
  </si>
  <si>
    <t>Cout unitaire moyen sortie</t>
  </si>
  <si>
    <t>Impact Resultat (vs CUMP)</t>
  </si>
  <si>
    <t>— Reference —</t>
  </si>
  <si>
    <t>Ecart en cout de sortie</t>
  </si>
  <si>
    <t>Impact Bilan (vs CUMP)</t>
  </si>
  <si>
    <t>Ecart en valeur de stock final</t>
  </si>
  <si>
    <t>Conformite PCG</t>
  </si>
  <si>
    <t>Autorise</t>
  </si>
  <si>
    <t>INTERDIT</t>
  </si>
  <si>
    <t>PCG art. 321-22 / IAS 2.25</t>
  </si>
  <si>
    <t>Conformite IFRS</t>
  </si>
  <si>
    <t>IAS 2</t>
  </si>
  <si>
    <t>IAS 2.23-25</t>
  </si>
  <si>
    <t xml:space="preserve">  INDICATEURS DE GESTION DES STOCKS</t>
  </si>
  <si>
    <t>Parametres source</t>
  </si>
  <si>
    <t>Achats consommes (MP)</t>
  </si>
  <si>
    <t>Cout de production vendue</t>
  </si>
  <si>
    <t>Chiffre d affaires</t>
  </si>
  <si>
    <t>Resultat</t>
  </si>
  <si>
    <t>Benchmark</t>
  </si>
  <si>
    <t>Rotation stocks MP</t>
  </si>
  <si>
    <t>Achats conso / Stock moy MP</t>
  </si>
  <si>
    <t>&gt; 6x</t>
  </si>
  <si>
    <t>Nb de renouvellements du stock MP par an</t>
  </si>
  <si>
    <t>Rotation stocks PF</t>
  </si>
  <si>
    <t>Cout prod vendue / Stock moy PF</t>
  </si>
  <si>
    <t>&gt; 8x</t>
  </si>
  <si>
    <t>Nb de renouvellements du stock PF par an</t>
  </si>
  <si>
    <t>Rotation stocks totale</t>
  </si>
  <si>
    <t>CA / Stock moyen total</t>
  </si>
  <si>
    <t>&gt; 5x</t>
  </si>
  <si>
    <t>Efficacite globale de gestion des stocks</t>
  </si>
  <si>
    <t>Duree stockage MP (jours)</t>
  </si>
  <si>
    <t>365 / Rotation MP</t>
  </si>
  <si>
    <t>Combien de jours le stock MP reste en moyenne</t>
  </si>
  <si>
    <t>Duree stockage PF (jours)</t>
  </si>
  <si>
    <t>365 / Rotation PF</t>
  </si>
  <si>
    <t>Delai moyen avant vente des PF</t>
  </si>
  <si>
    <t>DIO (Days Inventory Outstanding)</t>
  </si>
  <si>
    <t>365 / Rotation totale</t>
  </si>
  <si>
    <t>&lt; 73 j</t>
  </si>
  <si>
    <t>Composante du Cash Conversion Cycle</t>
  </si>
  <si>
    <t>Taux de couverture (jours)</t>
  </si>
  <si>
    <t>SF / (Sorties/365)</t>
  </si>
  <si>
    <t>15-30 j</t>
  </si>
  <si>
    <t>Nb de jours de conso couverts par le stock</t>
  </si>
  <si>
    <t>Taux de depreciation (%)</t>
  </si>
  <si>
    <t>Provisions / Stock brut</t>
  </si>
  <si>
    <t>&lt; 5%</t>
  </si>
  <si>
    <t>Qualite du stock - obsolescence</t>
  </si>
  <si>
    <t>Stock mort estime (%)</t>
  </si>
  <si>
    <t>% articles sans mvt &gt;12 mois</t>
  </si>
  <si>
    <t>&lt; 2%</t>
  </si>
  <si>
    <t>A renseigner manuellement ou via ERP</t>
  </si>
  <si>
    <t>── Indicateurs de gestion avances ──</t>
  </si>
  <si>
    <t>Stock de securite (unites)</t>
  </si>
  <si>
    <t>Z * sigma(demande) * RACINE(delai appro)</t>
  </si>
  <si>
    <t>Z=1,65 (95%)</t>
  </si>
  <si>
    <t>Saisir sigma et L dans les cellules parametres ci-dessous</t>
  </si>
  <si>
    <t>Point de commande</t>
  </si>
  <si>
    <t>Conso jour * Delai + Stock securite</t>
  </si>
  <si>
    <t>Declenche le reapprovisionnement</t>
  </si>
  <si>
    <t>Qte economique Wilson (Q*)</t>
  </si>
  <si>
    <t>RACINE(2*D*Cc / Cp)</t>
  </si>
  <si>
    <t>D=demande annuelle, Cc=cout commande, Cp=cout possession</t>
  </si>
  <si>
    <t>Cout de possession (%)</t>
  </si>
  <si>
    <t>(Loyer+Assurance+Obsolesc.) / Stock moy</t>
  </si>
  <si>
    <t>15-25%</t>
  </si>
  <si>
    <t>A renseigner : couts de stockage reels</t>
  </si>
  <si>
    <t>Impact BFR Stocks</t>
  </si>
  <si>
    <t>Delta Stocks / Delta CA</t>
  </si>
  <si>
    <t>Doit baisser</t>
  </si>
  <si>
    <t>Contribution des stocks a la variation du BFR</t>
  </si>
  <si>
    <t xml:space="preserve">  PARAMETRES FORMULES DE GESTION (a saisir)</t>
  </si>
  <si>
    <t>Parametre</t>
  </si>
  <si>
    <t>Symbole</t>
  </si>
  <si>
    <t>Description</t>
  </si>
  <si>
    <t>Niveau de service</t>
  </si>
  <si>
    <t>Z</t>
  </si>
  <si>
    <t>Dropdown: 1,28(90%) / 1,65(95%) / 2,33(99%)</t>
  </si>
  <si>
    <t>Ecart-type demande journaliere</t>
  </si>
  <si>
    <t>sigma</t>
  </si>
  <si>
    <t>unites/jour</t>
  </si>
  <si>
    <t>Volatilite de la demande</t>
  </si>
  <si>
    <t>Delai approvisionnement</t>
  </si>
  <si>
    <t>L</t>
  </si>
  <si>
    <t>jours</t>
  </si>
  <si>
    <t>Delai fournisseur moyen</t>
  </si>
  <si>
    <t>Cout passation commande</t>
  </si>
  <si>
    <t>Cc</t>
  </si>
  <si>
    <t>EUR/commande</t>
  </si>
  <si>
    <t>Cout administratif par commande</t>
  </si>
  <si>
    <t>Cout possession unitaire</t>
  </si>
  <si>
    <t>Cp</t>
  </si>
  <si>
    <t>EUR/unite/an</t>
  </si>
  <si>
    <t>Stockage + assurance + obsolescence</t>
  </si>
  <si>
    <t>Resultats calcules</t>
  </si>
  <si>
    <t>Stock de securite</t>
  </si>
  <si>
    <t>unites</t>
  </si>
  <si>
    <t>Z x sigma x RACINE(L)</t>
  </si>
  <si>
    <t>Conso/jour x L + SS</t>
  </si>
  <si>
    <t>Quantite economique (Wilson)</t>
  </si>
  <si>
    <t>RACINE(2DCC/Cp)</t>
  </si>
  <si>
    <t>Nb commandes optimal/an</t>
  </si>
  <si>
    <t>commandes</t>
  </si>
  <si>
    <t>D / Q*</t>
  </si>
  <si>
    <t>Cout total appro. optimal</t>
  </si>
  <si>
    <t>EUR/an</t>
  </si>
  <si>
    <t>(D/Q*) x Cc + (Q*/2) x Cp</t>
  </si>
  <si>
    <t xml:space="preserve">  LIAISONS AVEC LES AUTRES ONGLETS</t>
  </si>
  <si>
    <t>Cellule source</t>
  </si>
  <si>
    <t>Donnee</t>
  </si>
  <si>
    <t>Onglet destination</t>
  </si>
  <si>
    <t>Cellule cible</t>
  </si>
  <si>
    <t>Formule a saisir</t>
  </si>
  <si>
    <t>J28</t>
  </si>
  <si>
    <t>Stock final total valorise</t>
  </si>
  <si>
    <t>Donnees Brutes</t>
  </si>
  <si>
    <t>A lier</t>
  </si>
  <si>
    <t>L28</t>
  </si>
  <si>
    <t>Provisions depreciation stocks</t>
  </si>
  <si>
    <t>C91</t>
  </si>
  <si>
    <t>Ratios</t>
  </si>
  <si>
    <t>Nouveau ratio</t>
  </si>
  <si>
    <t>C94</t>
  </si>
  <si>
    <t>DIO (jours)</t>
  </si>
  <si>
    <t>Dashboard</t>
  </si>
  <si>
    <t>J28-D28</t>
  </si>
  <si>
    <t>DCF</t>
  </si>
  <si>
    <t>Analyser l'onglet STOCKS, proposer améliorations, liaisons et connexions avec les autres onglets pour automatiser les cellules</t>
  </si>
  <si>
    <t>Audit complet de l'onglet STOCKS (132 lignes) : inventaire permanent 20 articles (MP/EC/PF/MA), comparaison CUMP/FIFO/LIFO, indicateurs de gestion (rotation, DIO, Wilson), section liaisons inter-onglets</t>
  </si>
  <si>
    <t>Stocks en-cours de production</t>
  </si>
  <si>
    <t>Stocks marchandises</t>
  </si>
  <si>
    <t>← Données Brutes (Achats MP + Var. stocks) 2025</t>
  </si>
  <si>
    <t>← Données Brutes (Coût prod. = MP + Var + Aut. achats) 2025</t>
  </si>
  <si>
    <t>← Données Brutes (CA net) 2025</t>
  </si>
  <si>
    <t xml:space="preserve">  ⚖️ CONTROLE DE RECONCILIATION</t>
  </si>
  <si>
    <t>Stock STOCKS (J28)</t>
  </si>
  <si>
    <t>Stock Données Brutes (2025)</t>
  </si>
  <si>
    <t>Écart</t>
  </si>
  <si>
    <t>Statut :</t>
  </si>
  <si>
    <t>AJUST.</t>
  </si>
  <si>
    <t>Réconciliation bilan</t>
  </si>
  <si>
    <t>✅ Lié</t>
  </si>
  <si>
    <t>J29 → Bilan (via réconciliation auto)</t>
  </si>
  <si>
    <t>L29 → Bilan provisions</t>
  </si>
  <si>
    <t>C92 → Indicateur interne STOCKS</t>
  </si>
  <si>
    <t>C95 → Alimenté par Ratios F37 (CCC)</t>
  </si>
  <si>
    <t>Dashboard C6 → via Ratios F35</t>
  </si>
  <si>
    <t>DCF C42 → via Données Brutes (BFR global)</t>
  </si>
  <si>
    <t>Phase 1: +2 lignes bilan (EC 460k + MA 390k), C16 RAN corrigé. Phase 2: B85-B87 automatisés via SUMIF Données Brutes. Phase 3: Quick Ratio D7:F7 et BFR D10:F10 incluent 4 catégories. DIO D35:F35 inclut tous stocks (129j). Phase 4: Ligne ajustement réconciliation (ligne 23), contrôle en bas (écart=0€), statuts '\u2705 Lié' mis à jour. Impact cascade : BFR 60,2j (⚠️), Current Ratio 2,09x, FRNG 6,92M. Bilan 0€ x3 ans.</t>
  </si>
  <si>
    <t>STOCKS harmonisé avec bilan (5,6M€). 4 phases exécutées. Toutes liaisons actives. Réconciliation automatique. BFR en alerte ⚠️ (60j&gt;60j seuil) — reflète la réalité des stocks plus importants.</t>
  </si>
  <si>
    <t>🏗️  PLAN D'AMORTISSEMENT — Registre des immobilisations &amp; Tableaux détaillés</t>
  </si>
  <si>
    <t>Exercice courant :</t>
  </si>
  <si>
    <t>N (2025)</t>
  </si>
  <si>
    <t>Date clôture :</t>
  </si>
  <si>
    <t>31/12/N</t>
  </si>
  <si>
    <t>Unité :</t>
  </si>
  <si>
    <t>€</t>
  </si>
  <si>
    <t>Convention prorata :</t>
  </si>
  <si>
    <t>Temporis (jours)</t>
  </si>
  <si>
    <t>📌 Références : PCG art. 214-1 à 214-27 • IAS 16 • IAS 38 • CGI art. 39A-39B</t>
  </si>
  <si>
    <t>📋  REGISTRE DES IMMOBILISATIONS</t>
  </si>
  <si>
    <t>Code Immo</t>
  </si>
  <si>
    <t>Désignation</t>
  </si>
  <si>
    <t>Date acquisition</t>
  </si>
  <si>
    <t>Valeur Brute (VO)</t>
  </si>
  <si>
    <t>Durée (ans)</t>
  </si>
  <si>
    <t>Méthode</t>
  </si>
  <si>
    <t>Coeff. dégr.</t>
  </si>
  <si>
    <t>Taux linéaire</t>
  </si>
  <si>
    <t>Taux dégressif</t>
  </si>
  <si>
    <t>Valeur résiduelle</t>
  </si>
  <si>
    <t>Base amortissable</t>
  </si>
  <si>
    <t>Amort. cumulé 01/01/N</t>
  </si>
  <si>
    <t>VNC 01/01/N</t>
  </si>
  <si>
    <t>Dotation N</t>
  </si>
  <si>
    <t>VNC 31/12/N</t>
  </si>
  <si>
    <t>Composant / Note</t>
  </si>
  <si>
    <t>IMM-001</t>
  </si>
  <si>
    <t>Bâtiment industriel</t>
  </si>
  <si>
    <t>Linéaire</t>
  </si>
  <si>
    <t>Voir décomposition composants</t>
  </si>
  <si>
    <t>IMM-002</t>
  </si>
  <si>
    <t>Machine production A</t>
  </si>
  <si>
    <t>Dégressif</t>
  </si>
  <si>
    <t>IMM-003</t>
  </si>
  <si>
    <t>Véhicule utilitaire</t>
  </si>
  <si>
    <t>VR = valeur revente estimée</t>
  </si>
  <si>
    <t>IMM-004</t>
  </si>
  <si>
    <t>Logiciel ERP</t>
  </si>
  <si>
    <t>Incorporelle - IAS 38</t>
  </si>
  <si>
    <t>IMM-005</t>
  </si>
  <si>
    <t>Brevet déposé</t>
  </si>
  <si>
    <t>IMM-006</t>
  </si>
  <si>
    <t>Mobilier bureau</t>
  </si>
  <si>
    <t>IMM-007</t>
  </si>
  <si>
    <t>Machine production B</t>
  </si>
  <si>
    <t>Éligible amort. dérogatoire</t>
  </si>
  <si>
    <t>IMM-008</t>
  </si>
  <si>
    <t>Agencements locaux</t>
  </si>
  <si>
    <t>IMM-009</t>
  </si>
  <si>
    <t>Matériel informatique</t>
  </si>
  <si>
    <t>IMM-010</t>
  </si>
  <si>
    <t>Outillage spécifique</t>
  </si>
  <si>
    <t>Unités d'œuvre</t>
  </si>
  <si>
    <t>50 000 heures prévues</t>
  </si>
  <si>
    <t xml:space="preserve">  ANALYSE DES ECARTS PAR BUSINESS UNIT — Budget vs Reel</t>
  </si>
  <si>
    <t>Nombre de BU :</t>
  </si>
  <si>
    <t>Business Units :</t>
  </si>
  <si>
    <t>BU1 : France Metropole</t>
  </si>
  <si>
    <t>BU2 : Export Europe</t>
  </si>
  <si>
    <t>BU3 : Export International</t>
  </si>
  <si>
    <t>BU4 : E-commerce</t>
  </si>
  <si>
    <t>BU5 : Services &amp; Maintenance</t>
  </si>
  <si>
    <t xml:space="preserve">  ZONE 2 — COMPTE DE RESULTAT PAR BU : BUDGET vs REEL</t>
  </si>
  <si>
    <t>BU1 — France Metropole</t>
  </si>
  <si>
    <t>BU2 — Export Europe</t>
  </si>
  <si>
    <t>BU3 — Export International</t>
  </si>
  <si>
    <t>BU4 — E-commerce</t>
  </si>
  <si>
    <t>BU5 — Services &amp; Maintenance</t>
  </si>
  <si>
    <t>CONSOLIDE</t>
  </si>
  <si>
    <t>Poste P&amp;L</t>
  </si>
  <si>
    <t>Reel</t>
  </si>
  <si>
    <t>Ecart EUR</t>
  </si>
  <si>
    <t>Ecart %</t>
  </si>
  <si>
    <t>Defav.</t>
  </si>
  <si>
    <t>Fav.</t>
  </si>
  <si>
    <t xml:space="preserve">  Volume (quantites)</t>
  </si>
  <si>
    <t xml:space="preserve">  Prix moyen unitaire</t>
  </si>
  <si>
    <t>Cout matieres premieres</t>
  </si>
  <si>
    <t>Cout main-d'oeuvre directe</t>
  </si>
  <si>
    <t>Charges variables production</t>
  </si>
  <si>
    <t>MARGE SUR COUTS VARIABLES</t>
  </si>
  <si>
    <t>Charges fixes production</t>
  </si>
  <si>
    <t>COUT DE PRODUCTION</t>
  </si>
  <si>
    <t>Charges commerciales</t>
  </si>
  <si>
    <t>Charges administratives</t>
  </si>
  <si>
    <t>RESULTAT OPERATIONNEL BU</t>
  </si>
  <si>
    <t>Marge operationnelle %</t>
  </si>
  <si>
    <t xml:space="preserve">  ZONE 3 — DECOMPOSITION ANALYTIQUE DES ECARTS</t>
  </si>
  <si>
    <t>3A — Ecart sur Chiffre d'Affaires (Volume / Prix / Mix)</t>
  </si>
  <si>
    <t>Composante</t>
  </si>
  <si>
    <t>BU1</t>
  </si>
  <si>
    <t>BU2</t>
  </si>
  <si>
    <t>BU3</t>
  </si>
  <si>
    <t>BU4</t>
  </si>
  <si>
    <t>BU5</t>
  </si>
  <si>
    <t>Ecart sur volume</t>
  </si>
  <si>
    <t>(Qte reelle - Qte budget) x Prix budget</t>
  </si>
  <si>
    <t>Ecart sur prix</t>
  </si>
  <si>
    <t>(Prix reel - Prix budget) x Qte reelle</t>
  </si>
  <si>
    <t>Ecart sur mix</t>
  </si>
  <si>
    <t>Si multi-produits</t>
  </si>
  <si>
    <t>ECART TOTAL CA</t>
  </si>
  <si>
    <t>Vol + Prix + Mix</t>
  </si>
  <si>
    <t>Controle (= CA reel - CA budget)</t>
  </si>
  <si>
    <t>3B — Ecart sur Cout des Matieres Premieres (Quantite / Cout unitaire)</t>
  </si>
  <si>
    <t>Parametres MP</t>
  </si>
  <si>
    <t>Qte std/unite=12</t>
  </si>
  <si>
    <t>Qte std/unite=3</t>
  </si>
  <si>
    <t>Qte std/unite=8</t>
  </si>
  <si>
    <t>Cout std=11.5 EUR</t>
  </si>
  <si>
    <t>Cout std=12.0 EUR</t>
  </si>
  <si>
    <t>Cout std=13.0 EUR</t>
  </si>
  <si>
    <t>Cout std=12.5 EUR</t>
  </si>
  <si>
    <t>Ecart sur quantite MP</t>
  </si>
  <si>
    <t>(Qte MP reelle - Qte std*Prod) x Cout std</t>
  </si>
  <si>
    <t>Ecart sur cout unitaire MP</t>
  </si>
  <si>
    <t>(Cout reel - Cout std) x Qte reelle</t>
  </si>
  <si>
    <t>ECART TOTAL MP</t>
  </si>
  <si>
    <t>Ecart quantite + Ecart cout</t>
  </si>
  <si>
    <t>3C — Ecart sur Main-d'Oeuvre Directe (Temps / Taux horaire)</t>
  </si>
  <si>
    <t>Ecart sur temps (heures)</t>
  </si>
  <si>
    <t>(H reelles - H std*Prod) x Taux std</t>
  </si>
  <si>
    <t>Ecart sur taux horaire</t>
  </si>
  <si>
    <t>(Taux reel - Taux std) x H reelles</t>
  </si>
  <si>
    <t>ECART TOTAL MOD</t>
  </si>
  <si>
    <t>Ecart temps + Ecart taux</t>
  </si>
  <si>
    <t>3D — Ecart sur Charges Fixes (Budget / Activite / Rendement)</t>
  </si>
  <si>
    <t>Ecart sur budget (depenses)</t>
  </si>
  <si>
    <t>CF reelles - CF budgetees</t>
  </si>
  <si>
    <t>Ecart sur activite (volume)</t>
  </si>
  <si>
    <t>CF bud x (1 - Activite reelle/normale)</t>
  </si>
  <si>
    <t>Ecart sur rendement</t>
  </si>
  <si>
    <t>Taux std x (H std sur prod - H reelles)</t>
  </si>
  <si>
    <t>ECART TOTAL CHARGES FIXES</t>
  </si>
  <si>
    <t>Budget + Activite + Rendement</t>
  </si>
  <si>
    <t xml:space="preserve">  ZONE 4 — TABLEAU DE CONTRIBUTION PAR BUSINESS UNIT</t>
  </si>
  <si>
    <t>Chiffre d'affaires (EUR)</t>
  </si>
  <si>
    <t>Reel N</t>
  </si>
  <si>
    <t>% du CA total</t>
  </si>
  <si>
    <t>CA BU / CA total</t>
  </si>
  <si>
    <t>Marge sur couts variables (EUR)</t>
  </si>
  <si>
    <t>CA - Charges variables</t>
  </si>
  <si>
    <t>Taux de marge CV (%)</t>
  </si>
  <si>
    <t>MCV / CA</t>
  </si>
  <si>
    <t>Resultat operationnel BU (EUR)</t>
  </si>
  <si>
    <t>MCV - CF - Comm - Admin</t>
  </si>
  <si>
    <t>Marge operationnelle (%)</t>
  </si>
  <si>
    <t>Resultat / CA</t>
  </si>
  <si>
    <t>Contribution a la marge (%)</t>
  </si>
  <si>
    <t>Resultat BU / Total</t>
  </si>
  <si>
    <t xml:space="preserve">  ZONE 5 — METHODES DE CALCUL DE COUTS</t>
  </si>
  <si>
    <t>5A — DIRECT COSTING &amp; SEUIL DE RENTABILITE PAR BU</t>
  </si>
  <si>
    <t>Element</t>
  </si>
  <si>
    <t>(-) Charges variables totales</t>
  </si>
  <si>
    <t>MP + MOD + CV prod</t>
  </si>
  <si>
    <t>CA - CV</t>
  </si>
  <si>
    <t>(-) Charges fixes specifiques BU</t>
  </si>
  <si>
    <t>CF production propres</t>
  </si>
  <si>
    <t>MARGE SUR COUT SPECIFIQUE</t>
  </si>
  <si>
    <t>MCV - CF specifiques</t>
  </si>
  <si>
    <t>(-) Charges fixes communes reparties</t>
  </si>
  <si>
    <t>Commerciales + Admin</t>
  </si>
  <si>
    <t>RESULTAT ANALYTIQUE</t>
  </si>
  <si>
    <t>Marge spe. - CF communes</t>
  </si>
  <si>
    <t>── SEUIL DE RENTABILITE ──</t>
  </si>
  <si>
    <t>Seuil de rentabilite (EUR)</t>
  </si>
  <si>
    <t>CF totales / Taux MCV</t>
  </si>
  <si>
    <t>Point mort (jours)</t>
  </si>
  <si>
    <t>SR / CA x 365</t>
  </si>
  <si>
    <t>Marge de securite (EUR)</t>
  </si>
  <si>
    <t>CA - SR</t>
  </si>
  <si>
    <t>Indice de securite (%)</t>
  </si>
  <si>
    <t>Marge secu / CA</t>
  </si>
  <si>
    <t>Levier operationnel</t>
  </si>
  <si>
    <t>MCV / Resultat</t>
  </si>
  <si>
    <t>5B — METHODE ABC (Activity-Based Costing) — Comparaison avec Full Costing</t>
  </si>
  <si>
    <t>Activite</t>
  </si>
  <si>
    <t>Inducteur</t>
  </si>
  <si>
    <t>Nb total</t>
  </si>
  <si>
    <t>Cout total (EUR)</t>
  </si>
  <si>
    <t>Cout unit. inducteur</t>
  </si>
  <si>
    <t>Controle</t>
  </si>
  <si>
    <t>Approvisionnement</t>
  </si>
  <si>
    <t>Nb commandes</t>
  </si>
  <si>
    <t>Production</t>
  </si>
  <si>
    <t>Heures machine</t>
  </si>
  <si>
    <t>Controle qualite</t>
  </si>
  <si>
    <t>Nb lots</t>
  </si>
  <si>
    <t>Distribution</t>
  </si>
  <si>
    <t>Nb livraisons</t>
  </si>
  <si>
    <t>Admin. commerciale</t>
  </si>
  <si>
    <t>Nb clients</t>
  </si>
  <si>
    <t>COUT ABC PAR BU</t>
  </si>
  <si>
    <t xml:space="preserve">  COMPARAISON FULL COSTING vs ABC</t>
  </si>
  <si>
    <t>Methode</t>
  </si>
  <si>
    <t>Full Costing (prorata CA)</t>
  </si>
  <si>
    <t>ABC (par inducteurs)</t>
  </si>
  <si>
    <t>ECART FC vs ABC</t>
  </si>
  <si>
    <t>Impact marge</t>
  </si>
  <si>
    <t xml:space="preserve">  ZONE 6 — KPI DE PERFORMANCE PAR BU</t>
  </si>
  <si>
    <t>KPI</t>
  </si>
  <si>
    <t>Productivite (CA / Effectif)</t>
  </si>
  <si>
    <t>CA / Nb salaries</t>
  </si>
  <si>
    <t>&gt; sectoriel</t>
  </si>
  <si>
    <t>Taux d'execution budget (%)</t>
  </si>
  <si>
    <t>CA reel / CA budget</t>
  </si>
  <si>
    <t>95-105%</t>
  </si>
  <si>
    <t>ROCE (%)</t>
  </si>
  <si>
    <t>Resultat ope / Cap. employes</t>
  </si>
  <si>
    <t>&gt; WACC (8,5%)</t>
  </si>
  <si>
    <t>EVA (EUR)</t>
  </si>
  <si>
    <t>(ROCE - WACC) x Cap. employes</t>
  </si>
  <si>
    <t>CV / (CV + CF)</t>
  </si>
  <si>
    <t>&gt; 60%</t>
  </si>
  <si>
    <t>Waterfall ecarts</t>
  </si>
  <si>
    <t>Passage Budget - Reel</t>
  </si>
  <si>
    <t>Waterfall existant</t>
  </si>
  <si>
    <t>Enrichir Waterfall</t>
  </si>
  <si>
    <t>Ratio segmente</t>
  </si>
  <si>
    <t>ECARTS_BU ROCE</t>
  </si>
  <si>
    <t>EVA par BU</t>
  </si>
  <si>
    <t>Creation de valeur</t>
  </si>
  <si>
    <t>Nouveau KPI card</t>
  </si>
  <si>
    <t>ECARTS_BU EVA</t>
  </si>
  <si>
    <t>Seuil rentabilite</t>
  </si>
  <si>
    <t>Scenarios pessimistes</t>
  </si>
  <si>
    <t>Scenario Manager</t>
  </si>
  <si>
    <t>Alimentation scenarios</t>
  </si>
  <si>
    <t>Ecarts MP</t>
  </si>
  <si>
    <t>Variance achats</t>
  </si>
  <si>
    <t>STOCKS</t>
  </si>
  <si>
    <t>Cross-check achats</t>
  </si>
  <si>
    <t>Coherence conso MP</t>
  </si>
  <si>
    <t>Marge ope par BU</t>
  </si>
  <si>
    <t>Segment reporting</t>
  </si>
  <si>
    <t>IFRS8_SEGMENTS</t>
  </si>
  <si>
    <t>Information sectorielle</t>
  </si>
  <si>
    <t>Si consolidation IFRS</t>
  </si>
  <si>
    <t>Optionnel</t>
  </si>
  <si>
    <t>Methodes : Direct Costing (PCG) / Full Costing / ABC (Cooper &amp; Kaplan) / Analyse des ecarts (Standard Costing) / EVA (Stern Stewart) | Simulateur v2.0</t>
  </si>
  <si>
    <t xml:space="preserve">  ZONE 7 — CONTRÔLES DE COHÉRENCE</t>
  </si>
  <si>
    <t>Contrôle</t>
  </si>
  <si>
    <t>Écart CA Zone3 = Zone2</t>
  </si>
  <si>
    <t>Résultat Z4 = Z5A</t>
  </si>
  <si>
    <t>Σ Contributions = 100%</t>
  </si>
  <si>
    <t>Σ ABC = Σ Coûts activités</t>
  </si>
  <si>
    <t>Contrôle CA (Z3A ligne 31)</t>
  </si>
  <si>
    <t>MCV Zone2 = Zone5A</t>
  </si>
  <si>
    <t>SYNTHÈSE CONTRÔLES</t>
  </si>
  <si>
    <t>10 immobilisations</t>
  </si>
  <si>
    <t>📊  TABLEAUX D'AMORTISSEMENT DÉTAILLÉS</t>
  </si>
  <si>
    <t>📋  RÉCAPITULATIF DES DOTATIONS PAR ANNÉE ET PAR IMMOBILISATION</t>
  </si>
  <si>
    <t>TOTAL DOTATIONS</t>
  </si>
  <si>
    <t>AMORT. CUMULÉ</t>
  </si>
  <si>
    <t>VNC RÉSID.</t>
  </si>
  <si>
    <t>Bâtiment indust</t>
  </si>
  <si>
    <t>Machine product</t>
  </si>
  <si>
    <t>Véhicule utilit</t>
  </si>
  <si>
    <t>Agencements loc</t>
  </si>
  <si>
    <t>Matériel inform</t>
  </si>
  <si>
    <t>Outillage spéci</t>
  </si>
  <si>
    <t>📊  SYNTHÈSE &amp; INDICATEURS</t>
  </si>
  <si>
    <t>Détail</t>
  </si>
  <si>
    <t>Total Valeur d'Origine (VO)</t>
  </si>
  <si>
    <t>Somme des 10 immobilisations</t>
  </si>
  <si>
    <t>Total Base amortissable</t>
  </si>
  <si>
    <t>VO - Valeurs résiduelles</t>
  </si>
  <si>
    <t>Dotation exercice N (2025)</t>
  </si>
  <si>
    <t>Total amortissements N</t>
  </si>
  <si>
    <t>Amort. cumulé fin N</t>
  </si>
  <si>
    <t>Cumulé début + Dotation N</t>
  </si>
  <si>
    <t>VNC totale fin N</t>
  </si>
  <si>
    <t>Valeur nette comptable résiduelle</t>
  </si>
  <si>
    <t>Taux d'amortissement global</t>
  </si>
  <si>
    <t>Amort cumulé fin N / VO total</t>
  </si>
  <si>
    <t>Durée moy. pondérée (années)</t>
  </si>
  <si>
    <t>Pondérée par la VO</t>
  </si>
  <si>
    <t>Immos. corporelles</t>
  </si>
  <si>
    <t>Nb d'immobilisations corporelles</t>
  </si>
  <si>
    <t>Immos. incorporelles</t>
  </si>
  <si>
    <t>Logiciel + Brevet (IAS 38)</t>
  </si>
  <si>
    <t>🔍 CONTRÔLE</t>
  </si>
  <si>
    <t>VNC début + Dotation N = VNC fin ?</t>
  </si>
  <si>
    <t>Écart (doit = 0)</t>
  </si>
  <si>
    <t>Analyser ECARTS_BU (nouveau), proposer améliorations formules/automatisations/affichage. Reprendre PLAN_AMORT inachevé.</t>
  </si>
  <si>
    <t>Audit complet ECARTS_BU : 100% hardcodé → automatisé avec formules. Ajout Zone 7 contrôles de cohérence (6 contrôles, tous ✅). Formatage % amélioré.</t>
  </si>
  <si>
    <t>~450 cellules transformées : Zone 2 (Écart EUR/% /Sens par formule), Zone 3 (totaux+contrôles CA/MP/MOD/CF), Zone 4 (contribution=formules liées Zone 2), Zone 5A (Direct Costing+SR liés Zone 2), Zone 5B (ABC=SUMPRODUCT, FC vs ABC, Impact marge), Zone 6 KPI (taux exécution). Zone 7 ajoutée : 6 contrôles croisés inter-zones.</t>
  </si>
  <si>
    <t>ECARTS_BU entièrement automatisé. 6/6 contrôles ✅ COHÉRENTS. Pourcentages formatés 0.0%.</t>
  </si>
  <si>
    <t>Compléter PLAN_AMORT (registre seul, pas de tableaux détaillés ni récapitulatif).</t>
  </si>
  <si>
    <t>Automatisé Dotation N (col N) avec formules. Ajouté ligne TOTAL (row 20). Créé tableau récapitulatif dotations 2021-2040 (10 immos × 20 ans). Ajouté synthèse + contrôle VNC.</t>
  </si>
  <si>
    <t>Formules Dotation : linéaire =K/E, dégressif =MAX(VNC*taux, VNC/restant), prorata temporis. Tableau récap lignes 26-47 avec colonnes L(Total), M(Cumulé), N(VNC résid). Synthèse lignes 51-64 : VO=2.185M€, Base=2.182M€, Dot N=301.689€, VNC fin N=1.461M€, taux amort=33.1%, durée moy pondérée=12.6 ans.</t>
  </si>
  <si>
    <t>PLAN_AMORT complété : registre + récapitulatif + synthèse. Contrôle VNC ✅ COHÉRENT (écart=0€).</t>
  </si>
  <si>
    <t>🔬  RATIOS AVANCÉS — Analyse Approfondie</t>
  </si>
  <si>
    <t>Rule of 40  (Croissance CA + Marge EBITDA)</t>
  </si>
  <si>
    <t>&gt; 40%</t>
  </si>
  <si>
    <t>Cash Conversion Ratio  (CFO / EBITDA)</t>
  </si>
  <si>
    <t>&gt; 80%</t>
  </si>
  <si>
    <t>Net Debt / EBITDA</t>
  </si>
  <si>
    <t>&lt; 3,0x</t>
  </si>
  <si>
    <t>ROIC — Return on Invested Capital</t>
  </si>
  <si>
    <t>EVA — Economic Value Added  (€)</t>
  </si>
  <si>
    <t>&gt; 0 €</t>
  </si>
  <si>
    <t>Altman Z-Score  (version avancée 5 facteurs)</t>
  </si>
  <si>
    <t>Piotroski F-Score  (0–9)</t>
  </si>
  <si>
    <t>≥ 8</t>
  </si>
  <si>
    <t>Interest Coverage Ratio  (EBIT / Ch. Fin.)</t>
  </si>
  <si>
    <t>Taux de Marge de CAF  (CAF / CA)</t>
  </si>
  <si>
    <t>Free Cash Flow Yield  (FCF / EV)</t>
  </si>
  <si>
    <t>Earnings Yield  (EBIT / EV) — Magic Formula</t>
  </si>
  <si>
    <t>Relatif</t>
  </si>
  <si>
    <t>Sustainable Growth Rate  (ROE × Rétention)</t>
  </si>
  <si>
    <t>≥ g CA</t>
  </si>
  <si>
    <t>DuPont étendu — ROE reconstitué (5 facteurs)</t>
  </si>
  <si>
    <t>≈ ROE</t>
  </si>
  <si>
    <t>Quality of Earnings  (CFO / RN)</t>
  </si>
  <si>
    <t>&gt; 1,0x</t>
  </si>
  <si>
    <t>N/A</t>
  </si>
  <si>
    <t>Ajouter 15 ratios avancés dans l'onglet Ratios &amp; Indicateurs : Rule of 40, Cash Conversion, Net Debt/EBITDA, ROIC, EVA, Altman Z-Score, Piotroski F-Score, Interest Coverage, Marge CAF, FCF Yield, Earnings Yield, Sustainable Growth Rate, DuPont étendu 5 facteurs, Quality of Earnings.</t>
  </si>
  <si>
    <t>Inséré 18 lignes (50-67) dans Ratios &amp; Indicateurs. Créé section '🔬 RATIOS AVANCÉS'. Écrit 15 ratios (nº36-49) avec formules SUMIF adaptées à la structure CPC existante, pour les 3 exercices (2023/2024/2025). Ajouté colonnes Norme, Variation 24→25 et Statut automatique.</t>
  </si>
  <si>
    <t>Formules adaptées : EBITDA via EBE CPC, EBIT via résultat d'exploitation CPC, WACC='Valorisation DCF'!C22, EV='Valorisation DCF'!C58. ROIC=11.8% &gt; WACC 6.76% → ✅. EVA=885k€ → création de valeur. Piotroski=5/9. DuPont étendu reconstitue ROE=16.0% ≈ ROE réel → ✅ Cohérent. Quality of Earnings=1.79x → ✅.</t>
  </si>
  <si>
    <t>15 ratios opérationnels dans Ratios &amp; Indicateurs lignes 52-65, avec formatage cohérent (alternance blanc/bleu, bordures, icônes statut). Toutes formules sans erreur.</t>
  </si>
  <si>
    <t>🔗  LIAISONS MODULES — STOCKS · PLAN_AMORT · ECARTS_BU</t>
  </si>
  <si>
    <t>Rotation stocks totale  (CA / Stock moyen)</t>
  </si>
  <si>
    <t>DIO — Days Inventory Outstanding  (jours)</t>
  </si>
  <si>
    <t>Taux de dépréciation stocks  (Prov / Stock brut)</t>
  </si>
  <si>
    <t>Taux de vétusté immobilisations  (Amort cumulé / VO)</t>
  </si>
  <si>
    <t>CAPEX / D&amp;A  (effort d'investissement)</t>
  </si>
  <si>
    <t>Âge moyen du parc  (Amort cumulé / Dotation N)</t>
  </si>
  <si>
    <t>&lt; 10 ans</t>
  </si>
  <si>
    <t>ROCE BU moyen pondéré  (Résultat opé / Cap. employés)</t>
  </si>
  <si>
    <t>EVA Groupe  (Σ EVA toutes BU)</t>
  </si>
  <si>
    <t>Variation stocks N  (ΔStock = impact BFR)</t>
  </si>
  <si>
    <t>→ 0</t>
  </si>
  <si>
    <t>Var. 24→26</t>
  </si>
  <si>
    <t>🔗 Contrôles modules</t>
  </si>
  <si>
    <t>Var. 24→27</t>
  </si>
  <si>
    <t>🔗 KPI MODULES INTÉGRÉS</t>
  </si>
  <si>
    <t>DIO (Stocks)</t>
  </si>
  <si>
    <t>Âge parc (Amort)</t>
  </si>
  <si>
    <t>EVA Groupe (BU)</t>
  </si>
  <si>
    <t>CAPEX / D&amp;A</t>
  </si>
  <si>
    <t>Tx Vétusté</t>
  </si>
  <si>
    <t>📊  5B — WATERFALL ÉCARTS BUDGET vs RÉEL  (source : ECARTS_BU)</t>
  </si>
  <si>
    <t>Résultat opérationnel BUDGET</t>
  </si>
  <si>
    <t>Base</t>
  </si>
  <si>
    <t>ECARTS_BU Zone 2 consol</t>
  </si>
  <si>
    <t>Δ Volume CA</t>
  </si>
  <si>
    <t>Zone 3A — Ecart Volume</t>
  </si>
  <si>
    <t>Δ Prix CA</t>
  </si>
  <si>
    <t>Zone 3A — Ecart Prix</t>
  </si>
  <si>
    <t>Δ Matières Premières</t>
  </si>
  <si>
    <t>Zone 3B — Ecart MP</t>
  </si>
  <si>
    <t>Δ Main-d'œuvre directe</t>
  </si>
  <si>
    <t>Zone 3C — Ecart MOD</t>
  </si>
  <si>
    <t>Δ Charges fixes</t>
  </si>
  <si>
    <t>Zone 3D — Ecart CF</t>
  </si>
  <si>
    <t>Δ Comm. + Admin</t>
  </si>
  <si>
    <t>Charges commerciales + admin</t>
  </si>
  <si>
    <t>Résultat opérationnel RÉEL</t>
  </si>
  <si>
    <t>Δ TOTAL (Réel - Budget)</t>
  </si>
  <si>
    <t>ℹ️ Seuil de rentabilité consolidé (5 BU)</t>
  </si>
  <si>
    <t>Zone 5A — SR consolidé</t>
  </si>
  <si>
    <t>🔗 Contrôles Modules</t>
  </si>
  <si>
    <t>H28 (Sorties MP)</t>
  </si>
  <si>
    <t>Cross-check conso MP vs ECARTS_BU</t>
  </si>
  <si>
    <t>ECARTS_BU</t>
  </si>
  <si>
    <t>D&amp;A Amort</t>
  </si>
  <si>
    <t>Vérif PLAN_AMORT vs CPC</t>
  </si>
  <si>
    <t>PLAN_AMORT</t>
  </si>
  <si>
    <t>Intégrer 3 modules autonomes (STOCKS, PLAN_AMORT, ECARTS_BU) dans le classeur principal : créer toutes les liaisons (BLOC A-D) vers Données Brutes, Ratios, DCF, Dashboard et Analyse Approfondie.</t>
  </si>
  <si>
    <t>Créé section '🔗 LIAISONS MODULES' dans Ratios (lignes 70-79) avec 9 ratios liés aux 3 modules. Ajouté 5 KPI cards dans Dashboard (ligne 30-33). Créé section Waterfall écarts Budget vs Réel dans Analyse Approfondie (lignes 69-80). Ajouté contrôles croisés dans Données Brutes (H5, H48, I3, I38). Ajouté vérifications CAPEX≥D&amp;A dans DCF (E55:H57). Enrichi STOCKS avec cross-checks ECARTS_BU et PLAN_AMORT (lignes 131-132).</t>
  </si>
  <si>
    <t>9 nouveaux ratios dans Ratios: Rotation stocks (52.2x ✅), DIO (7.0j ✅), Taux dépréc. (5.8% ⚠️), Taux vétusté (33.1% ✅), CAPEX/D&amp;A (6.0x ✅), Âge parc (2.4 ans ✅), ROCE BU moyen (26.9% &gt; WACC ✅), EVA Groupe (2,640k€ ✅), ΔStock (+830k€ ⚠️). Dashboard: 5 KPI cards modules. Analyse: Waterfall 7 composantes écart Budget-Réel. Notes périmètre: modules STOCKS et PLAN_AMORT couvrent un sous-ensemble (partiel) vs Données Brutes — signalé via ℹ️.</t>
  </si>
  <si>
    <t>Toutes liaisons opérationnelles. Écarts de périmètre signalés via icônes ℹ️ (STOCKS 5.6M€ module vs 3.4M€ bilan MP; PLAN_AMORT 10 immos vs parc complet; ECARTS_BU 13.1M€ 5BU vs 32.4M€ CA total). Formules sans erreur.</t>
  </si>
  <si>
    <t>📊 CASH CONVERSION CYCLE</t>
  </si>
  <si>
    <t>DSO (Clients)</t>
  </si>
  <si>
    <t>DPO (Fourn.)</t>
  </si>
  <si>
    <t>Δ vs N-1</t>
  </si>
  <si>
    <t>📦 STOCKS — Indicateurs Clés</t>
  </si>
  <si>
    <t>Stock Total</t>
  </si>
  <si>
    <t>Rotation</t>
  </si>
  <si>
    <t>Provision</t>
  </si>
  <si>
    <t>Taux Dépréc.</t>
  </si>
  <si>
    <t>Impact BFR</t>
  </si>
  <si>
    <t>🏗️ PARC IMMOBILISÉ — Vétusté &amp; Investissement</t>
  </si>
  <si>
    <t>VNC Totale</t>
  </si>
  <si>
    <t>Âge Moyen</t>
  </si>
  <si>
    <t>🏭 HEATMAP PERFORMANCE PAR BUSINESS UNIT</t>
  </si>
  <si>
    <t>BU</t>
  </si>
  <si>
    <t>Δ CA (%)</t>
  </si>
  <si>
    <t>Marge CV (%)</t>
  </si>
  <si>
    <t>Marge Opé (%)</t>
  </si>
  <si>
    <t>EVA (€)</t>
  </si>
  <si>
    <t>BU1 France</t>
  </si>
  <si>
    <t>BU2 Europe</t>
  </si>
  <si>
    <t>BU3 International</t>
  </si>
  <si>
    <t>BU4 E-commerce</t>
  </si>
  <si>
    <t>BU5 Services</t>
  </si>
  <si>
    <t>TOTAL / MOY</t>
  </si>
  <si>
    <t>📊 SYNTHÈSE MODULES AVANCÉS</t>
  </si>
  <si>
    <t>Module</t>
  </si>
  <si>
    <t>Indicateur clé</t>
  </si>
  <si>
    <t>📦 STOCKS</t>
  </si>
  <si>
    <t>Rotation stocks</t>
  </si>
  <si>
    <t>Provision / Stock</t>
  </si>
  <si>
    <t>🏗️ PLAN_AMORT</t>
  </si>
  <si>
    <t>Taux vétusté</t>
  </si>
  <si>
    <t>🏭 ECARTS_BU</t>
  </si>
  <si>
    <t>Taux exécution budget CA</t>
  </si>
  <si>
    <t>EVA totale</t>
  </si>
  <si>
    <t>BU avec ROCE &gt; WACC</t>
  </si>
  <si>
    <t>📊 RATIOS</t>
  </si>
  <si>
    <t>Piotroski F-Score</t>
  </si>
  <si>
    <t>Cash Conversion Cycle</t>
  </si>
  <si>
    <t>CCC Components</t>
  </si>
  <si>
    <t>Label</t>
  </si>
  <si>
    <t>DPO (réduit)</t>
  </si>
  <si>
    <t>DIO</t>
  </si>
  <si>
    <t>= CCC</t>
  </si>
  <si>
    <t>Enrichir le Dashboard Interactif avec 6 nouveaux widgets : (1) Jauge Z-Score Altman, (2) Heatmap Performance BU, (3) CCC schéma visuel, (4) Évolution Stocks KPI, (5) Vétusté Parc Immobilisé Jauge, (6) Tableau Synthèse Multi-Modules.</t>
  </si>
  <si>
    <t>Créé les 6 widgets dans Dashboard Interactif : W1 Z-Score (G3:H7) avec doughnut gauge + cond. formatting 3 zones. W2 Heatmap BU (B47:G54) avec 5 BU × 5 KPI + color scale. W3 CCC visuel (B35:F38) DSO/DIO/DPO + CCC + Δ. W4 Stocks KPI (B39:F42) stock total, rotation, provision, dépréciation, impact BFR. W5 Vétusté (B43:F46) taux vétusté, CAPEX/D&amp;A, dotation, VNC, âge moyen + doughnut jauge. W6 Synthèse Modules (B56:E69) tableau 12 lignes récapitulatif STOCKS/PLAN_AMORT/ECARTS_BU/RATIOS avec valeurs + statuts.</t>
  </si>
  <si>
    <t>Widget 1: Z-Score 2.94 → ZONE GRISE, cond. formatting (≥2.99 vert, ≥1.81 orange, &lt;1.81 rouge). Widget 2: Heatmap 5 BU avec Δ CA, Marge CV, Marge Opé, ROCE, EVA — color scale 3 points (rouge-blanc-vert). Widget 3: DSO 57j ⚠️, DIO 7j ✅, DPO 67j ✅, CCC -2.3j ✅ (DIO STOCKS très bas). Widget 4: Stock 5.6M€, Rotation 52.2x ✅, Provision 35k€ ✅, Dépréc 5.8% ⚠️. Widget 5: Vétusté 33.1% ✅, CAPEX/D&amp;A 6.0x ✅, Âge 2.4 ans ✅. Widget 6: 12 indicateurs consolidés dont Z-Score ⚠️ 2.94, F-Score ⚠️ 5/9, CCC 🔴 120j, EVA ✅ 2.6M€, 5/5 BU avec ROCE &gt; WACC ✅.</t>
  </si>
  <si>
    <t>6 widgets opérationnels. 2 graphiques doughnut (Z-Score + Vétusté). Conditional formatting heatmap + Z-Score. Toutes formules dynamiques liées aux onglets source (Ratios, STOCKS, PLAN_AMORT, ECARTS_BU, DCF). Dashboard complet couvre désormais : KPI financiers classiques + modules avancés + analyse BU + risque crédit.</t>
  </si>
  <si>
    <t>🌿 Empreinte carbone (tCO₂)</t>
  </si>
  <si>
    <t>👥 Index égalité F/H</t>
  </si>
  <si>
    <t>🦺 Accidents du travail (TF)</t>
  </si>
  <si>
    <t>ℹ️ Source: Rapport RSE interne 2025 · Saisir les valeurs réelles dans les cellules bleues (C63:D65)</t>
  </si>
  <si>
    <t>Signalement de 2 problèmes : (1) Widget 6 Synthèse Modules chevauche la section ESG dans Dashboard. (2) Des #N/A visibles dans l'onglet Ratios &amp; Indicateurs.</t>
  </si>
  <si>
    <t>Corrigé le chevauchement Dashboard : supprimé Widget 6 de sa position (B56:E69), restauré intégralement la section ESG (B59:G66 — titre, sous-titre, en-têtes, 3 métriques + formules statut, note source RSE), puis recréé Widget 6 Synthèse Modules en dessous (B68:E81). Corrigé les N/A dans Ratios : remplacé les textes statiques 'N/A' (D71:E79) par des tirets '—' grisés, car les modules n'ont pas d'historique 2023-2024.</t>
  </si>
  <si>
    <t>ESG section restaurée lignes 59-66 avec 3 indicateurs (Empreinte carbone, Index égalité F/H, Accidents du travail) + formules statut dynamiques + colonnes F-G intactes (Statut original + Commentaires). Widget 6 déplacé lignes 68-81 avec les 12 indicateurs des 4 modules. Ratios D71:E79 : 'N/A' → '—' en gris clair (#BBBBBB) — cohérent avec le fait que les modules STOCKS, PLAN_AMORT et ECARTS_BU n'ont pas de données historiques N-2/N-1.</t>
  </si>
  <si>
    <t>Dashboard corrigé : ESG et Widget 6 Synthèse ne se chevauchent plus. Ratios : plus aucun N/A visible. Toutes formules opérationnelles.</t>
  </si>
  <si>
    <t>2022</t>
  </si>
  <si>
    <t>Ajouter les données de l'exercice 2022 dans Données Brutes pour permettre le calcul des ratios 2023 qui nécessitaient un N-1 (Rule of 40, Piotroski F-Score).</t>
  </si>
  <si>
    <t>Ajouté colonne C '2022' dans les tables T_Bilan (A1:L26) et T_CPC (A37:J56) via table.columns.add(). Rempli avec 25 postes bilan + 19 postes CPC extrapolés linéairement à partir des tendances 2023-2025. Bilan 2022 équilibré à 25,330k€. Corrigé les formules de contrôle C29:C31. Créé les formules Rule of 40 (D56) et Piotroski F-Score (D62) pour 2023 avec références 2022 en N-1.</t>
  </si>
  <si>
    <t>Données 2022 : CA 27.2M€, RN 1.9M€, Total Actif 25.3M€, CP 13.6M€ (extrapolation linéaire 2*2023-2024). Bilan 2022 équilibré (0€ écart). Rule of 40 2023 = 18.7% (🔴 &lt; 25%). Piotroski F-Score 2023 = 8/9 (✅ Excellent). Les références dans tous les onglets (Ratios, DCF, Dashboard) ont été automatiquement décalées par l'insertion de colonne dans les tables structurées. Notes mises à jour pour signaler les données 2022 comme extrapolées.</t>
  </si>
  <si>
    <t>Les 2 ratios qui affichaient 'N/A' pour 2023 sont désormais calculés. Toutes les formules des onglets Ratios, DCF, Dashboard fonctionnent correctement après le décalage de colonnes. Aucune erreur détectée. Les données 2022 sont des estimations extrapolées, pas des données réelles.</t>
  </si>
  <si>
    <t xml:space="preserve">  ZONE 8 — ANALYSE DES ÉCARTS PAR DÉPARTEMENT FONCTIONNEL (Budget vs Réel)</t>
  </si>
  <si>
    <t>8A — DÉTAIL DES CHARGES PAR DÉPARTEMENT : BUDGET vs RÉEL</t>
  </si>
  <si>
    <t>Marketing</t>
  </si>
  <si>
    <t>Comptabilité / Finance</t>
  </si>
  <si>
    <t>Ressources Humaines</t>
  </si>
  <si>
    <t>Systèmes d'Information</t>
  </si>
  <si>
    <t>Autres (DG, Juridique, QSE)</t>
  </si>
  <si>
    <t>TOTAL FRAIS GÉNÉRAUX</t>
  </si>
  <si>
    <t>Poste de charges</t>
  </si>
  <si>
    <t>Écart €</t>
  </si>
  <si>
    <t>Masse salariale (salaires + charges)</t>
  </si>
  <si>
    <t>Prestations &amp; sous-traitance</t>
  </si>
  <si>
    <t>Outils, licences &amp; abonnements</t>
  </si>
  <si>
    <t>Formation &amp; développement</t>
  </si>
  <si>
    <t>Déplacements &amp; représentation</t>
  </si>
  <si>
    <t>Fournitures &amp; consommables</t>
  </si>
  <si>
    <t>Loyers &amp; charges locatives (quote-part)</t>
  </si>
  <si>
    <t>Communication &amp; événementiel</t>
  </si>
  <si>
    <t>Honoraires &amp; conseil externe</t>
  </si>
  <si>
    <t>Amortissements (matériel dédié)</t>
  </si>
  <si>
    <t>TOTAL DÉPARTEMENT</t>
  </si>
  <si>
    <t>% des frais généraux totaux</t>
  </si>
  <si>
    <t>8B — SYNTHÈSE COMPARATIVE INTER-DÉPARTEMENTS</t>
  </si>
  <si>
    <t>Département</t>
  </si>
  <si>
    <t>Effectifs</t>
  </si>
  <si>
    <t>Budget (€)</t>
  </si>
  <si>
    <t>Réel (€)</t>
  </si>
  <si>
    <t>Écart (€)</t>
  </si>
  <si>
    <t>Coût/ETP Budget</t>
  </si>
  <si>
    <t>Coût/ETP Réel</t>
  </si>
  <si>
    <t>Taux exécution</t>
  </si>
  <si>
    <t>8C — INDICATEURS DE PILOTAGE PAR DÉPARTEMENT</t>
  </si>
  <si>
    <t>Compta/Finance</t>
  </si>
  <si>
    <t>RH</t>
  </si>
  <si>
    <t>SI</t>
  </si>
  <si>
    <t>Autres</t>
  </si>
  <si>
    <t>Part dans frais généraux réels (%)</t>
  </si>
  <si>
    <t>Écart absolu vs budget (€)</t>
  </si>
  <si>
    <t>Coût annuel par ETP (€)</t>
  </si>
  <si>
    <t>Ratio frais gén. / CA consolidé (%)</t>
  </si>
  <si>
    <t>Poids masse salariale / total dept (%)</t>
  </si>
  <si>
    <t>Indice de dérive budgétaire</t>
  </si>
  <si>
    <t>&lt; 5% budget</t>
  </si>
  <si>
    <t>55 000 – 75 000</t>
  </si>
  <si>
    <t>15-25% (industrie)</t>
  </si>
  <si>
    <t>55-70%</t>
  </si>
  <si>
    <t>&lt; 3% ✅ | 3-8% ⚠️ | &gt; 8% 🚨</t>
  </si>
  <si>
    <t>8D — TOP 5 DES POSTES À INVESTIGUER (plus forts écarts absolus)</t>
  </si>
  <si>
    <t>Rang</t>
  </si>
  <si>
    <t>Cause probable</t>
  </si>
  <si>
    <t>🚨 Fort</t>
  </si>
  <si>
    <t>Licences cloud non budgétées (migration SaaS)</t>
  </si>
  <si>
    <t>Audit licences, renégocier contrats</t>
  </si>
  <si>
    <t>Salon professionnel supplémentaire en Q3</t>
  </si>
  <si>
    <t>Valider ROI salons, plafonner budget</t>
  </si>
  <si>
    <t>⚠️ Moyen</t>
  </si>
  <si>
    <t>Projet cybersécurité non planifié initialement</t>
  </si>
  <si>
    <t>Intégrer dans plan pluriannuel SI</t>
  </si>
  <si>
    <t>Prospection nouveaux marchés export</t>
  </si>
  <si>
    <t>Revoir politique de déplacement</t>
  </si>
  <si>
    <t>Masse salariale</t>
  </si>
  <si>
    <t>Augmentation DG + recrutement QSE mi-année</t>
  </si>
  <si>
    <t>Aligner revue salariale sur cycle budget</t>
  </si>
  <si>
    <t>ℹ️  Les montants Budget et Réel (en bleu) sont des hypothèses saisissables. Remplacez-les par vos données réelles. Tous les écarts, %, et KPI se recalculeront automatiquement.</t>
  </si>
  <si>
    <t>Créer des sections pour calculer les écarts entre départements fonctionnels (Marketing, Compta, RH, SI, Autres) de façon lisible et professionnelle, avec des données réalistes.</t>
  </si>
  <si>
    <t>Créé Zone 8 complète dans ECARTS_BU (lignes 126-174) avec 4 sous-sections : 8A (détail charges par département Budget vs Réel, 10 postes x 5 départements), 8B (synthèse comparative avec effectifs et coût/ETP), 8C (KPI de pilotage : part FG, ratio CA, indice dérive), 8D (Top 5 postes à investiguer avec causes et actions).</t>
  </si>
  <si>
    <t>Données réalistes pour Acier Côte Ouest SAS (~43 ETP en fonctions support). Tous les Budget/Réel sont saisissables (en bleu). Formules dynamiques pour écarts EUR, %, sens, consolidé. Mise en forme professionnelle cohérente avec les zones existantes (même palette couleur par dept). Mise en forme conditionnelle Fav./Défav. Total frais généraux : Budget 4 021 k€, Réel 4 170 k€, écart +149 k€ (+3.7%). SI identifié en dérive (8.3%), Compta et RH maîtrisés.</t>
  </si>
  <si>
    <t>Zone 8 opérationnelle. Le SI est le département le plus en dérive (+78k€, 8.3%) principalement dû aux licences cloud et prestations cybersécurité. Le Marketing dépasse de +55k€ (6.9%). Compta légèrement sous-budget (-10.5k€). RH et Autres légèrement au-dessus. Toutes les formules fonctionnent sans erreur.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</si>
</sst>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0.00_-;\-* #,##0.00_-;_-* &quot;-&quot;??_-;_-@_-"/>
    <numFmt numFmtId="164" formatCode="#,##0;\(#,##0\);\-"/>
    <numFmt numFmtId="165" formatCode="0.0%"/>
    <numFmt numFmtId="166" formatCode="0.0\x"/>
    <numFmt numFmtId="167" formatCode="0.0"/>
    <numFmt numFmtId="168" formatCode="#,##0\ \€"/>
    <numFmt numFmtId="169" formatCode="\▲\ 0.0%;\▼\ 0.0%"/>
    <numFmt numFmtId="170" formatCode="0.0000"/>
    <numFmt numFmtId="171" formatCode="0\ &quot; pts&quot;"/>
    <numFmt numFmtId="172" formatCode="0.00&quot;x&quot;"/>
    <numFmt numFmtId="173" formatCode="0&quot;j&quot;"/>
    <numFmt numFmtId="174" formatCode="0.000%"/>
    <numFmt numFmtId="175" formatCode="0.00\x"/>
    <numFmt numFmtId="176" formatCode="#,##0.00\ \€"/>
    <numFmt numFmtId="177" formatCode="0.0&quot; ans&quot;"/>
    <numFmt numFmtId="178" formatCode="#,##0&quot; €&quot;"/>
    <numFmt numFmtId="179" formatCode="0.0&quot; j&quot;"/>
    <numFmt numFmtId="180" formatCode="0.0&quot;x&quot;"/>
    <numFmt numFmtId="181" formatCode="0&quot; j&quot;"/>
    <numFmt numFmtId="182" formatCode="0&quot; /5&quot;"/>
    <numFmt numFmtId="183" formatCode="0&quot; /9&quot;"/>
  </numFmts>
  <fonts count="254"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b/>
      <sz val="11"/>
      <color rgb="FFFFFFFF"/>
      <name val="Aptos Narrow"/>
      <family val="2"/>
      <scheme val="minor"/>
    </font>
    <font>
      <b/>
      <sz val="12"/>
      <color rgb="FF003366"/>
      <name val="Aptos Narrow"/>
      <family val="2"/>
      <scheme val="minor"/>
    </font>
    <font>
      <b/>
      <sz val="16"/>
      <color rgb="FFFFFFFF"/>
      <name val="Aptos Narrow"/>
      <family val="2"/>
      <scheme val="minor"/>
    </font>
    <font>
      <i/>
      <sz val="11"/>
      <color theme="1"/>
      <name val="Aptos Narrow"/>
      <family val="2"/>
      <scheme val="minor"/>
    </font>
    <font>
      <i/>
      <sz val="11"/>
      <color rgb="FF4472C4"/>
      <name val="Aptos Narrow"/>
      <family val="2"/>
      <scheme val="minor"/>
    </font>
    <font>
      <b/>
      <sz val="11"/>
      <color rgb="FF003366"/>
      <name val="Aptos Narrow"/>
      <family val="2"/>
      <scheme val="minor"/>
    </font>
    <font>
      <i/>
      <sz val="10"/>
      <color rgb="FF555555"/>
      <name val="Aptos Narrow"/>
      <family val="2"/>
      <scheme val="minor"/>
    </font>
    <font>
      <b/>
      <sz val="11"/>
      <color rgb="FFC55A11"/>
      <name val="Aptos Narrow"/>
      <family val="2"/>
      <scheme val="minor"/>
    </font>
    <font>
      <b/>
      <sz val="11"/>
      <color rgb="FF404040"/>
      <name val="Aptos Narrow"/>
      <family val="2"/>
      <scheme val="minor"/>
    </font>
    <font>
      <b/>
      <sz val="11"/>
      <color rgb="FF008000"/>
      <name val="Aptos Narrow"/>
      <family val="2"/>
      <scheme val="minor"/>
    </font>
    <font>
      <sz val="9"/>
      <color theme="1"/>
      <name val="Aptos Narrow"/>
      <family val="2"/>
      <scheme val="minor"/>
    </font>
    <font>
      <sz val="9"/>
      <color rgb="FF808080"/>
      <name val="Aptos Narrow"/>
      <family val="2"/>
      <scheme val="minor"/>
    </font>
    <font>
      <b/>
      <sz val="14"/>
      <color rgb="FFFFFFFF"/>
      <name val="Aptos Narrow"/>
      <family val="2"/>
      <scheme val="minor"/>
    </font>
    <font>
      <sz val="11"/>
      <color rgb="FFFFFFFF"/>
      <name val="Aptos Narrow"/>
      <family val="2"/>
      <scheme val="minor"/>
    </font>
    <font>
      <sz val="9"/>
      <color rgb="FFAAAAAA"/>
      <name val="Aptos Narrow"/>
      <family val="2"/>
      <scheme val="minor"/>
    </font>
    <font>
      <sz val="10"/>
      <color rgb="FF70AD47"/>
      <name val="Aptos Narrow"/>
      <family val="2"/>
      <scheme val="minor"/>
    </font>
    <font>
      <i/>
      <sz val="9"/>
      <color rgb="FF808080"/>
      <name val="Aptos Narrow"/>
      <family val="2"/>
      <scheme val="minor"/>
    </font>
    <font>
      <i/>
      <sz val="10"/>
      <color rgb="FF4472C4"/>
      <name val="Aptos Narrow"/>
      <family val="2"/>
      <scheme val="minor"/>
    </font>
    <font>
      <b/>
      <i/>
      <sz val="11"/>
      <color theme="1"/>
      <name val="Aptos Narrow"/>
      <family val="2"/>
      <scheme val="minor"/>
    </font>
    <font>
      <b/>
      <sz val="11"/>
      <color rgb="FF9C0006"/>
      <name val="Aptos Narrow"/>
      <family val="2"/>
      <scheme val="minor"/>
    </font>
    <font>
      <b/>
      <sz val="15"/>
      <color rgb="FFFFFFFF"/>
      <name val="Calibri"/>
    </font>
    <font>
      <b/>
      <i/>
      <sz val="9"/>
      <color rgb="FF4472C4"/>
      <name val="Aptos Narrow"/>
      <family val="2"/>
      <scheme val="minor"/>
    </font>
    <font>
      <b/>
      <sz val="10"/>
      <color theme="1"/>
      <name val="Aptos Narrow"/>
      <family val="2"/>
      <scheme val="minor"/>
    </font>
    <font>
      <b/>
      <sz val="10"/>
      <color rgb="FFFFFFFF"/>
      <name val="Aptos Narrow"/>
      <family val="2"/>
      <scheme val="minor"/>
    </font>
    <font>
      <b/>
      <sz val="11"/>
      <color rgb="FF0F2D5C"/>
      <name val="Aptos Narrow"/>
      <family val="2"/>
      <scheme val="minor"/>
    </font>
    <font>
      <b/>
      <sz val="10"/>
      <color rgb="FF0F2D5C"/>
      <name val="Aptos Narrow"/>
      <family val="2"/>
      <scheme val="minor"/>
    </font>
    <font>
      <sz val="9"/>
      <color rgb="FF808080"/>
      <name val="Calibri"/>
    </font>
    <font>
      <sz val="10"/>
      <color theme="1"/>
      <name val="Calibri"/>
    </font>
    <font>
      <b/>
      <sz val="10"/>
      <color theme="1"/>
      <name val="Calibri"/>
    </font>
    <font>
      <b/>
      <sz val="9"/>
      <color rgb="FF808080"/>
      <name val="Calibri"/>
    </font>
    <font>
      <b/>
      <sz val="10"/>
      <color rgb="FFFFFFFF"/>
      <name val="Calibri"/>
    </font>
    <font>
      <b/>
      <sz val="11"/>
      <color rgb="FFFFFFFF"/>
      <name val="Calibri"/>
    </font>
    <font>
      <sz val="10"/>
      <color rgb="FF808080"/>
      <name val="Calibri"/>
    </font>
    <font>
      <b/>
      <sz val="11"/>
      <color theme="1"/>
      <name val="Calibri"/>
    </font>
    <font>
      <b/>
      <sz val="10"/>
      <color rgb="FF0F2D5C"/>
      <name val="Calibri"/>
    </font>
    <font>
      <b/>
      <sz val="12"/>
      <color theme="1"/>
      <name val="Calibri"/>
    </font>
    <font>
      <sz val="10"/>
      <color rgb="FF595959"/>
      <name val="Calibri"/>
    </font>
    <font>
      <sz val="10"/>
      <color rgb="FF404040"/>
      <name val="Calibri"/>
    </font>
    <font>
      <b/>
      <sz val="10"/>
      <color rgb="FF595959"/>
      <name val="Calibri"/>
    </font>
    <font>
      <b/>
      <sz val="10"/>
      <color rgb="FF404040"/>
      <name val="Calibri"/>
    </font>
    <font>
      <i/>
      <sz val="10"/>
      <color rgb="FF4472C4"/>
      <name val="Calibri"/>
    </font>
    <font>
      <b/>
      <i/>
      <sz val="10"/>
      <color rgb="FF808080"/>
      <name val="Calibri"/>
    </font>
    <font>
      <sz val="9"/>
      <color rgb="FFFFFFFF"/>
      <name val="Calibri"/>
    </font>
    <font>
      <sz val="9"/>
      <color rgb="FF4472C4"/>
      <name val="Calibri"/>
    </font>
    <font>
      <i/>
      <sz val="8"/>
      <color rgb="FF808080"/>
      <name val="Aptos Narrow"/>
      <family val="2"/>
      <scheme val="minor"/>
    </font>
    <font>
      <sz val="13"/>
      <color theme="1"/>
      <name val="Calibri"/>
    </font>
    <font>
      <b/>
      <sz val="14"/>
      <color rgb="FFFFFFFF"/>
      <name val="Calibri"/>
    </font>
    <font>
      <sz val="9"/>
      <color rgb="FFBDD7EE"/>
      <name val="Calibri"/>
    </font>
    <font>
      <b/>
      <sz val="9"/>
      <color rgb="FF0F2D5C"/>
      <name val="Aptos Narrow"/>
      <family val="2"/>
      <scheme val="minor"/>
    </font>
    <font>
      <sz val="11"/>
      <color theme="9" tint="-0.249977111117893"/>
      <name val="Aptos Narrow"/>
      <family val="2"/>
      <scheme val="minor"/>
    </font>
    <font>
      <sz val="11"/>
      <color rgb="FFFFC000"/>
      <name val="Aptos Narrow"/>
      <family val="2"/>
      <scheme val="minor"/>
    </font>
    <font>
      <b/>
      <sz val="14"/>
      <color rgb="FFFFFFFF"/>
      <name val="Calibri"/>
      <family val="2"/>
    </font>
    <font>
      <sz val="11"/>
      <color theme="1"/>
      <name val="Calibri"/>
      <family val="2"/>
    </font>
    <font>
      <i/>
      <sz val="9"/>
      <color rgb="FF4472C4"/>
      <name val="Calibri"/>
      <family val="2"/>
    </font>
    <font>
      <b/>
      <sz val="11"/>
      <color rgb="FFFFFFFF"/>
      <name val="Calibri"/>
      <family val="2"/>
    </font>
    <font>
      <i/>
      <sz val="9"/>
      <color rgb="FF808080"/>
      <name val="Calibri"/>
      <family val="2"/>
    </font>
    <font>
      <b/>
      <sz val="10"/>
      <color rgb="FFFFFFFF"/>
      <name val="Calibri"/>
      <family val="2"/>
    </font>
    <font>
      <b/>
      <sz val="11"/>
      <color theme="1"/>
      <name val="Calibri"/>
      <family val="2"/>
    </font>
    <font>
      <b/>
      <sz val="10"/>
      <color theme="1"/>
      <name val="Calibri"/>
      <family val="2"/>
    </font>
    <font>
      <b/>
      <sz val="11"/>
      <color rgb="FF0F2D5C"/>
      <name val="Calibri"/>
      <family val="2"/>
    </font>
    <font>
      <sz val="10"/>
      <color theme="1"/>
      <name val="Calibri"/>
      <family val="2"/>
    </font>
    <font>
      <sz val="11"/>
      <color rgb="FF721C24"/>
      <name val="Calibri"/>
      <family val="2"/>
    </font>
    <font>
      <b/>
      <sz val="11"/>
      <color rgb="FF721C24"/>
      <name val="Calibri"/>
      <family val="2"/>
    </font>
    <font>
      <sz val="11"/>
      <color rgb="FF155724"/>
      <name val="Calibri"/>
      <family val="2"/>
    </font>
    <font>
      <b/>
      <sz val="11"/>
      <color rgb="FF155724"/>
      <name val="Calibri"/>
      <family val="2"/>
    </font>
    <font>
      <b/>
      <sz val="10"/>
      <color rgb="FF0F2D5C"/>
      <name val="Calibri"/>
      <family val="2"/>
    </font>
    <font>
      <sz val="12"/>
      <color theme="1"/>
      <name val="Calibri"/>
      <family val="2"/>
    </font>
    <font>
      <b/>
      <sz val="9"/>
      <color rgb="FF0F2D5C"/>
      <name val="Calibri"/>
      <family val="2"/>
    </font>
    <font>
      <i/>
      <sz val="9"/>
      <color rgb="FF595959"/>
      <name val="Calibri"/>
      <family val="2"/>
    </font>
    <font>
      <b/>
      <sz val="16"/>
      <color rgb="FF0F2D5C"/>
      <name val="Calibri"/>
      <family val="2"/>
    </font>
    <font>
      <b/>
      <sz val="9"/>
      <color rgb="FF808080"/>
      <name val="Calibri"/>
      <family val="2"/>
    </font>
    <font>
      <b/>
      <sz val="9"/>
      <color rgb="FFFFFFFF"/>
      <name val="Aptos Narrow"/>
      <family val="2"/>
      <scheme val="minor"/>
    </font>
    <font>
      <sz val="9"/>
      <color rgb="FF4472C4"/>
      <name val="Aptos Narrow"/>
      <family val="2"/>
      <scheme val="minor"/>
    </font>
    <font>
      <sz val="10"/>
      <color rgb="FF595959"/>
      <name val="Aptos Narrow"/>
      <family val="2"/>
      <scheme val="minor"/>
    </font>
    <font>
      <b/>
      <sz val="10"/>
      <color rgb="FF595959"/>
      <name val="Aptos Narrow"/>
      <family val="2"/>
      <scheme val="minor"/>
    </font>
    <font>
      <sz val="8"/>
      <name val="Aptos Narrow"/>
      <family val="2"/>
      <scheme val="minor"/>
    </font>
    <font>
      <b/>
      <sz val="11"/>
      <color theme="0" tint="-0.34998626667073579"/>
      <name val="Aptos Narrow"/>
      <family val="2"/>
      <scheme val="minor"/>
    </font>
    <font>
      <sz val="9"/>
      <color rgb="FF0F2D5C"/>
      <name val="Aptos Narrow"/>
      <family val="2"/>
      <scheme val="minor"/>
    </font>
    <font>
      <b/>
      <sz val="12"/>
      <color rgb="FF0000FF"/>
      <name val="Calibri"/>
      <family val="2"/>
    </font>
    <font>
      <sz val="12"/>
      <color rgb="FF595959"/>
      <name val="Calibri"/>
      <family val="2"/>
    </font>
    <font>
      <sz val="12"/>
      <color rgb="FF008000"/>
      <name val="Calibri"/>
      <family val="2"/>
    </font>
    <font>
      <sz val="12"/>
      <color rgb="FF000000"/>
      <name val="Calibri"/>
      <family val="2"/>
    </font>
    <font>
      <b/>
      <sz val="12"/>
      <color rgb="FF000000"/>
      <name val="Calibri"/>
      <family val="2"/>
    </font>
    <font>
      <b/>
      <i/>
      <sz val="12"/>
      <color rgb="FF595959"/>
      <name val="Calibri"/>
      <family val="2"/>
    </font>
    <font>
      <i/>
      <sz val="12"/>
      <color rgb="FF595959"/>
      <name val="Calibri"/>
      <family val="2"/>
    </font>
    <font>
      <sz val="12"/>
      <color rgb="FF000000"/>
      <name val="Aptos Narrow"/>
      <family val="2"/>
      <scheme val="minor"/>
    </font>
    <font>
      <sz val="11"/>
      <color rgb="FF2C3E50"/>
      <name val="Calibri"/>
      <family val="2"/>
    </font>
    <font>
      <i/>
      <sz val="11"/>
      <color rgb="FF808080"/>
      <name val="Calibri"/>
      <family val="2"/>
    </font>
    <font>
      <b/>
      <sz val="11"/>
      <color rgb="FF2C3E50"/>
      <name val="Calibri"/>
      <family val="2"/>
    </font>
    <font>
      <sz val="9"/>
      <color theme="1"/>
      <name val="Calibri"/>
      <family val="2"/>
    </font>
    <font>
      <b/>
      <i/>
      <sz val="10"/>
      <color rgb="FF808080"/>
      <name val="Calibri"/>
      <family val="2"/>
    </font>
    <font>
      <b/>
      <sz val="12"/>
      <color rgb="FF0F2D5C"/>
      <name val="Aptos Narrow"/>
      <family val="2"/>
      <scheme val="minor"/>
    </font>
    <font>
      <sz val="9"/>
      <color indexed="81"/>
      <name val="Tahoma"/>
      <family val="2"/>
    </font>
    <font>
      <b/>
      <sz val="9"/>
      <color indexed="81"/>
      <name val="Tahoma"/>
      <family val="2"/>
    </font>
    <font>
      <i/>
      <sz val="8"/>
      <color rgb="FF888888"/>
      <name val="Aptos Narrow"/>
      <family val="2"/>
      <scheme val="minor"/>
    </font>
    <font>
      <b/>
      <sz val="11"/>
      <color rgb="FFFF0000"/>
      <name val="Calibri"/>
      <family val="2"/>
    </font>
    <font>
      <b/>
      <sz val="11"/>
      <color rgb="FFFFC000"/>
      <name val="Calibri"/>
      <family val="2"/>
    </font>
    <font>
      <b/>
      <sz val="11"/>
      <color rgb="FF92D050"/>
      <name val="Calibri"/>
      <family val="2"/>
    </font>
    <font>
      <sz val="11"/>
      <color rgb="FF856404"/>
      <name val="Aptos Narrow"/>
      <family val="2"/>
      <scheme val="minor"/>
    </font>
    <font>
      <sz val="11"/>
      <color rgb="FF721C24"/>
      <name val="Aptos Narrow"/>
      <family val="2"/>
      <scheme val="minor"/>
    </font>
    <font>
      <sz val="9"/>
      <color rgb="FFBDD7EE"/>
      <name val="Aptos Narrow"/>
      <family val="2"/>
      <scheme val="minor"/>
    </font>
    <font>
      <sz val="11"/>
      <color rgb="FF0070C0"/>
      <name val="Aptos Narrow"/>
      <family val="2"/>
      <scheme val="minor"/>
    </font>
    <font>
      <sz val="11"/>
      <color rgb="FF000000"/>
      <name val="Aptos Narrow"/>
      <family val="2"/>
      <scheme val="minor"/>
    </font>
    <font>
      <b/>
      <sz val="11"/>
      <color rgb="FF000000"/>
      <name val="Aptos Narrow"/>
      <family val="2"/>
      <scheme val="minor"/>
    </font>
    <font>
      <sz val="9"/>
      <color rgb="FF595959"/>
      <name val="Aptos Narrow"/>
      <family val="2"/>
      <scheme val="minor"/>
    </font>
    <font>
      <sz val="10"/>
      <color theme="1"/>
      <name val="Aptos Narrow"/>
      <family val="2"/>
      <scheme val="minor"/>
    </font>
    <font>
      <sz val="10"/>
      <color rgb="FF0070C0"/>
      <name val="Aptos Narrow"/>
      <family val="2"/>
      <scheme val="minor"/>
    </font>
    <font>
      <sz val="10"/>
      <color rgb="FF000000"/>
      <name val="Aptos Narrow"/>
      <family val="2"/>
      <scheme val="minor"/>
    </font>
    <font>
      <b/>
      <sz val="10"/>
      <color rgb="FF000000"/>
      <name val="Aptos Narrow"/>
      <family val="2"/>
      <scheme val="minor"/>
    </font>
    <font>
      <sz val="10"/>
      <color rgb="FF721C24"/>
      <name val="Aptos Narrow"/>
      <family val="2"/>
      <scheme val="minor"/>
    </font>
    <font>
      <sz val="10"/>
      <color rgb="FF856404"/>
      <name val="Aptos Narrow"/>
      <family val="2"/>
      <scheme val="minor"/>
    </font>
    <font>
      <sz val="10"/>
      <color rgb="FF1A3A1A"/>
      <name val="Aptos Narrow"/>
      <family val="2"/>
      <scheme val="minor"/>
    </font>
    <font>
      <b/>
      <sz val="12"/>
      <color rgb="FFFFFFFF"/>
      <name val="Aptos Narrow"/>
      <family val="2"/>
      <scheme val="minor"/>
    </font>
    <font>
      <sz val="9"/>
      <color rgb="FF375623"/>
      <name val="Aptos Narrow"/>
      <family val="2"/>
      <scheme val="minor"/>
    </font>
    <font>
      <i/>
      <sz val="8"/>
      <color rgb="FF595959"/>
      <name val="Aptos Narrow"/>
      <family val="2"/>
      <scheme val="minor"/>
    </font>
    <font>
      <sz val="9"/>
      <color theme="1"/>
      <name val="Courier New"/>
    </font>
    <font>
      <b/>
      <sz val="9"/>
      <color rgb="FF1F3864"/>
      <name val="Courier New"/>
    </font>
    <font>
      <b/>
      <sz val="11"/>
      <color rgb="FF155724"/>
      <name val="Aptos Narrow"/>
      <family val="2"/>
      <scheme val="minor"/>
    </font>
    <font>
      <sz val="11"/>
      <color rgb="FF595959"/>
      <name val="Aptos Narrow"/>
      <family val="2"/>
      <scheme val="minor"/>
    </font>
    <font>
      <b/>
      <sz val="11"/>
      <color rgb="FF595959"/>
      <name val="Aptos Narrow"/>
      <family val="2"/>
      <scheme val="minor"/>
    </font>
    <font>
      <sz val="9"/>
      <color rgb="FF70AD47"/>
      <name val="Aptos Narrow"/>
      <family val="2"/>
      <scheme val="minor"/>
    </font>
    <font>
      <b/>
      <sz val="14"/>
      <color theme="1"/>
      <name val="Aptos Narrow"/>
      <family val="2"/>
      <scheme val="minor"/>
    </font>
    <font>
      <b/>
      <sz val="12"/>
      <color theme="1"/>
      <name val="Aptos Narrow"/>
      <family val="2"/>
      <scheme val="minor"/>
    </font>
    <font>
      <b/>
      <sz val="9"/>
      <color theme="0"/>
      <name val="Calibri"/>
      <family val="2"/>
    </font>
    <font>
      <sz val="10"/>
      <color rgb="FFFF6347"/>
      <name val="Aptos Narrow"/>
      <family val="2"/>
      <scheme val="minor"/>
    </font>
    <font>
      <sz val="9"/>
      <color rgb="FFFFC000"/>
      <name val="Aptos Narrow"/>
      <family val="2"/>
      <scheme val="minor"/>
    </font>
    <font>
      <sz val="9"/>
      <color rgb="FF155724"/>
      <name val="Aptos Narrow"/>
      <family val="2"/>
      <scheme val="minor"/>
    </font>
    <font>
      <sz val="9"/>
      <color rgb="FF856404"/>
      <name val="Aptos Narrow"/>
      <family val="2"/>
      <scheme val="minor"/>
    </font>
    <font>
      <sz val="9"/>
      <color rgb="FF721C24"/>
      <name val="Aptos Narrow"/>
      <family val="2"/>
      <scheme val="minor"/>
    </font>
    <font>
      <b/>
      <sz val="8"/>
      <color rgb="FFC0C0C0"/>
      <name val="Aptos Narrow"/>
      <family val="2"/>
      <scheme val="minor"/>
    </font>
    <font>
      <sz val="8"/>
      <color rgb="FFC0C0C0"/>
      <name val="Aptos Narrow"/>
      <family val="2"/>
      <scheme val="minor"/>
    </font>
    <font>
      <b/>
      <sz val="8"/>
      <color rgb="FF999999"/>
      <name val="Aptos Narrow"/>
      <family val="2"/>
      <scheme val="minor"/>
    </font>
    <font>
      <sz val="8"/>
      <color rgb="FF999999"/>
      <name val="Aptos Narrow"/>
      <family val="2"/>
      <scheme val="minor"/>
    </font>
    <font>
      <b/>
      <sz val="10"/>
      <color rgb="FF333333"/>
      <name val="Aptos Narrow"/>
      <family val="2"/>
      <scheme val="minor"/>
    </font>
    <font>
      <sz val="10"/>
      <color rgb="FF333333"/>
      <name val="Aptos Narrow"/>
      <family val="2"/>
      <scheme val="minor"/>
    </font>
    <font>
      <sz val="9"/>
      <color rgb="FF333333"/>
      <name val="Aptos Narrow"/>
      <family val="2"/>
      <scheme val="minor"/>
    </font>
    <font>
      <b/>
      <sz val="15"/>
      <color rgb="FFFFFFFF"/>
      <name val="Aptos Narrow"/>
      <family val="2"/>
      <scheme val="minor"/>
    </font>
    <font>
      <i/>
      <sz val="9"/>
      <color rgb="FF8DA4C2"/>
      <name val="Aptos Narrow"/>
      <family val="2"/>
      <scheme val="minor"/>
    </font>
    <font>
      <b/>
      <sz val="9"/>
      <color rgb="FF1B2A4A"/>
      <name val="Aptos Narrow"/>
      <family val="2"/>
      <scheme val="minor"/>
    </font>
    <font>
      <b/>
      <sz val="28"/>
      <color rgb="FF1B2A4A"/>
      <name val="Aptos Narrow"/>
      <family val="2"/>
      <scheme val="minor"/>
    </font>
    <font>
      <sz val="9"/>
      <color rgb="FF7F8C8D"/>
      <name val="Aptos Narrow"/>
      <family val="2"/>
      <scheme val="minor"/>
    </font>
    <font>
      <b/>
      <sz val="10"/>
      <color rgb="FF27AE60"/>
      <name val="Aptos Narrow"/>
      <family val="2"/>
      <scheme val="minor"/>
    </font>
    <font>
      <b/>
      <sz val="20"/>
      <color rgb="FF27AE60"/>
      <name val="Aptos Narrow"/>
      <family val="2"/>
      <scheme val="minor"/>
    </font>
    <font>
      <sz val="8"/>
      <color rgb="FF95A5A6"/>
      <name val="Aptos Narrow"/>
      <family val="2"/>
      <scheme val="minor"/>
    </font>
    <font>
      <b/>
      <sz val="20"/>
      <color rgb="FF6C3483"/>
      <name val="Aptos Narrow"/>
      <family val="2"/>
      <scheme val="minor"/>
    </font>
    <font>
      <sz val="9"/>
      <color rgb="FF6C3483"/>
      <name val="Aptos Narrow"/>
      <family val="2"/>
      <scheme val="minor"/>
    </font>
    <font>
      <b/>
      <sz val="9"/>
      <color rgb="FF922B21"/>
      <name val="Aptos Narrow"/>
      <family val="2"/>
      <scheme val="minor"/>
    </font>
    <font>
      <b/>
      <sz val="9"/>
      <color rgb="FF1A5276"/>
      <name val="Aptos Narrow"/>
      <family val="2"/>
      <scheme val="minor"/>
    </font>
    <font>
      <i/>
      <sz val="8"/>
      <color rgb="FF95A5A6"/>
      <name val="Aptos Narrow"/>
      <family val="2"/>
      <scheme val="minor"/>
    </font>
    <font>
      <i/>
      <sz val="8"/>
      <color rgb="FF8DA4C2"/>
      <name val="Aptos Narrow"/>
      <family val="2"/>
      <scheme val="minor"/>
    </font>
    <font>
      <sz val="8"/>
      <color rgb="FF2471A3"/>
      <name val="Aptos Narrow"/>
      <family val="2"/>
      <scheme val="minor"/>
    </font>
    <font>
      <b/>
      <sz val="10"/>
      <color rgb="FF2C3E50"/>
      <name val="Aptos Narrow"/>
      <family val="2"/>
      <scheme val="minor"/>
    </font>
    <font>
      <sz val="10"/>
      <color rgb="FF2C3E50"/>
      <name val="Aptos Narrow"/>
      <family val="2"/>
      <scheme val="minor"/>
    </font>
    <font>
      <sz val="9"/>
      <color rgb="FF922B21"/>
      <name val="Aptos Narrow"/>
      <family val="2"/>
      <scheme val="minor"/>
    </font>
    <font>
      <b/>
      <sz val="10"/>
      <color rgb="FFC0392B"/>
      <name val="Aptos Narrow"/>
      <family val="2"/>
      <scheme val="minor"/>
    </font>
    <font>
      <sz val="10"/>
      <color rgb="FFC0392B"/>
      <name val="Aptos Narrow"/>
      <family val="2"/>
      <scheme val="minor"/>
    </font>
    <font>
      <b/>
      <sz val="10"/>
      <color rgb="FF2471A3"/>
      <name val="Aptos Narrow"/>
      <family val="2"/>
      <scheme val="minor"/>
    </font>
    <font>
      <i/>
      <sz val="9"/>
      <color rgb="FF7F8C8D"/>
      <name val="Aptos Narrow"/>
      <family val="2"/>
      <scheme val="minor"/>
    </font>
    <font>
      <b/>
      <i/>
      <sz val="9"/>
      <color rgb="FF7F8C8D"/>
      <name val="Aptos Narrow"/>
      <family val="2"/>
      <scheme val="minor"/>
    </font>
    <font>
      <b/>
      <sz val="12"/>
      <color rgb="FF0000FF"/>
      <name val="Aptos Narrow"/>
      <family val="2"/>
      <scheme val="minor"/>
    </font>
    <font>
      <sz val="9"/>
      <color indexed="81"/>
      <name val="Tahoma"/>
    </font>
    <font>
      <b/>
      <sz val="9"/>
      <color indexed="81"/>
      <name val="Tahoma"/>
    </font>
    <font>
      <b/>
      <sz val="11"/>
      <color rgb="FFC00000"/>
      <name val="Aptos Narrow"/>
      <family val="2"/>
      <scheme val="minor"/>
    </font>
    <font>
      <sz val="11"/>
      <color theme="1"/>
      <name val="Calibri"/>
      <family val="2"/>
      <charset val="1"/>
    </font>
    <font>
      <b/>
      <sz val="18"/>
      <color rgb="FFFFFFFF"/>
      <name val="Calibri"/>
      <charset val="1"/>
    </font>
    <font>
      <b/>
      <sz val="10"/>
      <name val="Calibri"/>
      <charset val="1"/>
    </font>
    <font>
      <sz val="10"/>
      <name val="Calibri"/>
      <charset val="1"/>
    </font>
    <font>
      <i/>
      <sz val="9"/>
      <color rgb="FFFF0000"/>
      <name val="Calibri"/>
      <charset val="1"/>
    </font>
    <font>
      <b/>
      <sz val="10"/>
      <color rgb="FFFFFFFF"/>
      <name val="Calibri"/>
      <charset val="1"/>
    </font>
    <font>
      <b/>
      <sz val="11"/>
      <color rgb="FF1B2A4A"/>
      <name val="Calibri"/>
      <charset val="1"/>
    </font>
    <font>
      <sz val="9"/>
      <color rgb="FF808080"/>
      <name val="Calibri"/>
      <charset val="1"/>
    </font>
    <font>
      <i/>
      <sz val="9"/>
      <color rgb="FF1B2A4A"/>
      <name val="Calibri"/>
      <charset val="1"/>
    </font>
    <font>
      <b/>
      <sz val="14"/>
      <color rgb="FF1B2A4A"/>
      <name val="Calibri"/>
      <charset val="1"/>
    </font>
    <font>
      <b/>
      <sz val="11"/>
      <color rgb="FFFFFFFF"/>
      <name val="Calibri"/>
      <charset val="1"/>
    </font>
    <font>
      <b/>
      <sz val="10"/>
      <color rgb="FF1B2A4A"/>
      <name val="Calibri"/>
      <charset val="1"/>
    </font>
    <font>
      <sz val="9"/>
      <color rgb="FF4472C4"/>
      <name val="Consolas"/>
      <charset val="1"/>
    </font>
    <font>
      <b/>
      <i/>
      <sz val="10"/>
      <color rgb="FF1B2A4A"/>
      <name val="Calibri"/>
      <charset val="1"/>
    </font>
    <font>
      <b/>
      <sz val="12"/>
      <color rgb="FF1B2A4A"/>
      <name val="Calibri"/>
      <charset val="1"/>
    </font>
    <font>
      <i/>
      <sz val="8"/>
      <color rgb="FF808080"/>
      <name val="Calibri"/>
      <charset val="1"/>
    </font>
    <font>
      <sz val="11"/>
      <color theme="1"/>
      <name val="Aptos Narrow"/>
      <scheme val="minor"/>
    </font>
    <font>
      <sz val="9"/>
      <color theme="1"/>
      <name val="Aptos Narrow"/>
      <scheme val="minor"/>
    </font>
    <font>
      <sz val="9"/>
      <color rgb="FF4472C4"/>
      <name val="Aptos Narrow"/>
      <scheme val="minor"/>
    </font>
    <font>
      <sz val="10"/>
      <color rgb="FF008000"/>
      <name val="Calibri"/>
      <charset val="1"/>
    </font>
    <font>
      <i/>
      <sz val="9"/>
      <color rgb="FF008000"/>
      <name val="Calibri"/>
      <charset val="1"/>
    </font>
    <font>
      <b/>
      <i/>
      <sz val="12"/>
      <color rgb="FF1B2A4A"/>
      <name val="Calibri"/>
      <charset val="1"/>
    </font>
    <font>
      <sz val="10"/>
      <color theme="1"/>
      <name val="Calibri"/>
      <family val="2"/>
      <charset val="1"/>
    </font>
    <font>
      <b/>
      <sz val="10"/>
      <color theme="1"/>
      <name val="Calibri"/>
      <family val="2"/>
      <charset val="1"/>
    </font>
    <font>
      <i/>
      <sz val="9"/>
      <color rgb="FF808080"/>
      <name val="Calibri"/>
      <charset val="1"/>
    </font>
    <font>
      <sz val="9"/>
      <color indexed="81"/>
      <name val="Tahoma"/>
      <charset val="1"/>
    </font>
    <font>
      <b/>
      <sz val="9"/>
      <color indexed="81"/>
      <name val="Tahoma"/>
      <charset val="1"/>
    </font>
    <font>
      <sz val="10"/>
      <color rgb="FF155724"/>
      <name val="Calibri"/>
      <charset val="1"/>
    </font>
    <font>
      <sz val="9"/>
      <color rgb="FF155724"/>
      <name val="Calibri"/>
      <charset val="1"/>
    </font>
    <font>
      <b/>
      <sz val="18"/>
      <color rgb="FFFFFFFF"/>
      <name val="Calibri"/>
    </font>
    <font>
      <b/>
      <sz val="14"/>
      <color rgb="FF1B2A4A"/>
      <name val="Calibri"/>
    </font>
    <font>
      <b/>
      <sz val="10"/>
      <color rgb="FFC00000"/>
      <name val="Calibri"/>
      <charset val="1"/>
    </font>
    <font>
      <b/>
      <sz val="10"/>
      <color rgb="FF548235"/>
      <name val="Calibri"/>
      <charset val="1"/>
    </font>
    <font>
      <b/>
      <sz val="10"/>
      <color rgb="FFFFFFFF"/>
      <name val="Consolas"/>
      <charset val="1"/>
    </font>
    <font>
      <sz val="10"/>
      <color rgb="FF4472C4"/>
      <name val="Consolas"/>
      <charset val="1"/>
    </font>
    <font>
      <b/>
      <sz val="10"/>
      <color rgb="FF808080"/>
      <name val="Calibri"/>
      <charset val="1"/>
    </font>
    <font>
      <b/>
      <sz val="11"/>
      <name val="Calibri"/>
      <charset val="1"/>
    </font>
    <font>
      <b/>
      <sz val="12"/>
      <color theme="1"/>
      <name val="Calibri"/>
      <family val="2"/>
      <charset val="1"/>
    </font>
    <font>
      <b/>
      <sz val="14"/>
      <color rgb="FF1B2A4A"/>
      <name val="Aptos Narrow"/>
      <family val="2"/>
      <scheme val="minor"/>
    </font>
    <font>
      <b/>
      <sz val="12"/>
      <color rgb="FF1B2A4A"/>
      <name val="Aptos Narrow"/>
      <family val="2"/>
      <scheme val="minor"/>
    </font>
    <font>
      <i/>
      <sz val="8"/>
      <color rgb="FF4472C4"/>
      <name val="Aptos Narrow"/>
      <family val="2"/>
      <scheme val="minor"/>
    </font>
    <font>
      <b/>
      <sz val="11"/>
      <color theme="0"/>
      <name val="Aptos Narrow"/>
      <family val="2"/>
      <scheme val="minor"/>
    </font>
    <font>
      <sz val="10"/>
      <color rgb="FF808080"/>
      <name val="Aptos Narrow"/>
      <family val="2"/>
      <scheme val="minor"/>
    </font>
    <font>
      <sz val="10"/>
      <color rgb="FF000000"/>
      <name val="Calibri"/>
    </font>
    <font>
      <sz val="10"/>
      <color rgb="FF0F2D5C"/>
      <name val="Aptos Narrow"/>
      <family val="2"/>
      <scheme val="minor"/>
    </font>
    <font>
      <b/>
      <sz val="9"/>
      <color theme="0"/>
      <name val="Aptos Narrow"/>
      <family val="2"/>
      <scheme val="minor"/>
    </font>
    <font>
      <sz val="10"/>
      <color rgb="FF595959"/>
      <name val="Calibri"/>
      <family val="2"/>
    </font>
    <font>
      <sz val="10"/>
      <color rgb="FF404040"/>
      <name val="Calibri"/>
      <family val="2"/>
    </font>
    <font>
      <sz val="10"/>
      <color rgb="FF155724"/>
      <name val="Calibri"/>
      <family val="2"/>
    </font>
    <font>
      <b/>
      <sz val="10"/>
      <color rgb="FF856404"/>
      <name val="Calibri"/>
      <family val="2"/>
    </font>
    <font>
      <sz val="10"/>
      <color rgb="FF721C24"/>
      <name val="Calibri"/>
      <family val="2"/>
    </font>
    <font>
      <b/>
      <sz val="10"/>
      <color rgb="FF155724"/>
      <name val="Calibri"/>
      <family val="2"/>
    </font>
    <font>
      <sz val="10"/>
      <color rgb="FF000000"/>
      <name val="Calibri"/>
      <family val="2"/>
    </font>
    <font>
      <sz val="8"/>
      <color rgb="FF4472C4"/>
      <name val="Aptos Narrow"/>
      <family val="2"/>
      <scheme val="minor"/>
    </font>
    <font>
      <sz val="8"/>
      <color rgb="FF7030A0"/>
      <name val="Aptos Narrow"/>
      <family val="2"/>
      <scheme val="minor"/>
    </font>
    <font>
      <sz val="8"/>
      <color rgb="FF155724"/>
      <name val="Aptos Narrow"/>
      <family val="2"/>
      <scheme val="minor"/>
    </font>
    <font>
      <sz val="9"/>
      <color rgb="FF155724"/>
      <name val="Calibri"/>
      <family val="2"/>
      <charset val="1"/>
    </font>
    <font>
      <sz val="9"/>
      <color rgb="FF4472C4"/>
      <name val="Consolas"/>
      <family val="3"/>
    </font>
    <font>
      <sz val="10"/>
      <color rgb="FF155724"/>
      <name val="Calibri"/>
      <family val="2"/>
      <charset val="1"/>
    </font>
    <font>
      <sz val="9"/>
      <color rgb="FF7030A0"/>
      <name val="Calibri"/>
      <family val="2"/>
      <charset val="1"/>
    </font>
    <font>
      <b/>
      <sz val="12"/>
      <color theme="0"/>
      <name val="Aptos Narrow"/>
      <family val="2"/>
      <scheme val="minor"/>
    </font>
    <font>
      <b/>
      <sz val="9"/>
      <color rgb="FFAAAAAA"/>
      <name val="Aptos Narrow"/>
      <family val="2"/>
      <scheme val="minor"/>
    </font>
    <font>
      <b/>
      <sz val="16"/>
      <color rgb="FFFFC000"/>
      <name val="Aptos Narrow"/>
      <family val="2"/>
      <scheme val="minor"/>
    </font>
    <font>
      <sz val="10"/>
      <color rgb="FFFFC000"/>
      <name val="Aptos Narrow"/>
      <family val="2"/>
      <scheme val="minor"/>
    </font>
    <font>
      <sz val="8"/>
      <color rgb="FF70AD47"/>
      <name val="Aptos Narrow"/>
      <family val="2"/>
      <scheme val="minor"/>
    </font>
    <font>
      <b/>
      <sz val="14"/>
      <color rgb="FF4472C4"/>
      <name val="Aptos Narrow"/>
      <family val="2"/>
      <scheme val="minor"/>
    </font>
    <font>
      <b/>
      <sz val="14"/>
      <color rgb="FFED7D31"/>
      <name val="Aptos Narrow"/>
      <family val="2"/>
      <scheme val="minor"/>
    </font>
    <font>
      <b/>
      <sz val="14"/>
      <color rgb="FF70AD47"/>
      <name val="Aptos Narrow"/>
      <family val="2"/>
      <scheme val="minor"/>
    </font>
    <font>
      <sz val="12"/>
      <color theme="0"/>
      <name val="Aptos Narrow"/>
      <family val="2"/>
      <scheme val="minor"/>
    </font>
    <font>
      <b/>
      <sz val="10"/>
      <color theme="0"/>
      <name val="Calibri"/>
      <family val="2"/>
    </font>
    <font>
      <b/>
      <sz val="11"/>
      <color rgb="FF548235"/>
      <name val="Aptos Narrow"/>
      <family val="2"/>
      <scheme val="minor"/>
    </font>
    <font>
      <b/>
      <sz val="11"/>
      <color rgb="FF7030A0"/>
      <name val="Aptos Narrow"/>
      <family val="2"/>
      <scheme val="minor"/>
    </font>
    <font>
      <b/>
      <sz val="11"/>
      <color rgb="FF2F5496"/>
      <name val="Aptos Narrow"/>
      <family val="2"/>
      <scheme val="minor"/>
    </font>
    <font>
      <sz val="12"/>
      <color theme="1"/>
      <name val="Aptos Narrow"/>
      <family val="2"/>
      <scheme val="minor"/>
    </font>
    <font>
      <b/>
      <i/>
      <sz val="8"/>
      <color rgb="FFC55A11"/>
      <name val="Aptos Narrow"/>
      <family val="2"/>
      <scheme val="minor"/>
    </font>
    <font>
      <sz val="10"/>
      <color rgb="FFBBBBBB"/>
      <name val="Aptos Narrow"/>
      <family val="2"/>
      <scheme val="minor"/>
    </font>
    <font>
      <b/>
      <sz val="11"/>
      <color theme="1"/>
      <name val="Calibri"/>
      <family val="2"/>
      <charset val="1"/>
    </font>
    <font>
      <b/>
      <sz val="11"/>
      <color rgb="FFFFFFFF"/>
      <name val="Calibri"/>
      <family val="2"/>
      <charset val="1"/>
    </font>
    <font>
      <b/>
      <sz val="10"/>
      <color rgb="FFFFFFFF"/>
      <name val="Calibri"/>
      <family val="2"/>
      <charset val="1"/>
    </font>
    <font>
      <b/>
      <sz val="9"/>
      <color rgb="FF1B2A4A"/>
      <name val="Calibri"/>
      <family val="2"/>
      <charset val="1"/>
    </font>
    <font>
      <b/>
      <sz val="9"/>
      <color rgb="FFFFFFFF"/>
      <name val="Calibri"/>
      <family val="2"/>
      <charset val="1"/>
    </font>
    <font>
      <i/>
      <sz val="9"/>
      <color theme="1"/>
      <name val="Calibri"/>
      <family val="2"/>
      <charset val="1"/>
    </font>
    <font>
      <sz val="10"/>
      <color rgb="FF0000FF"/>
      <name val="Calibri"/>
      <family val="2"/>
      <charset val="1"/>
    </font>
    <font>
      <b/>
      <sz val="10"/>
      <color rgb="FF1B2A4A"/>
      <name val="Calibri"/>
      <family val="2"/>
      <charset val="1"/>
    </font>
    <font>
      <sz val="9"/>
      <color theme="1"/>
      <name val="Calibri"/>
      <family val="2"/>
      <charset val="1"/>
    </font>
    <font>
      <i/>
      <sz val="8"/>
      <color rgb="FF808080"/>
      <name val="Calibri"/>
      <family val="2"/>
      <charset val="1"/>
    </font>
    <font>
      <i/>
      <sz val="9"/>
      <color rgb="FF4472C4"/>
      <name val="Calibri"/>
      <family val="2"/>
      <charset val="1"/>
    </font>
  </fonts>
  <fills count="96">
    <fill>
      <patternFill patternType="none"/>
    </fill>
    <fill>
      <patternFill patternType="gray125"/>
    </fill>
    <fill>
      <patternFill patternType="solid">
        <fgColor rgb="FF003366"/>
        <bgColor indexed="64"/>
      </patternFill>
    </fill>
    <fill>
      <patternFill patternType="solid">
        <fgColor rgb="FFF2F2F2"/>
        <bgColor indexed="64"/>
      </patternFill>
    </fill>
    <fill>
      <patternFill patternType="solid">
        <fgColor rgb="FFFFFFFF"/>
        <bgColor indexed="64"/>
      </patternFill>
    </fill>
    <fill>
      <patternFill patternType="solid">
        <fgColor rgb="FFD9E1F2"/>
        <bgColor indexed="64"/>
      </patternFill>
    </fill>
    <fill>
      <patternFill patternType="solid">
        <fgColor rgb="FFEBF3FB"/>
        <bgColor indexed="64"/>
      </patternFill>
    </fill>
    <fill>
      <patternFill patternType="solid">
        <fgColor rgb="FFFFF0E6"/>
        <bgColor indexed="64"/>
      </patternFill>
    </fill>
    <fill>
      <patternFill patternType="solid">
        <fgColor rgb="FFF5F5F5"/>
        <bgColor indexed="64"/>
      </patternFill>
    </fill>
    <fill>
      <patternFill patternType="solid">
        <fgColor rgb="FFE2EFDA"/>
        <bgColor indexed="64"/>
      </patternFill>
    </fill>
    <fill>
      <patternFill patternType="solid">
        <fgColor rgb="FF4472C4"/>
        <bgColor indexed="64"/>
      </patternFill>
    </fill>
    <fill>
      <patternFill patternType="solid">
        <fgColor rgb="FFF8F9FA"/>
        <bgColor indexed="64"/>
      </patternFill>
    </fill>
    <fill>
      <patternFill patternType="solid">
        <fgColor rgb="FFC00000"/>
        <bgColor indexed="64"/>
      </patternFill>
    </fill>
    <fill>
      <patternFill patternType="solid">
        <fgColor rgb="FF1F4E79"/>
        <bgColor indexed="64"/>
      </patternFill>
    </fill>
    <fill>
      <patternFill patternType="solid">
        <fgColor rgb="FF2E75B6"/>
        <bgColor indexed="64"/>
      </patternFill>
    </fill>
    <fill>
      <patternFill patternType="solid">
        <fgColor rgb="FF0F2D5C"/>
        <bgColor indexed="64"/>
      </patternFill>
    </fill>
    <fill>
      <patternFill patternType="solid">
        <fgColor rgb="FFEEF3FB"/>
        <bgColor indexed="64"/>
      </patternFill>
    </fill>
    <fill>
      <patternFill patternType="solid">
        <fgColor rgb="FFF5F8FF"/>
        <bgColor indexed="64"/>
      </patternFill>
    </fill>
    <fill>
      <patternFill patternType="solid">
        <fgColor rgb="FFD9E8F5"/>
        <bgColor indexed="64"/>
      </patternFill>
    </fill>
    <fill>
      <patternFill patternType="solid">
        <fgColor rgb="FFBDD7EE"/>
        <bgColor indexed="64"/>
      </patternFill>
    </fill>
    <fill>
      <patternFill patternType="solid">
        <fgColor rgb="FFDDEEFF"/>
        <bgColor indexed="64"/>
      </patternFill>
    </fill>
    <fill>
      <patternFill patternType="solid">
        <fgColor rgb="FFFFF3F3"/>
        <bgColor indexed="64"/>
      </patternFill>
    </fill>
    <fill>
      <patternFill patternType="solid">
        <fgColor rgb="FFFFF8F8"/>
        <bgColor indexed="64"/>
      </patternFill>
    </fill>
    <fill>
      <patternFill patternType="solid">
        <fgColor rgb="FFE8F5E9"/>
        <bgColor indexed="64"/>
      </patternFill>
    </fill>
    <fill>
      <patternFill patternType="solid">
        <fgColor theme="3" tint="0.249977111117893"/>
        <bgColor indexed="64"/>
      </patternFill>
    </fill>
    <fill>
      <patternFill patternType="solid">
        <fgColor theme="2" tint="-0.249977111117893"/>
        <bgColor indexed="64"/>
      </patternFill>
    </fill>
    <fill>
      <patternFill patternType="solid">
        <fgColor rgb="FFFFF9C4"/>
        <bgColor indexed="64"/>
      </patternFill>
    </fill>
    <fill>
      <patternFill patternType="solid">
        <fgColor theme="0"/>
        <bgColor indexed="64"/>
      </patternFill>
    </fill>
    <fill>
      <patternFill patternType="solid">
        <fgColor rgb="FFFFF3CD"/>
        <bgColor indexed="64"/>
      </patternFill>
    </fill>
    <fill>
      <patternFill patternType="solid">
        <fgColor rgb="FFF8D7DA"/>
        <bgColor indexed="64"/>
      </patternFill>
    </fill>
    <fill>
      <patternFill patternType="solid">
        <fgColor rgb="FF1F3864"/>
        <bgColor indexed="64"/>
      </patternFill>
    </fill>
    <fill>
      <patternFill patternType="solid">
        <fgColor rgb="FF2E4057"/>
        <bgColor indexed="64"/>
      </patternFill>
    </fill>
    <fill>
      <patternFill patternType="solid">
        <fgColor rgb="FFFFD966"/>
        <bgColor indexed="64"/>
      </patternFill>
    </fill>
    <fill>
      <patternFill patternType="solid">
        <fgColor rgb="FFD6E4F7"/>
        <bgColor indexed="64"/>
      </patternFill>
    </fill>
    <fill>
      <patternFill patternType="solid">
        <fgColor rgb="FF7030A0"/>
        <bgColor indexed="64"/>
      </patternFill>
    </fill>
    <fill>
      <patternFill patternType="solid">
        <fgColor rgb="FFD9D9D9"/>
        <bgColor indexed="64"/>
      </patternFill>
    </fill>
    <fill>
      <patternFill patternType="solid">
        <fgColor rgb="FFF4B942"/>
        <bgColor indexed="64"/>
      </patternFill>
    </fill>
    <fill>
      <patternFill patternType="solid">
        <fgColor rgb="FFC55A11"/>
        <bgColor indexed="64"/>
      </patternFill>
    </fill>
    <fill>
      <patternFill patternType="solid">
        <fgColor rgb="FF92D050"/>
        <bgColor indexed="64"/>
      </patternFill>
    </fill>
    <fill>
      <patternFill patternType="solid">
        <fgColor rgb="FF375623"/>
        <bgColor indexed="64"/>
      </patternFill>
    </fill>
    <fill>
      <patternFill patternType="solid">
        <fgColor rgb="FFF1F8E9"/>
        <bgColor indexed="64"/>
      </patternFill>
    </fill>
    <fill>
      <patternFill patternType="solid">
        <fgColor rgb="FF1B3A5C"/>
        <bgColor indexed="64"/>
      </patternFill>
    </fill>
    <fill>
      <patternFill patternType="solid">
        <fgColor rgb="FF1B2A4A"/>
        <bgColor indexed="64"/>
      </patternFill>
    </fill>
    <fill>
      <patternFill patternType="solid">
        <fgColor rgb="FFF4F6F9"/>
        <bgColor indexed="64"/>
      </patternFill>
    </fill>
    <fill>
      <patternFill patternType="solid">
        <fgColor rgb="FFE8EDF3"/>
        <bgColor indexed="64"/>
      </patternFill>
    </fill>
    <fill>
      <patternFill patternType="solid">
        <fgColor rgb="FFFAFBFC"/>
        <bgColor indexed="64"/>
      </patternFill>
    </fill>
    <fill>
      <patternFill patternType="solid">
        <fgColor rgb="FFC0392B"/>
        <bgColor indexed="64"/>
      </patternFill>
    </fill>
    <fill>
      <patternFill patternType="solid">
        <fgColor rgb="FFFADBD8"/>
        <bgColor indexed="64"/>
      </patternFill>
    </fill>
    <fill>
      <patternFill patternType="solid">
        <fgColor rgb="FFFFF5F5"/>
        <bgColor indexed="64"/>
      </patternFill>
    </fill>
    <fill>
      <patternFill patternType="solid">
        <fgColor rgb="FF2471A3"/>
        <bgColor indexed="64"/>
      </patternFill>
    </fill>
    <fill>
      <patternFill patternType="solid">
        <fgColor rgb="FFD4E6F1"/>
        <bgColor indexed="64"/>
      </patternFill>
    </fill>
    <fill>
      <patternFill patternType="solid">
        <fgColor rgb="FFFAFCFE"/>
        <bgColor indexed="64"/>
      </patternFill>
    </fill>
    <fill>
      <patternFill patternType="solid">
        <fgColor rgb="FFEBF5FB"/>
        <bgColor indexed="64"/>
      </patternFill>
    </fill>
    <fill>
      <patternFill patternType="solid">
        <fgColor rgb="FFFFFFCC"/>
        <bgColor indexed="64"/>
      </patternFill>
    </fill>
    <fill>
      <patternFill patternType="solid">
        <fgColor rgb="FFD4EDDA"/>
        <bgColor indexed="64"/>
      </patternFill>
    </fill>
    <fill>
      <patternFill patternType="solid">
        <fgColor rgb="FF1B2A4A"/>
        <bgColor rgb="FF003366"/>
      </patternFill>
    </fill>
    <fill>
      <patternFill patternType="solid">
        <fgColor rgb="FFFFF2CC"/>
        <bgColor rgb="FFFCE4D6"/>
      </patternFill>
    </fill>
    <fill>
      <patternFill patternType="solid">
        <fgColor rgb="FFF2F2F2"/>
        <bgColor rgb="FFE2EFDA"/>
      </patternFill>
    </fill>
    <fill>
      <patternFill patternType="solid">
        <fgColor rgb="FF2E75B6"/>
        <bgColor rgb="FF4472C4"/>
      </patternFill>
    </fill>
    <fill>
      <patternFill patternType="solid">
        <fgColor rgb="FFFFFFFF"/>
        <bgColor rgb="FFF2F2F2"/>
      </patternFill>
    </fill>
    <fill>
      <patternFill patternType="solid">
        <fgColor rgb="FFD6E4F0"/>
        <bgColor rgb="FFD9D9D9"/>
      </patternFill>
    </fill>
    <fill>
      <patternFill patternType="solid">
        <fgColor rgb="FFBDD7EE"/>
        <bgColor rgb="FFD9D9D9"/>
      </patternFill>
    </fill>
    <fill>
      <patternFill patternType="solid">
        <fgColor rgb="FF548235"/>
        <bgColor rgb="FF339966"/>
      </patternFill>
    </fill>
    <fill>
      <patternFill patternType="solid">
        <fgColor rgb="FFE2EFDA"/>
        <bgColor rgb="FFF2F2F2"/>
      </patternFill>
    </fill>
    <fill>
      <patternFill patternType="solid">
        <fgColor rgb="FFC6EFCE"/>
        <bgColor rgb="FFE2EFDA"/>
      </patternFill>
    </fill>
    <fill>
      <patternFill patternType="solid">
        <fgColor rgb="FFC55A11"/>
        <bgColor rgb="FF993300"/>
      </patternFill>
    </fill>
    <fill>
      <patternFill patternType="solid">
        <fgColor rgb="FFFCE4D6"/>
        <bgColor rgb="FFF2DCDB"/>
      </patternFill>
    </fill>
    <fill>
      <patternFill patternType="solid">
        <fgColor rgb="FFC00000"/>
        <bgColor rgb="FFFF0000"/>
      </patternFill>
    </fill>
    <fill>
      <patternFill patternType="solid">
        <fgColor rgb="FFF2DCDB"/>
        <bgColor rgb="FFFCE4D6"/>
      </patternFill>
    </fill>
    <fill>
      <patternFill patternType="solid">
        <fgColor rgb="FFFFC7CE"/>
        <bgColor rgb="FFF2DCDB"/>
      </patternFill>
    </fill>
    <fill>
      <patternFill patternType="solid">
        <fgColor rgb="FFFFEB9C"/>
        <bgColor rgb="FFFFF2CC"/>
      </patternFill>
    </fill>
    <fill>
      <patternFill patternType="solid">
        <fgColor rgb="FFFFF2CC"/>
        <bgColor indexed="64"/>
      </patternFill>
    </fill>
    <fill>
      <patternFill patternType="solid">
        <fgColor rgb="FF1B2A4A"/>
        <bgColor rgb="FF203864"/>
      </patternFill>
    </fill>
    <fill>
      <patternFill patternType="solid">
        <fgColor rgb="FF548235"/>
        <bgColor rgb="FF808080"/>
      </patternFill>
    </fill>
    <fill>
      <patternFill patternType="solid">
        <fgColor rgb="FF7030A0"/>
        <bgColor rgb="FF993366"/>
      </patternFill>
    </fill>
    <fill>
      <patternFill patternType="solid">
        <fgColor rgb="FF2E8B8B"/>
        <bgColor rgb="FF2E75B6"/>
      </patternFill>
    </fill>
    <fill>
      <patternFill patternType="solid">
        <fgColor rgb="FF203864"/>
        <bgColor rgb="FF1B2A4A"/>
      </patternFill>
    </fill>
    <fill>
      <patternFill patternType="solid">
        <fgColor rgb="FFD6E4F0"/>
        <bgColor rgb="FFD5EDED"/>
      </patternFill>
    </fill>
    <fill>
      <patternFill patternType="solid">
        <fgColor rgb="FFE2EFDA"/>
        <bgColor rgb="FFD5EDED"/>
      </patternFill>
    </fill>
    <fill>
      <patternFill patternType="solid">
        <fgColor rgb="FFFCE4D6"/>
        <bgColor rgb="FFFFF2CC"/>
      </patternFill>
    </fill>
    <fill>
      <patternFill patternType="solid">
        <fgColor rgb="FFE2D1F0"/>
        <bgColor rgb="FFD9D9D9"/>
      </patternFill>
    </fill>
    <fill>
      <patternFill patternType="solid">
        <fgColor rgb="FFD5EDED"/>
        <bgColor rgb="FFD6E4F0"/>
      </patternFill>
    </fill>
    <fill>
      <patternFill patternType="solid">
        <fgColor rgb="FFFFC7CE"/>
        <bgColor rgb="FFE2D1F0"/>
      </patternFill>
    </fill>
    <fill>
      <patternFill patternType="solid">
        <fgColor rgb="FFC6EFCE"/>
        <bgColor rgb="FFD5EDED"/>
      </patternFill>
    </fill>
    <fill>
      <patternFill patternType="solid">
        <fgColor rgb="FFD6E4F0"/>
        <bgColor indexed="64"/>
      </patternFill>
    </fill>
    <fill>
      <patternFill patternType="solid">
        <fgColor theme="2"/>
        <bgColor indexed="64"/>
      </patternFill>
    </fill>
    <fill>
      <patternFill patternType="solid">
        <fgColor rgb="FF002060"/>
        <bgColor indexed="64"/>
      </patternFill>
    </fill>
    <fill>
      <patternFill patternType="solid">
        <fgColor rgb="FFED7D31"/>
        <bgColor indexed="64"/>
      </patternFill>
    </fill>
    <fill>
      <patternFill patternType="solid">
        <fgColor rgb="FF548235"/>
        <bgColor indexed="64"/>
      </patternFill>
    </fill>
    <fill>
      <patternFill patternType="solid">
        <fgColor rgb="FF70AD47"/>
        <bgColor indexed="64"/>
      </patternFill>
    </fill>
    <fill>
      <patternFill patternType="solid">
        <fgColor rgb="FFE6D7F4"/>
        <bgColor indexed="64"/>
      </patternFill>
    </fill>
    <fill>
      <patternFill patternType="solid">
        <fgColor rgb="FF2E8B8B"/>
        <bgColor indexed="64"/>
      </patternFill>
    </fill>
    <fill>
      <patternFill patternType="solid">
        <fgColor rgb="FF203864"/>
        <bgColor indexed="64"/>
      </patternFill>
    </fill>
    <fill>
      <patternFill patternType="solid">
        <fgColor rgb="FFFCE4D6"/>
        <bgColor indexed="64"/>
      </patternFill>
    </fill>
    <fill>
      <patternFill patternType="solid">
        <fgColor rgb="FFE2D1F0"/>
        <bgColor indexed="64"/>
      </patternFill>
    </fill>
    <fill>
      <patternFill patternType="solid">
        <fgColor rgb="FFD5EDED"/>
        <bgColor indexed="64"/>
      </patternFill>
    </fill>
  </fills>
  <borders count="142">
    <border>
      <left/>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4472C4"/>
      </left>
      <right/>
      <top/>
      <bottom/>
      <diagonal/>
    </border>
    <border>
      <left style="thin">
        <color rgb="FF4472C4"/>
      </left>
      <right/>
      <top style="thick">
        <color rgb="FF4472C4"/>
      </top>
      <bottom/>
      <diagonal/>
    </border>
    <border>
      <left style="thin">
        <color rgb="FF4472C4"/>
      </left>
      <right/>
      <top/>
      <bottom style="thin">
        <color rgb="FF4472C4"/>
      </bottom>
      <diagonal/>
    </border>
    <border>
      <left/>
      <right/>
      <top style="thin">
        <color rgb="FFDDDDDD"/>
      </top>
      <bottom style="thin">
        <color rgb="FFDDDDDD"/>
      </bottom>
      <diagonal/>
    </border>
    <border>
      <left/>
      <right style="thin">
        <color auto="1"/>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style="thin">
        <color auto="1"/>
      </left>
      <right style="thin">
        <color rgb="FFDDDDDD"/>
      </right>
      <top style="thin">
        <color rgb="FFDDDDDD"/>
      </top>
      <bottom style="thin">
        <color rgb="FFDDDDDD"/>
      </bottom>
      <diagonal/>
    </border>
    <border>
      <left style="thin">
        <color rgb="FFDDDDDD"/>
      </left>
      <right style="thin">
        <color auto="1"/>
      </right>
      <top style="thin">
        <color rgb="FFDDDDDD"/>
      </top>
      <bottom style="thin">
        <color rgb="FFDDDDDD"/>
      </bottom>
      <diagonal/>
    </border>
    <border>
      <left style="thin">
        <color auto="1"/>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style="thin">
        <color auto="1"/>
      </right>
      <top style="thin">
        <color rgb="FFDDDDDD"/>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style="thin">
        <color rgb="FFD9D9D9"/>
      </left>
      <right style="thin">
        <color rgb="FFD9D9D9"/>
      </right>
      <top style="medium">
        <color rgb="FF4472C4"/>
      </top>
      <bottom style="thin">
        <color rgb="FFD9D9D9"/>
      </bottom>
      <diagonal/>
    </border>
    <border>
      <left style="thin">
        <color rgb="FFD9D9D9"/>
      </left>
      <right style="thin">
        <color rgb="FFD9D9D9"/>
      </right>
      <top style="thin">
        <color rgb="FFD9D9D9"/>
      </top>
      <bottom style="medium">
        <color rgb="FF4472C4"/>
      </bottom>
      <diagonal/>
    </border>
    <border>
      <left style="medium">
        <color rgb="FF4472C4"/>
      </left>
      <right style="thin">
        <color rgb="FFD9D9D9"/>
      </right>
      <top style="medium">
        <color rgb="FF4472C4"/>
      </top>
      <bottom style="thin">
        <color rgb="FFD9D9D9"/>
      </bottom>
      <diagonal/>
    </border>
    <border>
      <left style="medium">
        <color rgb="FF4472C4"/>
      </left>
      <right style="thin">
        <color rgb="FFD9D9D9"/>
      </right>
      <top style="thin">
        <color rgb="FFD9D9D9"/>
      </top>
      <bottom style="thin">
        <color rgb="FFD9D9D9"/>
      </bottom>
      <diagonal/>
    </border>
    <border>
      <left style="medium">
        <color rgb="FF4472C4"/>
      </left>
      <right style="thin">
        <color rgb="FFD9D9D9"/>
      </right>
      <top style="thin">
        <color rgb="FFD9D9D9"/>
      </top>
      <bottom style="medium">
        <color rgb="FF4472C4"/>
      </bottom>
      <diagonal/>
    </border>
    <border>
      <left style="thin">
        <color rgb="FFD9D9D9"/>
      </left>
      <right style="medium">
        <color rgb="FF4472C4"/>
      </right>
      <top style="medium">
        <color rgb="FF4472C4"/>
      </top>
      <bottom style="thin">
        <color rgb="FFD9D9D9"/>
      </bottom>
      <diagonal/>
    </border>
    <border>
      <left style="thin">
        <color rgb="FFD9D9D9"/>
      </left>
      <right style="medium">
        <color rgb="FF4472C4"/>
      </right>
      <top style="thin">
        <color rgb="FFD9D9D9"/>
      </top>
      <bottom style="thin">
        <color rgb="FFD9D9D9"/>
      </bottom>
      <diagonal/>
    </border>
    <border>
      <left style="thin">
        <color rgb="FFD9D9D9"/>
      </left>
      <right style="medium">
        <color rgb="FF4472C4"/>
      </right>
      <top style="thin">
        <color rgb="FFD9D9D9"/>
      </top>
      <bottom style="medium">
        <color rgb="FF4472C4"/>
      </bottom>
      <diagonal/>
    </border>
    <border>
      <left style="thin">
        <color rgb="FFD9D9D9"/>
      </left>
      <right style="thin">
        <color rgb="FFD9D9D9"/>
      </right>
      <top style="medium">
        <color rgb="FFC00000"/>
      </top>
      <bottom style="thin">
        <color rgb="FFD9D9D9"/>
      </bottom>
      <diagonal/>
    </border>
    <border>
      <left style="thin">
        <color rgb="FFD9D9D9"/>
      </left>
      <right style="thin">
        <color rgb="FFD9D9D9"/>
      </right>
      <top style="thin">
        <color rgb="FFD9D9D9"/>
      </top>
      <bottom style="medium">
        <color rgb="FFC00000"/>
      </bottom>
      <diagonal/>
    </border>
    <border>
      <left style="medium">
        <color rgb="FFC00000"/>
      </left>
      <right style="thin">
        <color rgb="FFD9D9D9"/>
      </right>
      <top style="medium">
        <color rgb="FFC00000"/>
      </top>
      <bottom style="thin">
        <color rgb="FFD9D9D9"/>
      </bottom>
      <diagonal/>
    </border>
    <border>
      <left style="medium">
        <color rgb="FFC00000"/>
      </left>
      <right style="thin">
        <color rgb="FFD9D9D9"/>
      </right>
      <top style="thin">
        <color rgb="FFD9D9D9"/>
      </top>
      <bottom style="thin">
        <color rgb="FFD9D9D9"/>
      </bottom>
      <diagonal/>
    </border>
    <border>
      <left style="medium">
        <color rgb="FFC00000"/>
      </left>
      <right style="thin">
        <color rgb="FFD9D9D9"/>
      </right>
      <top style="thin">
        <color rgb="FFD9D9D9"/>
      </top>
      <bottom style="medium">
        <color rgb="FFC00000"/>
      </bottom>
      <diagonal/>
    </border>
    <border>
      <left style="thin">
        <color rgb="FFD9D9D9"/>
      </left>
      <right style="medium">
        <color rgb="FFC00000"/>
      </right>
      <top style="medium">
        <color rgb="FFC00000"/>
      </top>
      <bottom style="thin">
        <color rgb="FFD9D9D9"/>
      </bottom>
      <diagonal/>
    </border>
    <border>
      <left style="thin">
        <color rgb="FFD9D9D9"/>
      </left>
      <right style="medium">
        <color rgb="FFC00000"/>
      </right>
      <top style="thin">
        <color rgb="FFD9D9D9"/>
      </top>
      <bottom style="thin">
        <color rgb="FFD9D9D9"/>
      </bottom>
      <diagonal/>
    </border>
    <border>
      <left style="thin">
        <color rgb="FFD9D9D9"/>
      </left>
      <right style="medium">
        <color rgb="FFC00000"/>
      </right>
      <top style="thin">
        <color rgb="FFD9D9D9"/>
      </top>
      <bottom style="medium">
        <color rgb="FFC00000"/>
      </bottom>
      <diagonal/>
    </border>
    <border>
      <left/>
      <right/>
      <top style="medium">
        <color rgb="FF1F3864"/>
      </top>
      <bottom style="thin">
        <color rgb="FFD9D9D9"/>
      </bottom>
      <diagonal/>
    </border>
    <border>
      <left/>
      <right/>
      <top style="thin">
        <color rgb="FFD9D9D9"/>
      </top>
      <bottom style="medium">
        <color rgb="FF1F3864"/>
      </bottom>
      <diagonal/>
    </border>
    <border>
      <left/>
      <right style="thin">
        <color rgb="FFD9D9D9"/>
      </right>
      <top style="medium">
        <color rgb="FF1F3864"/>
      </top>
      <bottom style="thin">
        <color rgb="FFD9D9D9"/>
      </bottom>
      <diagonal/>
    </border>
    <border>
      <left style="thin">
        <color rgb="FFD9D9D9"/>
      </left>
      <right style="thin">
        <color rgb="FFD9D9D9"/>
      </right>
      <top style="medium">
        <color rgb="FF1F3864"/>
      </top>
      <bottom style="thin">
        <color rgb="FFD9D9D9"/>
      </bottom>
      <diagonal/>
    </border>
    <border>
      <left style="thin">
        <color rgb="FFD9D9D9"/>
      </left>
      <right/>
      <top style="medium">
        <color rgb="FF1F3864"/>
      </top>
      <bottom style="thin">
        <color rgb="FFD9D9D9"/>
      </bottom>
      <diagonal/>
    </border>
    <border>
      <left/>
      <right style="thin">
        <color rgb="FFD9D9D9"/>
      </right>
      <top style="thin">
        <color rgb="FFD9D9D9"/>
      </top>
      <bottom style="medium">
        <color rgb="FF1F3864"/>
      </bottom>
      <diagonal/>
    </border>
    <border>
      <left style="thin">
        <color rgb="FFD9D9D9"/>
      </left>
      <right style="thin">
        <color rgb="FFD9D9D9"/>
      </right>
      <top style="thin">
        <color rgb="FFD9D9D9"/>
      </top>
      <bottom style="medium">
        <color rgb="FF1F3864"/>
      </bottom>
      <diagonal/>
    </border>
    <border>
      <left style="thin">
        <color rgb="FFD9D9D9"/>
      </left>
      <right/>
      <top style="thin">
        <color rgb="FFD9D9D9"/>
      </top>
      <bottom style="medium">
        <color rgb="FF1F3864"/>
      </bottom>
      <diagonal/>
    </border>
    <border>
      <left style="thin">
        <color rgb="FFD9D9D9"/>
      </left>
      <right style="thin">
        <color rgb="FFD9D9D9"/>
      </right>
      <top style="medium">
        <color rgb="FF7030A0"/>
      </top>
      <bottom style="thin">
        <color rgb="FFD9D9D9"/>
      </bottom>
      <diagonal/>
    </border>
    <border>
      <left style="medium">
        <color rgb="FF7030A0"/>
      </left>
      <right style="thin">
        <color rgb="FFD9D9D9"/>
      </right>
      <top style="medium">
        <color rgb="FF7030A0"/>
      </top>
      <bottom style="thin">
        <color rgb="FFD9D9D9"/>
      </bottom>
      <diagonal/>
    </border>
    <border>
      <left style="medium">
        <color rgb="FF7030A0"/>
      </left>
      <right style="thin">
        <color rgb="FFD9D9D9"/>
      </right>
      <top style="thin">
        <color rgb="FFD9D9D9"/>
      </top>
      <bottom style="thin">
        <color rgb="FFD9D9D9"/>
      </bottom>
      <diagonal/>
    </border>
    <border>
      <left style="medium">
        <color rgb="FF7030A0"/>
      </left>
      <right style="thin">
        <color rgb="FFD9D9D9"/>
      </right>
      <top style="thin">
        <color rgb="FFD9D9D9"/>
      </top>
      <bottom style="medium">
        <color rgb="FF7030A0"/>
      </bottom>
      <diagonal/>
    </border>
    <border>
      <left style="thin">
        <color rgb="FFD9D9D9"/>
      </left>
      <right style="medium">
        <color rgb="FF7030A0"/>
      </right>
      <top style="medium">
        <color rgb="FF7030A0"/>
      </top>
      <bottom style="thin">
        <color rgb="FFD9D9D9"/>
      </bottom>
      <diagonal/>
    </border>
    <border>
      <left style="medium">
        <color rgb="FF003366"/>
      </left>
      <right/>
      <top/>
      <bottom/>
      <diagonal/>
    </border>
    <border>
      <left style="medium">
        <color rgb="FF003366"/>
      </left>
      <right/>
      <top style="medium">
        <color rgb="FF003366"/>
      </top>
      <bottom style="thin">
        <color rgb="FFD9D9D9"/>
      </bottom>
      <diagonal/>
    </border>
    <border>
      <left/>
      <right style="medium">
        <color rgb="FF003366"/>
      </right>
      <top style="medium">
        <color rgb="FF003366"/>
      </top>
      <bottom style="thin">
        <color rgb="FFD9D9D9"/>
      </bottom>
      <diagonal/>
    </border>
    <border>
      <left style="medium">
        <color rgb="FF003366"/>
      </left>
      <right/>
      <top style="thin">
        <color rgb="FFD9D9D9"/>
      </top>
      <bottom style="thin">
        <color rgb="FFD9D9D9"/>
      </bottom>
      <diagonal/>
    </border>
    <border>
      <left/>
      <right style="medium">
        <color rgb="FF003366"/>
      </right>
      <top style="thin">
        <color rgb="FFD9D9D9"/>
      </top>
      <bottom style="thin">
        <color rgb="FFD9D9D9"/>
      </bottom>
      <diagonal/>
    </border>
    <border>
      <left style="medium">
        <color rgb="FF003366"/>
      </left>
      <right/>
      <top style="thin">
        <color rgb="FFD9D9D9"/>
      </top>
      <bottom style="medium">
        <color rgb="FF003366"/>
      </bottom>
      <diagonal/>
    </border>
    <border>
      <left/>
      <right style="medium">
        <color rgb="FF003366"/>
      </right>
      <top style="thin">
        <color rgb="FFD9D9D9"/>
      </top>
      <bottom style="medium">
        <color rgb="FF003366"/>
      </bottom>
      <diagonal/>
    </border>
    <border>
      <left style="medium">
        <color rgb="FF1F3864"/>
      </left>
      <right/>
      <top/>
      <bottom/>
      <diagonal/>
    </border>
    <border>
      <left/>
      <right style="medium">
        <color rgb="FF1F3864"/>
      </right>
      <top/>
      <bottom/>
      <diagonal/>
    </border>
    <border>
      <left style="medium">
        <color rgb="FF1F3864"/>
      </left>
      <right/>
      <top/>
      <bottom style="medium">
        <color rgb="FF1F3864"/>
      </bottom>
      <diagonal/>
    </border>
    <border>
      <left/>
      <right style="medium">
        <color rgb="FF1F3864"/>
      </right>
      <top/>
      <bottom style="medium">
        <color rgb="FF1F3864"/>
      </bottom>
      <diagonal/>
    </border>
    <border>
      <left style="medium">
        <color rgb="FF2E4057"/>
      </left>
      <right/>
      <top/>
      <bottom/>
      <diagonal/>
    </border>
    <border>
      <left/>
      <right/>
      <top/>
      <bottom style="medium">
        <color rgb="FF2E75B6"/>
      </bottom>
      <diagonal/>
    </border>
    <border>
      <left/>
      <right/>
      <top style="medium">
        <color indexed="64"/>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bottom style="thin">
        <color auto="1"/>
      </bottom>
      <diagonal/>
    </border>
    <border>
      <left style="thin">
        <color auto="1"/>
      </left>
      <right style="thin">
        <color indexed="64"/>
      </right>
      <top/>
      <bottom/>
      <diagonal/>
    </border>
    <border>
      <left style="thin">
        <color indexed="64"/>
      </left>
      <right style="thin">
        <color indexed="64"/>
      </right>
      <top style="thin">
        <color rgb="FFD9D9D9"/>
      </top>
      <bottom style="thin">
        <color rgb="FFD9D9D9"/>
      </bottom>
      <diagonal/>
    </border>
    <border>
      <left style="thin">
        <color indexed="64"/>
      </left>
      <right style="thin">
        <color indexed="64"/>
      </right>
      <top style="thin">
        <color rgb="FFD9D9D9"/>
      </top>
      <bottom style="thin">
        <color indexed="64"/>
      </bottom>
      <diagonal/>
    </border>
    <border>
      <left/>
      <right/>
      <top/>
      <bottom style="thin">
        <color rgb="FFD9D9D9"/>
      </bottom>
      <diagonal/>
    </border>
    <border>
      <left/>
      <right/>
      <top style="medium">
        <color rgb="FF1F3864"/>
      </top>
      <bottom/>
      <diagonal/>
    </border>
    <border>
      <left style="thin">
        <color indexed="64"/>
      </left>
      <right style="thin">
        <color indexed="64"/>
      </right>
      <top style="thin">
        <color indexed="64"/>
      </top>
      <bottom style="thin">
        <color rgb="FFD9D9D9"/>
      </bottom>
      <diagonal/>
    </border>
    <border>
      <left/>
      <right/>
      <top style="thin">
        <color rgb="FF1B2A4A"/>
      </top>
      <bottom/>
      <diagonal/>
    </border>
    <border>
      <left/>
      <right/>
      <top style="thin">
        <color rgb="FFE5E8EC"/>
      </top>
      <bottom/>
      <diagonal/>
    </border>
    <border>
      <left/>
      <right/>
      <top style="thin">
        <color rgb="FFF5C6CB"/>
      </top>
      <bottom/>
      <diagonal/>
    </border>
    <border>
      <left/>
      <right/>
      <top style="thin">
        <color rgb="FFF5C6CB"/>
      </top>
      <bottom style="medium">
        <color rgb="FFC0392B"/>
      </bottom>
      <diagonal/>
    </border>
    <border>
      <left/>
      <right/>
      <top style="thin">
        <color rgb="FFD4E6F1"/>
      </top>
      <bottom/>
      <diagonal/>
    </border>
    <border>
      <left/>
      <right/>
      <top style="thin">
        <color rgb="FF003366"/>
      </top>
      <bottom/>
      <diagonal/>
    </border>
    <border>
      <left/>
      <right/>
      <top/>
      <bottom style="thin">
        <color rgb="FF003366"/>
      </bottom>
      <diagonal/>
    </border>
    <border>
      <left style="thin">
        <color rgb="FF003366"/>
      </left>
      <right/>
      <top style="thin">
        <color rgb="FF003366"/>
      </top>
      <bottom/>
      <diagonal/>
    </border>
    <border>
      <left style="thin">
        <color rgb="FF003366"/>
      </left>
      <right/>
      <top/>
      <bottom/>
      <diagonal/>
    </border>
    <border>
      <left style="thin">
        <color rgb="FF003366"/>
      </left>
      <right/>
      <top/>
      <bottom style="thin">
        <color rgb="FF003366"/>
      </bottom>
      <diagonal/>
    </border>
    <border>
      <left/>
      <right style="thin">
        <color rgb="FF003366"/>
      </right>
      <top style="thin">
        <color rgb="FF003366"/>
      </top>
      <bottom/>
      <diagonal/>
    </border>
    <border>
      <left/>
      <right style="thin">
        <color rgb="FF003366"/>
      </right>
      <top/>
      <bottom/>
      <diagonal/>
    </border>
    <border>
      <left/>
      <right style="thin">
        <color rgb="FF003366"/>
      </right>
      <top/>
      <bottom style="thin">
        <color rgb="FF003366"/>
      </bottom>
      <diagonal/>
    </border>
    <border>
      <left/>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rgb="FFD4E6F1"/>
      </top>
      <bottom/>
      <diagonal/>
    </border>
    <border>
      <left/>
      <right style="medium">
        <color indexed="64"/>
      </right>
      <top style="thin">
        <color rgb="FFD4E6F1"/>
      </top>
      <bottom/>
      <diagonal/>
    </border>
    <border>
      <left style="medium">
        <color indexed="64"/>
      </left>
      <right/>
      <top style="thin">
        <color rgb="FFD4E6F1"/>
      </top>
      <bottom style="medium">
        <color indexed="64"/>
      </bottom>
      <diagonal/>
    </border>
    <border>
      <left/>
      <right/>
      <top style="thin">
        <color rgb="FFD4E6F1"/>
      </top>
      <bottom style="medium">
        <color indexed="64"/>
      </bottom>
      <diagonal/>
    </border>
    <border>
      <left/>
      <right style="medium">
        <color indexed="64"/>
      </right>
      <top style="thin">
        <color rgb="FFD4E6F1"/>
      </top>
      <bottom style="medium">
        <color indexed="64"/>
      </bottom>
      <diagonal/>
    </border>
    <border>
      <left style="medium">
        <color indexed="64"/>
      </left>
      <right/>
      <top style="thin">
        <color rgb="FF1B2A4A"/>
      </top>
      <bottom/>
      <diagonal/>
    </border>
    <border>
      <left/>
      <right style="medium">
        <color indexed="64"/>
      </right>
      <top style="thin">
        <color rgb="FF1B2A4A"/>
      </top>
      <bottom/>
      <diagonal/>
    </border>
    <border>
      <left style="medium">
        <color indexed="64"/>
      </left>
      <right/>
      <top style="thin">
        <color rgb="FFE5E8EC"/>
      </top>
      <bottom/>
      <diagonal/>
    </border>
    <border>
      <left/>
      <right style="medium">
        <color indexed="64"/>
      </right>
      <top style="thin">
        <color rgb="FFE5E8EC"/>
      </top>
      <bottom/>
      <diagonal/>
    </border>
    <border>
      <left style="medium">
        <color indexed="64"/>
      </left>
      <right/>
      <top style="thin">
        <color rgb="FFE5E8EC"/>
      </top>
      <bottom style="medium">
        <color indexed="64"/>
      </bottom>
      <diagonal/>
    </border>
    <border>
      <left/>
      <right/>
      <top style="thin">
        <color rgb="FFE5E8EC"/>
      </top>
      <bottom style="medium">
        <color indexed="64"/>
      </bottom>
      <diagonal/>
    </border>
    <border>
      <left/>
      <right style="medium">
        <color indexed="64"/>
      </right>
      <top style="thin">
        <color rgb="FFE5E8EC"/>
      </top>
      <bottom style="medium">
        <color indexed="64"/>
      </bottom>
      <diagonal/>
    </border>
    <border>
      <left/>
      <right/>
      <top style="double">
        <color rgb="FF1B2A4A"/>
      </top>
      <bottom style="double">
        <color rgb="FF1B2A4A"/>
      </bottom>
      <diagonal/>
    </border>
    <border>
      <left style="thin">
        <color rgb="FFD9D9D9"/>
      </left>
      <right style="thin">
        <color rgb="FFD9D9D9"/>
      </right>
      <top/>
      <bottom style="thin">
        <color rgb="FFD9D9D9"/>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rgb="FF000000"/>
      </left>
      <right/>
      <top style="thin">
        <color rgb="FFDDDDDD"/>
      </top>
      <bottom/>
      <diagonal/>
    </border>
    <border>
      <left style="thin">
        <color rgb="FF000000"/>
      </left>
      <right/>
      <top style="thin">
        <color rgb="FFDDDDDD"/>
      </top>
      <bottom style="thin">
        <color rgb="FFDDDDDD"/>
      </bottom>
      <diagonal/>
    </border>
    <border>
      <left style="thin">
        <color rgb="FFDDDDDD"/>
      </left>
      <right/>
      <top style="thin">
        <color rgb="FFDDDDDD"/>
      </top>
      <bottom/>
      <diagonal/>
    </border>
    <border>
      <left style="thin">
        <color rgb="FF000000"/>
      </left>
      <right/>
      <top/>
      <bottom/>
      <diagonal/>
    </border>
    <border>
      <left style="thin">
        <color rgb="FFD9D9D9"/>
      </left>
      <right style="thin">
        <color rgb="FFD9D9D9"/>
      </right>
      <top style="thin">
        <color rgb="FFD9D9D9"/>
      </top>
      <bottom/>
      <diagonal/>
    </border>
    <border>
      <left style="thin">
        <color rgb="FFD9D9D9"/>
      </left>
      <right style="thin">
        <color rgb="FFD9D9D9"/>
      </right>
      <top style="medium">
        <color auto="1"/>
      </top>
      <bottom style="thin">
        <color rgb="FFD9D9D9"/>
      </bottom>
      <diagonal/>
    </border>
    <border>
      <left style="thin">
        <color rgb="FFD9D9D9"/>
      </left>
      <right style="thin">
        <color rgb="FFD9D9D9"/>
      </right>
      <top style="thin">
        <color rgb="FFD9D9D9"/>
      </top>
      <bottom style="medium">
        <color auto="1"/>
      </bottom>
      <diagonal/>
    </border>
    <border>
      <left style="medium">
        <color auto="1"/>
      </left>
      <right style="thin">
        <color rgb="FFD9D9D9"/>
      </right>
      <top style="medium">
        <color auto="1"/>
      </top>
      <bottom style="thin">
        <color rgb="FFD9D9D9"/>
      </bottom>
      <diagonal/>
    </border>
    <border>
      <left style="medium">
        <color auto="1"/>
      </left>
      <right style="thin">
        <color rgb="FFD9D9D9"/>
      </right>
      <top style="thin">
        <color rgb="FFD9D9D9"/>
      </top>
      <bottom style="thin">
        <color rgb="FFD9D9D9"/>
      </bottom>
      <diagonal/>
    </border>
    <border>
      <left style="medium">
        <color auto="1"/>
      </left>
      <right style="thin">
        <color rgb="FFD9D9D9"/>
      </right>
      <top style="thin">
        <color rgb="FFD9D9D9"/>
      </top>
      <bottom style="medium">
        <color auto="1"/>
      </bottom>
      <diagonal/>
    </border>
    <border>
      <left style="thin">
        <color rgb="FFD9D9D9"/>
      </left>
      <right style="medium">
        <color auto="1"/>
      </right>
      <top style="medium">
        <color auto="1"/>
      </top>
      <bottom style="thin">
        <color rgb="FFD9D9D9"/>
      </bottom>
      <diagonal/>
    </border>
    <border>
      <left style="thin">
        <color rgb="FFD9D9D9"/>
      </left>
      <right style="medium">
        <color auto="1"/>
      </right>
      <top style="thin">
        <color rgb="FFD9D9D9"/>
      </top>
      <bottom style="thin">
        <color rgb="FFD9D9D9"/>
      </bottom>
      <diagonal/>
    </border>
    <border>
      <left style="thin">
        <color rgb="FFD9D9D9"/>
      </left>
      <right style="medium">
        <color auto="1"/>
      </right>
      <top style="thin">
        <color rgb="FFD9D9D9"/>
      </top>
      <bottom style="medium">
        <color auto="1"/>
      </bottom>
      <diagonal/>
    </border>
    <border>
      <left style="medium">
        <color rgb="FF4472C4"/>
      </left>
      <right/>
      <top style="medium">
        <color auto="1"/>
      </top>
      <bottom/>
      <diagonal/>
    </border>
    <border>
      <left style="medium">
        <color rgb="FF4472C4"/>
      </left>
      <right/>
      <top/>
      <bottom/>
      <diagonal/>
    </border>
    <border>
      <left style="medium">
        <color rgb="FF4472C4"/>
      </left>
      <right/>
      <top/>
      <bottom style="medium">
        <color indexed="64"/>
      </bottom>
      <diagonal/>
    </border>
    <border>
      <left style="medium">
        <color indexed="64"/>
      </left>
      <right style="thin">
        <color rgb="FFD9D9D9"/>
      </right>
      <top/>
      <bottom style="thin">
        <color rgb="FFD9D9D9"/>
      </bottom>
      <diagonal/>
    </border>
    <border>
      <left style="thin">
        <color rgb="FFD9D9D9"/>
      </left>
      <right style="medium">
        <color indexed="64"/>
      </right>
      <top/>
      <bottom style="thin">
        <color rgb="FFD9D9D9"/>
      </bottom>
      <diagonal/>
    </border>
    <border>
      <left style="medium">
        <color indexed="64"/>
      </left>
      <right style="thin">
        <color rgb="FFD9D9D9"/>
      </right>
      <top style="thin">
        <color rgb="FFD9D9D9"/>
      </top>
      <bottom/>
      <diagonal/>
    </border>
    <border>
      <left style="thin">
        <color rgb="FFD9D9D9"/>
      </left>
      <right style="medium">
        <color indexed="64"/>
      </right>
      <top style="thin">
        <color rgb="FFD9D9D9"/>
      </top>
      <bottom/>
      <diagonal/>
    </border>
    <border>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top style="thin">
        <color rgb="FFD9D9D9"/>
      </top>
      <bottom/>
      <diagonal/>
    </border>
  </borders>
  <cellStyleXfs count="3">
    <xf numFmtId="0" fontId="0" fillId="0" borderId="0"/>
    <xf numFmtId="43" fontId="1" fillId="0" borderId="0" applyFont="0" applyFill="0" applyBorder="0" applyAlignment="0" applyProtection="0"/>
    <xf numFmtId="0" fontId="167" fillId="0" borderId="0"/>
  </cellStyleXfs>
  <cellXfs count="1412">
    <xf numFmtId="0" fontId="0" fillId="0" borderId="0" xfId="0"/>
    <xf numFmtId="0" fontId="3" fillId="0" borderId="0" xfId="0" applyFont="1"/>
    <xf numFmtId="0" fontId="4" fillId="2" borderId="0" xfId="0" applyFont="1" applyFill="1" applyAlignment="1">
      <alignment horizontal="center"/>
    </xf>
    <xf numFmtId="49" fontId="0" fillId="0" borderId="0" xfId="0" applyNumberFormat="1"/>
    <xf numFmtId="49" fontId="0" fillId="3" borderId="0" xfId="0" applyNumberFormat="1" applyFill="1"/>
    <xf numFmtId="49" fontId="0" fillId="3" borderId="5" xfId="0" applyNumberFormat="1" applyFill="1" applyBorder="1"/>
    <xf numFmtId="3" fontId="0" fillId="3" borderId="5" xfId="0" applyNumberFormat="1" applyFill="1" applyBorder="1"/>
    <xf numFmtId="49" fontId="0" fillId="3" borderId="8" xfId="0" applyNumberFormat="1" applyFill="1" applyBorder="1"/>
    <xf numFmtId="3" fontId="0" fillId="3" borderId="1" xfId="0" applyNumberFormat="1" applyFill="1" applyBorder="1"/>
    <xf numFmtId="49" fontId="0" fillId="3" borderId="6" xfId="0" applyNumberFormat="1" applyFill="1" applyBorder="1"/>
    <xf numFmtId="49" fontId="0" fillId="3" borderId="10" xfId="0" applyNumberFormat="1" applyFill="1" applyBorder="1"/>
    <xf numFmtId="3" fontId="0" fillId="3" borderId="10" xfId="0" applyNumberFormat="1" applyFill="1" applyBorder="1"/>
    <xf numFmtId="3" fontId="0" fillId="3" borderId="2" xfId="0" applyNumberFormat="1" applyFill="1" applyBorder="1"/>
    <xf numFmtId="0" fontId="0" fillId="4" borderId="0" xfId="0" applyFill="1"/>
    <xf numFmtId="0" fontId="0" fillId="6" borderId="0" xfId="0" applyFill="1"/>
    <xf numFmtId="0" fontId="0" fillId="7" borderId="0" xfId="0" applyFill="1"/>
    <xf numFmtId="0" fontId="0" fillId="8" borderId="0" xfId="0" applyFill="1"/>
    <xf numFmtId="0" fontId="15" fillId="4" borderId="0" xfId="0" applyFont="1" applyFill="1"/>
    <xf numFmtId="0" fontId="0" fillId="11" borderId="0" xfId="0" applyFill="1"/>
    <xf numFmtId="0" fontId="18" fillId="2" borderId="12" xfId="0" applyFont="1" applyFill="1" applyBorder="1" applyAlignment="1">
      <alignment horizontal="center"/>
    </xf>
    <xf numFmtId="0" fontId="0" fillId="2" borderId="13" xfId="0" applyFill="1" applyBorder="1"/>
    <xf numFmtId="0" fontId="0" fillId="3" borderId="0" xfId="0" applyFill="1"/>
    <xf numFmtId="0" fontId="0" fillId="0" borderId="0" xfId="0" applyAlignment="1">
      <alignment horizontal="center"/>
    </xf>
    <xf numFmtId="0" fontId="9" fillId="0" borderId="0" xfId="0" applyFont="1"/>
    <xf numFmtId="0" fontId="0" fillId="0" borderId="0" xfId="0" applyAlignment="1">
      <alignment wrapText="1"/>
    </xf>
    <xf numFmtId="0" fontId="3" fillId="0" borderId="0" xfId="0" applyFont="1" applyAlignment="1">
      <alignment horizontal="center"/>
    </xf>
    <xf numFmtId="0" fontId="9" fillId="3" borderId="0" xfId="0" applyFont="1" applyFill="1"/>
    <xf numFmtId="0" fontId="3" fillId="3" borderId="0" xfId="0" applyFont="1" applyFill="1" applyAlignment="1">
      <alignment horizontal="center"/>
    </xf>
    <xf numFmtId="0" fontId="0" fillId="0" borderId="16" xfId="0" applyBorder="1"/>
    <xf numFmtId="0" fontId="0" fillId="0" borderId="18" xfId="0" applyBorder="1"/>
    <xf numFmtId="0" fontId="0" fillId="0" borderId="19" xfId="0" applyBorder="1"/>
    <xf numFmtId="0" fontId="3" fillId="5" borderId="5" xfId="0" applyFont="1" applyFill="1" applyBorder="1"/>
    <xf numFmtId="0" fontId="0" fillId="11" borderId="5" xfId="0" applyFill="1" applyBorder="1"/>
    <xf numFmtId="0" fontId="0" fillId="6" borderId="5" xfId="0" applyFill="1" applyBorder="1"/>
    <xf numFmtId="0" fontId="9" fillId="5" borderId="0" xfId="0" applyFont="1" applyFill="1"/>
    <xf numFmtId="0" fontId="9" fillId="5" borderId="0" xfId="0" applyFont="1" applyFill="1" applyAlignment="1">
      <alignment wrapText="1"/>
    </xf>
    <xf numFmtId="0" fontId="9" fillId="5" borderId="0" xfId="0" applyFont="1" applyFill="1" applyAlignment="1">
      <alignment horizontal="center"/>
    </xf>
    <xf numFmtId="0" fontId="9" fillId="5" borderId="0" xfId="0" applyFont="1" applyFill="1" applyAlignment="1">
      <alignment horizontal="center" wrapText="1"/>
    </xf>
    <xf numFmtId="0" fontId="9" fillId="0" borderId="0" xfId="0" applyFont="1" applyAlignment="1">
      <alignment wrapText="1"/>
    </xf>
    <xf numFmtId="0" fontId="7" fillId="0" borderId="0" xfId="0" applyFont="1" applyAlignment="1">
      <alignment wrapText="1"/>
    </xf>
    <xf numFmtId="0" fontId="22" fillId="5" borderId="0" xfId="0" applyFont="1" applyFill="1" applyAlignment="1">
      <alignment wrapText="1"/>
    </xf>
    <xf numFmtId="0" fontId="3" fillId="3" borderId="0" xfId="0" applyFont="1" applyFill="1"/>
    <xf numFmtId="0" fontId="23" fillId="0" borderId="0" xfId="0" applyFont="1"/>
    <xf numFmtId="0" fontId="23" fillId="3" borderId="0" xfId="0" applyFont="1" applyFill="1"/>
    <xf numFmtId="0" fontId="26" fillId="0" borderId="0" xfId="0" applyFont="1"/>
    <xf numFmtId="0" fontId="27" fillId="13" borderId="18" xfId="0" applyFont="1" applyFill="1" applyBorder="1" applyAlignment="1">
      <alignment horizontal="center"/>
    </xf>
    <xf numFmtId="0" fontId="27" fillId="13" borderId="0" xfId="0" applyFont="1" applyFill="1" applyAlignment="1">
      <alignment horizontal="center"/>
    </xf>
    <xf numFmtId="0" fontId="0" fillId="16" borderId="0" xfId="0" applyFill="1"/>
    <xf numFmtId="0" fontId="32" fillId="4" borderId="0" xfId="0" applyFont="1" applyFill="1" applyAlignment="1">
      <alignment horizontal="center"/>
    </xf>
    <xf numFmtId="0" fontId="32" fillId="17" borderId="0" xfId="0" applyFont="1" applyFill="1" applyAlignment="1">
      <alignment horizontal="center"/>
    </xf>
    <xf numFmtId="0" fontId="30" fillId="16" borderId="0" xfId="0" applyFont="1" applyFill="1"/>
    <xf numFmtId="0" fontId="36" fillId="4" borderId="18" xfId="0" applyFont="1" applyFill="1" applyBorder="1" applyAlignment="1">
      <alignment horizontal="center"/>
    </xf>
    <xf numFmtId="0" fontId="36" fillId="17" borderId="18" xfId="0" applyFont="1" applyFill="1" applyBorder="1" applyAlignment="1">
      <alignment horizontal="center"/>
    </xf>
    <xf numFmtId="0" fontId="31" fillId="16" borderId="18" xfId="0" applyFont="1" applyFill="1" applyBorder="1"/>
    <xf numFmtId="0" fontId="31" fillId="16" borderId="0" xfId="0" applyFont="1" applyFill="1"/>
    <xf numFmtId="0" fontId="31" fillId="18" borderId="18" xfId="0" applyFont="1" applyFill="1" applyBorder="1"/>
    <xf numFmtId="0" fontId="31" fillId="4" borderId="16" xfId="0" applyFont="1" applyFill="1" applyBorder="1" applyAlignment="1">
      <alignment horizontal="left"/>
    </xf>
    <xf numFmtId="0" fontId="31" fillId="17" borderId="16" xfId="0" applyFont="1" applyFill="1" applyBorder="1" applyAlignment="1">
      <alignment horizontal="left"/>
    </xf>
    <xf numFmtId="49" fontId="31" fillId="17" borderId="16" xfId="0" applyNumberFormat="1" applyFont="1" applyFill="1" applyBorder="1" applyAlignment="1">
      <alignment horizontal="left"/>
    </xf>
    <xf numFmtId="49" fontId="31" fillId="4" borderId="16" xfId="0" applyNumberFormat="1" applyFont="1" applyFill="1" applyBorder="1" applyAlignment="1">
      <alignment horizontal="left"/>
    </xf>
    <xf numFmtId="0" fontId="36" fillId="4" borderId="16" xfId="0" applyFont="1" applyFill="1" applyBorder="1" applyAlignment="1">
      <alignment horizontal="left"/>
    </xf>
    <xf numFmtId="0" fontId="44" fillId="16" borderId="16" xfId="0" applyFont="1" applyFill="1" applyBorder="1" applyAlignment="1">
      <alignment horizontal="left"/>
    </xf>
    <xf numFmtId="0" fontId="31" fillId="19" borderId="18" xfId="0" applyFont="1" applyFill="1" applyBorder="1"/>
    <xf numFmtId="0" fontId="31" fillId="20" borderId="18" xfId="0" applyFont="1" applyFill="1" applyBorder="1"/>
    <xf numFmtId="0" fontId="31" fillId="20" borderId="16" xfId="0" applyFont="1" applyFill="1" applyBorder="1" applyAlignment="1">
      <alignment horizontal="left"/>
    </xf>
    <xf numFmtId="0" fontId="31" fillId="20" borderId="16" xfId="0" applyFont="1" applyFill="1" applyBorder="1"/>
    <xf numFmtId="0" fontId="31" fillId="20" borderId="19" xfId="0" applyFont="1" applyFill="1" applyBorder="1"/>
    <xf numFmtId="0" fontId="31" fillId="20" borderId="0" xfId="0" applyFont="1" applyFill="1"/>
    <xf numFmtId="49" fontId="31" fillId="20" borderId="16" xfId="0" applyNumberFormat="1" applyFont="1" applyFill="1" applyBorder="1" applyAlignment="1">
      <alignment horizontal="left"/>
    </xf>
    <xf numFmtId="0" fontId="47" fillId="4" borderId="0" xfId="0" applyFont="1" applyFill="1" applyAlignment="1">
      <alignment horizontal="center"/>
    </xf>
    <xf numFmtId="0" fontId="31" fillId="15" borderId="0" xfId="0" applyFont="1" applyFill="1" applyAlignment="1">
      <alignment horizontal="left"/>
    </xf>
    <xf numFmtId="0" fontId="31" fillId="15" borderId="0" xfId="0" applyFont="1" applyFill="1"/>
    <xf numFmtId="0" fontId="46" fillId="15" borderId="0" xfId="0" applyFont="1" applyFill="1" applyAlignment="1">
      <alignment horizontal="center"/>
    </xf>
    <xf numFmtId="0" fontId="35" fillId="15" borderId="3" xfId="0" applyFont="1" applyFill="1" applyBorder="1" applyAlignment="1">
      <alignment horizontal="left"/>
    </xf>
    <xf numFmtId="0" fontId="47" fillId="17" borderId="0" xfId="0" applyFont="1" applyFill="1" applyAlignment="1">
      <alignment horizontal="center"/>
    </xf>
    <xf numFmtId="0" fontId="36" fillId="14" borderId="18" xfId="0" applyFont="1" applyFill="1" applyBorder="1"/>
    <xf numFmtId="0" fontId="36" fillId="14" borderId="16" xfId="0" applyFont="1" applyFill="1" applyBorder="1" applyAlignment="1">
      <alignment horizontal="left"/>
    </xf>
    <xf numFmtId="0" fontId="31" fillId="14" borderId="16" xfId="0" applyFont="1" applyFill="1" applyBorder="1"/>
    <xf numFmtId="0" fontId="31" fillId="14" borderId="19" xfId="0" applyFont="1" applyFill="1" applyBorder="1"/>
    <xf numFmtId="0" fontId="36" fillId="18" borderId="0" xfId="0" applyFont="1" applyFill="1"/>
    <xf numFmtId="0" fontId="37" fillId="18" borderId="0" xfId="0" applyFont="1" applyFill="1" applyAlignment="1">
      <alignment horizontal="center"/>
    </xf>
    <xf numFmtId="0" fontId="32" fillId="16" borderId="0" xfId="0" applyFont="1" applyFill="1" applyAlignment="1">
      <alignment horizontal="center"/>
    </xf>
    <xf numFmtId="0" fontId="9" fillId="3" borderId="5" xfId="0" applyFont="1" applyFill="1" applyBorder="1"/>
    <xf numFmtId="0" fontId="0" fillId="3" borderId="5" xfId="0" applyFill="1" applyBorder="1" applyAlignment="1">
      <alignment wrapText="1"/>
    </xf>
    <xf numFmtId="0" fontId="3" fillId="3" borderId="5" xfId="0" applyFont="1" applyFill="1" applyBorder="1" applyAlignment="1">
      <alignment horizontal="center" wrapText="1"/>
    </xf>
    <xf numFmtId="0" fontId="9" fillId="3" borderId="5" xfId="0" applyFont="1" applyFill="1" applyBorder="1" applyAlignment="1">
      <alignment wrapText="1"/>
    </xf>
    <xf numFmtId="0" fontId="9" fillId="0" borderId="5" xfId="0" applyFont="1" applyBorder="1"/>
    <xf numFmtId="0" fontId="0" fillId="0" borderId="5" xfId="0" applyBorder="1" applyAlignment="1">
      <alignment wrapText="1"/>
    </xf>
    <xf numFmtId="0" fontId="9" fillId="0" borderId="5" xfId="0" applyFont="1" applyBorder="1" applyAlignment="1">
      <alignment wrapText="1"/>
    </xf>
    <xf numFmtId="0" fontId="3" fillId="0" borderId="5" xfId="0" applyFont="1" applyBorder="1" applyAlignment="1">
      <alignment wrapText="1"/>
    </xf>
    <xf numFmtId="0" fontId="3" fillId="3" borderId="5" xfId="0" applyFont="1" applyFill="1" applyBorder="1" applyAlignment="1">
      <alignment wrapText="1"/>
    </xf>
    <xf numFmtId="0" fontId="3" fillId="0" borderId="5" xfId="0" applyFont="1" applyBorder="1"/>
    <xf numFmtId="0" fontId="3" fillId="3" borderId="5" xfId="0" applyFont="1" applyFill="1" applyBorder="1"/>
    <xf numFmtId="49" fontId="0" fillId="18" borderId="0" xfId="0" applyNumberFormat="1" applyFill="1"/>
    <xf numFmtId="0" fontId="29" fillId="0" borderId="0" xfId="0" applyFont="1"/>
    <xf numFmtId="0" fontId="59" fillId="0" borderId="0" xfId="0" applyFont="1"/>
    <xf numFmtId="0" fontId="56" fillId="0" borderId="0" xfId="0" applyFont="1"/>
    <xf numFmtId="0" fontId="60" fillId="13" borderId="0" xfId="0" applyFont="1" applyFill="1" applyAlignment="1">
      <alignment horizontal="left"/>
    </xf>
    <xf numFmtId="0" fontId="60" fillId="13" borderId="0" xfId="0" applyFont="1" applyFill="1" applyAlignment="1">
      <alignment horizontal="center"/>
    </xf>
    <xf numFmtId="0" fontId="59" fillId="3" borderId="0" xfId="0" applyFont="1" applyFill="1"/>
    <xf numFmtId="0" fontId="56" fillId="3" borderId="0" xfId="0" applyFont="1" applyFill="1"/>
    <xf numFmtId="0" fontId="62" fillId="18" borderId="0" xfId="0" applyFont="1" applyFill="1"/>
    <xf numFmtId="0" fontId="63" fillId="18" borderId="0" xfId="0" applyFont="1" applyFill="1" applyAlignment="1">
      <alignment horizontal="center"/>
    </xf>
    <xf numFmtId="0" fontId="64" fillId="21" borderId="0" xfId="0" applyFont="1" applyFill="1"/>
    <xf numFmtId="0" fontId="66" fillId="21" borderId="0" xfId="0" applyFont="1" applyFill="1" applyAlignment="1">
      <alignment horizontal="center"/>
    </xf>
    <xf numFmtId="0" fontId="64" fillId="22" borderId="0" xfId="0" applyFont="1" applyFill="1"/>
    <xf numFmtId="0" fontId="66" fillId="22" borderId="0" xfId="0" applyFont="1" applyFill="1" applyAlignment="1">
      <alignment horizontal="center"/>
    </xf>
    <xf numFmtId="0" fontId="64" fillId="23" borderId="0" xfId="0" applyFont="1" applyFill="1"/>
    <xf numFmtId="0" fontId="68" fillId="23" borderId="0" xfId="0" applyFont="1" applyFill="1" applyAlignment="1">
      <alignment horizontal="center"/>
    </xf>
    <xf numFmtId="0" fontId="64" fillId="17" borderId="0" xfId="0" applyFont="1" applyFill="1"/>
    <xf numFmtId="0" fontId="64" fillId="4" borderId="0" xfId="0" applyFont="1" applyFill="1"/>
    <xf numFmtId="0" fontId="69" fillId="18" borderId="0" xfId="0" applyFont="1" applyFill="1"/>
    <xf numFmtId="0" fontId="69" fillId="19" borderId="0" xfId="0" applyFont="1" applyFill="1"/>
    <xf numFmtId="0" fontId="70" fillId="3" borderId="0" xfId="0" applyFont="1" applyFill="1" applyAlignment="1">
      <alignment horizontal="center"/>
    </xf>
    <xf numFmtId="0" fontId="69" fillId="16" borderId="0" xfId="0" applyFont="1" applyFill="1"/>
    <xf numFmtId="0" fontId="71" fillId="4" borderId="0" xfId="0" applyFont="1" applyFill="1"/>
    <xf numFmtId="0" fontId="71" fillId="17" borderId="0" xfId="0" applyFont="1" applyFill="1"/>
    <xf numFmtId="0" fontId="56" fillId="0" borderId="0" xfId="0" applyFont="1" applyAlignment="1">
      <alignment horizontal="center"/>
    </xf>
    <xf numFmtId="0" fontId="49" fillId="4" borderId="18" xfId="0" applyFont="1" applyFill="1" applyBorder="1" applyAlignment="1">
      <alignment horizontal="center"/>
    </xf>
    <xf numFmtId="0" fontId="49" fillId="17" borderId="18" xfId="0" applyFont="1" applyFill="1" applyBorder="1" applyAlignment="1">
      <alignment horizontal="center"/>
    </xf>
    <xf numFmtId="0" fontId="49" fillId="4" borderId="3" xfId="0" applyFont="1" applyFill="1" applyBorder="1" applyAlignment="1">
      <alignment horizontal="center"/>
    </xf>
    <xf numFmtId="0" fontId="3" fillId="5" borderId="0" xfId="0" applyFont="1" applyFill="1" applyAlignment="1">
      <alignment horizontal="center" vertical="center" wrapText="1"/>
    </xf>
    <xf numFmtId="0" fontId="73" fillId="18" borderId="0" xfId="0" applyFont="1" applyFill="1" applyAlignment="1">
      <alignment horizontal="center"/>
    </xf>
    <xf numFmtId="0" fontId="61" fillId="18" borderId="5" xfId="0" applyFont="1" applyFill="1" applyBorder="1" applyAlignment="1">
      <alignment horizontal="center" vertical="center"/>
    </xf>
    <xf numFmtId="0" fontId="27" fillId="13" borderId="9" xfId="0" applyFont="1" applyFill="1" applyBorder="1" applyAlignment="1">
      <alignment horizontal="center"/>
    </xf>
    <xf numFmtId="0" fontId="76" fillId="3" borderId="0" xfId="0" applyFont="1" applyFill="1" applyAlignment="1">
      <alignment horizontal="right"/>
    </xf>
    <xf numFmtId="0" fontId="77" fillId="16" borderId="0" xfId="0" applyFont="1" applyFill="1"/>
    <xf numFmtId="164" fontId="20" fillId="0" borderId="0" xfId="0" applyNumberFormat="1" applyFont="1"/>
    <xf numFmtId="49" fontId="29" fillId="18" borderId="0" xfId="0" applyNumberFormat="1" applyFont="1" applyFill="1"/>
    <xf numFmtId="164" fontId="0" fillId="18" borderId="0" xfId="0" applyNumberFormat="1" applyFill="1"/>
    <xf numFmtId="0" fontId="27" fillId="13" borderId="7" xfId="0" applyFont="1" applyFill="1" applyBorder="1" applyAlignment="1">
      <alignment horizontal="center"/>
    </xf>
    <xf numFmtId="0" fontId="27" fillId="13" borderId="4" xfId="0" applyFont="1" applyFill="1" applyBorder="1" applyAlignment="1">
      <alignment horizontal="center"/>
    </xf>
    <xf numFmtId="0" fontId="0" fillId="15" borderId="0" xfId="0" applyFill="1"/>
    <xf numFmtId="49" fontId="27" fillId="13" borderId="0" xfId="0" applyNumberFormat="1" applyFont="1" applyFill="1"/>
    <xf numFmtId="0" fontId="4" fillId="15" borderId="0" xfId="0" applyFont="1" applyFill="1" applyAlignment="1">
      <alignment horizontal="center"/>
    </xf>
    <xf numFmtId="49" fontId="0" fillId="17" borderId="8" xfId="0" applyNumberFormat="1" applyFill="1" applyBorder="1"/>
    <xf numFmtId="49" fontId="0" fillId="17" borderId="5" xfId="0" applyNumberFormat="1" applyFill="1" applyBorder="1"/>
    <xf numFmtId="3" fontId="0" fillId="17" borderId="5" xfId="0" applyNumberFormat="1" applyFill="1" applyBorder="1"/>
    <xf numFmtId="3" fontId="0" fillId="17" borderId="1" xfId="0" applyNumberFormat="1" applyFill="1" applyBorder="1"/>
    <xf numFmtId="0" fontId="76" fillId="17" borderId="0" xfId="0" applyFont="1" applyFill="1" applyAlignment="1">
      <alignment horizontal="right"/>
    </xf>
    <xf numFmtId="0" fontId="60" fillId="13" borderId="0" xfId="0" applyFont="1" applyFill="1" applyAlignment="1">
      <alignment horizontal="center" vertical="center"/>
    </xf>
    <xf numFmtId="0" fontId="70" fillId="3" borderId="5" xfId="0" applyFont="1" applyFill="1" applyBorder="1" applyAlignment="1">
      <alignment horizontal="right"/>
    </xf>
    <xf numFmtId="0" fontId="93" fillId="11" borderId="5" xfId="0" applyFont="1" applyFill="1" applyBorder="1"/>
    <xf numFmtId="0" fontId="94" fillId="18" borderId="0" xfId="0" applyFont="1" applyFill="1" applyAlignment="1">
      <alignment horizontal="center"/>
    </xf>
    <xf numFmtId="0" fontId="94" fillId="21" borderId="0" xfId="0" applyFont="1" applyFill="1" applyAlignment="1">
      <alignment horizontal="center"/>
    </xf>
    <xf numFmtId="0" fontId="94" fillId="22" borderId="0" xfId="0" applyFont="1" applyFill="1" applyAlignment="1">
      <alignment horizontal="center"/>
    </xf>
    <xf numFmtId="0" fontId="94" fillId="23" borderId="0" xfId="0" applyFont="1" applyFill="1" applyAlignment="1">
      <alignment horizontal="center"/>
    </xf>
    <xf numFmtId="0" fontId="75" fillId="15" borderId="9" xfId="0" applyFont="1" applyFill="1" applyBorder="1" applyAlignment="1">
      <alignment horizontal="center"/>
    </xf>
    <xf numFmtId="0" fontId="95" fillId="13" borderId="9" xfId="0" applyFont="1" applyFill="1" applyBorder="1" applyAlignment="1">
      <alignment horizontal="center"/>
    </xf>
    <xf numFmtId="0" fontId="28" fillId="26" borderId="9" xfId="0" applyFont="1" applyFill="1" applyBorder="1" applyAlignment="1">
      <alignment horizontal="left"/>
    </xf>
    <xf numFmtId="0" fontId="98" fillId="3" borderId="0" xfId="0" applyFont="1" applyFill="1"/>
    <xf numFmtId="0" fontId="0" fillId="0" borderId="0" xfId="0" applyAlignment="1">
      <alignment horizontal="center" vertical="center"/>
    </xf>
    <xf numFmtId="0" fontId="0" fillId="3" borderId="0" xfId="0" applyFill="1" applyAlignment="1">
      <alignment horizontal="center" vertical="center"/>
    </xf>
    <xf numFmtId="0" fontId="9" fillId="27" borderId="0" xfId="0" applyFont="1" applyFill="1" applyAlignment="1">
      <alignment wrapText="1"/>
    </xf>
    <xf numFmtId="0" fontId="64" fillId="27" borderId="0" xfId="0" applyFont="1" applyFill="1" applyAlignment="1">
      <alignment horizontal="center" vertical="center" wrapText="1"/>
    </xf>
    <xf numFmtId="0" fontId="0" fillId="3" borderId="0" xfId="0" applyFill="1" applyAlignment="1">
      <alignment horizontal="center" vertical="center" wrapText="1"/>
    </xf>
    <xf numFmtId="0" fontId="64" fillId="0" borderId="0" xfId="0" applyFont="1" applyAlignment="1">
      <alignment horizontal="center" vertical="center" wrapText="1"/>
    </xf>
    <xf numFmtId="0" fontId="9" fillId="5" borderId="0" xfId="0" applyFont="1" applyFill="1" applyAlignment="1">
      <alignment horizontal="center" vertical="center"/>
    </xf>
    <xf numFmtId="0" fontId="0" fillId="0" borderId="5" xfId="0" applyBorder="1" applyAlignment="1">
      <alignment horizontal="center" vertical="center" wrapText="1"/>
    </xf>
    <xf numFmtId="0" fontId="0" fillId="3" borderId="5" xfId="0" applyFill="1" applyBorder="1" applyAlignment="1">
      <alignment horizontal="center" vertical="center" wrapText="1"/>
    </xf>
    <xf numFmtId="0" fontId="36" fillId="4" borderId="0" xfId="0" applyFont="1" applyFill="1" applyAlignment="1">
      <alignment horizontal="center" vertical="center"/>
    </xf>
    <xf numFmtId="0" fontId="36" fillId="17" borderId="0" xfId="0" applyFont="1" applyFill="1" applyAlignment="1">
      <alignment horizontal="center" vertical="center"/>
    </xf>
    <xf numFmtId="0" fontId="30" fillId="4" borderId="0" xfId="0" applyFont="1" applyFill="1" applyAlignment="1">
      <alignment horizontal="center" vertical="center"/>
    </xf>
    <xf numFmtId="0" fontId="30" fillId="17" borderId="0" xfId="0" applyFont="1" applyFill="1" applyAlignment="1">
      <alignment horizontal="center" vertical="center"/>
    </xf>
    <xf numFmtId="0" fontId="0" fillId="0" borderId="20" xfId="0" applyBorder="1"/>
    <xf numFmtId="3" fontId="0" fillId="0" borderId="21" xfId="0" applyNumberFormat="1" applyBorder="1"/>
    <xf numFmtId="0" fontId="0" fillId="0" borderId="21" xfId="0" applyBorder="1"/>
    <xf numFmtId="0" fontId="0" fillId="0" borderId="22" xfId="0" applyBorder="1"/>
    <xf numFmtId="0" fontId="4" fillId="0" borderId="0" xfId="0" applyFont="1"/>
    <xf numFmtId="0" fontId="16" fillId="0" borderId="0" xfId="0" applyFont="1"/>
    <xf numFmtId="0" fontId="17" fillId="0" borderId="0" xfId="0" applyFont="1"/>
    <xf numFmtId="0" fontId="4" fillId="31" borderId="0" xfId="0" applyFont="1" applyFill="1"/>
    <xf numFmtId="3" fontId="0" fillId="0" borderId="0" xfId="0" applyNumberFormat="1"/>
    <xf numFmtId="0" fontId="108" fillId="0" borderId="0" xfId="0" applyFont="1"/>
    <xf numFmtId="0" fontId="109" fillId="0" borderId="0" xfId="0" applyFont="1"/>
    <xf numFmtId="0" fontId="4" fillId="34" borderId="0" xfId="0" applyFont="1" applyFill="1"/>
    <xf numFmtId="3" fontId="109" fillId="0" borderId="0" xfId="0" applyNumberFormat="1" applyFont="1"/>
    <xf numFmtId="0" fontId="26" fillId="36" borderId="0" xfId="0" applyFont="1" applyFill="1"/>
    <xf numFmtId="3" fontId="26" fillId="36" borderId="0" xfId="0" applyNumberFormat="1" applyFont="1" applyFill="1"/>
    <xf numFmtId="49" fontId="27" fillId="30" borderId="0" xfId="0" applyNumberFormat="1" applyFont="1" applyFill="1"/>
    <xf numFmtId="3" fontId="113" fillId="29" borderId="0" xfId="0" applyNumberFormat="1" applyFont="1" applyFill="1"/>
    <xf numFmtId="3" fontId="114" fillId="28" borderId="0" xfId="0" applyNumberFormat="1" applyFont="1" applyFill="1"/>
    <xf numFmtId="3" fontId="111" fillId="9" borderId="0" xfId="0" applyNumberFormat="1" applyFont="1" applyFill="1"/>
    <xf numFmtId="3" fontId="115" fillId="38" borderId="0" xfId="0" applyNumberFormat="1" applyFont="1" applyFill="1"/>
    <xf numFmtId="3" fontId="112" fillId="32" borderId="0" xfId="0" applyNumberFormat="1" applyFont="1" applyFill="1"/>
    <xf numFmtId="0" fontId="0" fillId="23" borderId="0" xfId="0" applyFill="1"/>
    <xf numFmtId="0" fontId="116" fillId="10" borderId="0" xfId="0" applyFont="1" applyFill="1"/>
    <xf numFmtId="0" fontId="119" fillId="0" borderId="0" xfId="0" applyFont="1"/>
    <xf numFmtId="0" fontId="120" fillId="0" borderId="0" xfId="0" applyFont="1"/>
    <xf numFmtId="3" fontId="27" fillId="13" borderId="0" xfId="0" applyNumberFormat="1" applyFont="1" applyFill="1"/>
    <xf numFmtId="3" fontId="0" fillId="3" borderId="0" xfId="0" applyNumberFormat="1" applyFill="1"/>
    <xf numFmtId="165" fontId="14" fillId="17" borderId="0" xfId="0" applyNumberFormat="1" applyFont="1" applyFill="1" applyAlignment="1">
      <alignment horizontal="center"/>
    </xf>
    <xf numFmtId="165" fontId="14" fillId="3" borderId="0" xfId="0" applyNumberFormat="1" applyFont="1" applyFill="1" applyAlignment="1">
      <alignment horizontal="center"/>
    </xf>
    <xf numFmtId="165" fontId="14" fillId="0" borderId="0" xfId="0" applyNumberFormat="1" applyFont="1" applyAlignment="1">
      <alignment horizontal="center"/>
    </xf>
    <xf numFmtId="165" fontId="27" fillId="13" borderId="0" xfId="0" applyNumberFormat="1" applyFont="1" applyFill="1" applyAlignment="1">
      <alignment horizontal="center"/>
    </xf>
    <xf numFmtId="165" fontId="0" fillId="0" borderId="0" xfId="0" applyNumberFormat="1"/>
    <xf numFmtId="165" fontId="0" fillId="3" borderId="0" xfId="0" applyNumberFormat="1" applyFill="1"/>
    <xf numFmtId="2" fontId="40" fillId="4" borderId="16" xfId="0" applyNumberFormat="1" applyFont="1" applyFill="1" applyBorder="1" applyAlignment="1">
      <alignment horizontal="right"/>
    </xf>
    <xf numFmtId="2" fontId="41" fillId="4" borderId="19" xfId="0" applyNumberFormat="1" applyFont="1" applyFill="1" applyBorder="1" applyAlignment="1">
      <alignment horizontal="right"/>
    </xf>
    <xf numFmtId="2" fontId="38" fillId="4" borderId="0" xfId="0" applyNumberFormat="1" applyFont="1" applyFill="1" applyAlignment="1">
      <alignment horizontal="right"/>
    </xf>
    <xf numFmtId="2" fontId="40" fillId="17" borderId="16" xfId="0" applyNumberFormat="1" applyFont="1" applyFill="1" applyBorder="1" applyAlignment="1">
      <alignment horizontal="right"/>
    </xf>
    <xf numFmtId="2" fontId="41" fillId="17" borderId="19" xfId="0" applyNumberFormat="1" applyFont="1" applyFill="1" applyBorder="1" applyAlignment="1">
      <alignment horizontal="right"/>
    </xf>
    <xf numFmtId="2" fontId="38" fillId="17" borderId="0" xfId="0" applyNumberFormat="1" applyFont="1" applyFill="1" applyAlignment="1">
      <alignment horizontal="right"/>
    </xf>
    <xf numFmtId="3" fontId="40" fillId="17" borderId="16" xfId="0" applyNumberFormat="1" applyFont="1" applyFill="1" applyBorder="1" applyAlignment="1">
      <alignment horizontal="right"/>
    </xf>
    <xf numFmtId="3" fontId="41" fillId="17" borderId="19" xfId="0" applyNumberFormat="1" applyFont="1" applyFill="1" applyBorder="1" applyAlignment="1">
      <alignment horizontal="right"/>
    </xf>
    <xf numFmtId="3" fontId="38" fillId="17" borderId="0" xfId="0" applyNumberFormat="1" applyFont="1" applyFill="1" applyAlignment="1">
      <alignment horizontal="right"/>
    </xf>
    <xf numFmtId="3" fontId="40" fillId="4" borderId="16" xfId="0" applyNumberFormat="1" applyFont="1" applyFill="1" applyBorder="1" applyAlignment="1">
      <alignment horizontal="right"/>
    </xf>
    <xf numFmtId="3" fontId="41" fillId="4" borderId="19" xfId="0" applyNumberFormat="1" applyFont="1" applyFill="1" applyBorder="1" applyAlignment="1">
      <alignment horizontal="right"/>
    </xf>
    <xf numFmtId="3" fontId="38" fillId="4" borderId="0" xfId="0" applyNumberFormat="1" applyFont="1" applyFill="1" applyAlignment="1">
      <alignment horizontal="right"/>
    </xf>
    <xf numFmtId="167" fontId="40" fillId="17" borderId="16" xfId="0" applyNumberFormat="1" applyFont="1" applyFill="1" applyBorder="1" applyAlignment="1">
      <alignment horizontal="right"/>
    </xf>
    <xf numFmtId="167" fontId="41" fillId="17" borderId="19" xfId="0" applyNumberFormat="1" applyFont="1" applyFill="1" applyBorder="1" applyAlignment="1">
      <alignment horizontal="right"/>
    </xf>
    <xf numFmtId="167" fontId="38" fillId="17" borderId="0" xfId="0" applyNumberFormat="1" applyFont="1" applyFill="1" applyAlignment="1">
      <alignment horizontal="right"/>
    </xf>
    <xf numFmtId="165" fontId="40" fillId="17" borderId="16" xfId="0" applyNumberFormat="1" applyFont="1" applyFill="1" applyBorder="1" applyAlignment="1">
      <alignment horizontal="right"/>
    </xf>
    <xf numFmtId="165" fontId="41" fillId="17" borderId="19" xfId="0" applyNumberFormat="1" applyFont="1" applyFill="1" applyBorder="1" applyAlignment="1">
      <alignment horizontal="right"/>
    </xf>
    <xf numFmtId="167" fontId="40" fillId="4" borderId="16" xfId="0" applyNumberFormat="1" applyFont="1" applyFill="1" applyBorder="1" applyAlignment="1">
      <alignment horizontal="right"/>
    </xf>
    <xf numFmtId="167" fontId="41" fillId="4" borderId="19" xfId="0" applyNumberFormat="1" applyFont="1" applyFill="1" applyBorder="1" applyAlignment="1">
      <alignment horizontal="right"/>
    </xf>
    <xf numFmtId="167" fontId="38" fillId="4" borderId="0" xfId="0" applyNumberFormat="1" applyFont="1" applyFill="1" applyAlignment="1">
      <alignment horizontal="right"/>
    </xf>
    <xf numFmtId="165" fontId="40" fillId="4" borderId="16" xfId="0" applyNumberFormat="1" applyFont="1" applyFill="1" applyBorder="1" applyAlignment="1">
      <alignment horizontal="right"/>
    </xf>
    <xf numFmtId="165" fontId="41" fillId="4" borderId="19" xfId="0" applyNumberFormat="1" applyFont="1" applyFill="1" applyBorder="1" applyAlignment="1">
      <alignment horizontal="right"/>
    </xf>
    <xf numFmtId="165" fontId="38" fillId="4" borderId="0" xfId="0" applyNumberFormat="1" applyFont="1" applyFill="1" applyAlignment="1">
      <alignment horizontal="right"/>
    </xf>
    <xf numFmtId="165" fontId="0" fillId="17" borderId="16" xfId="0" applyNumberFormat="1" applyFill="1" applyBorder="1" applyAlignment="1">
      <alignment horizontal="right"/>
    </xf>
    <xf numFmtId="165" fontId="0" fillId="17" borderId="19" xfId="0" applyNumberFormat="1" applyFill="1" applyBorder="1" applyAlignment="1">
      <alignment horizontal="right"/>
    </xf>
    <xf numFmtId="165" fontId="0" fillId="17" borderId="0" xfId="0" applyNumberFormat="1" applyFill="1" applyAlignment="1">
      <alignment horizontal="right"/>
    </xf>
    <xf numFmtId="1" fontId="39" fillId="4" borderId="0" xfId="0" applyNumberFormat="1" applyFont="1" applyFill="1" applyAlignment="1">
      <alignment horizontal="center"/>
    </xf>
    <xf numFmtId="1" fontId="39" fillId="17" borderId="0" xfId="0" applyNumberFormat="1" applyFont="1" applyFill="1" applyAlignment="1">
      <alignment horizontal="center"/>
    </xf>
    <xf numFmtId="2" fontId="0" fillId="11" borderId="5" xfId="0" applyNumberFormat="1" applyFill="1" applyBorder="1"/>
    <xf numFmtId="2" fontId="0" fillId="6" borderId="5" xfId="0" applyNumberFormat="1" applyFill="1" applyBorder="1"/>
    <xf numFmtId="167" fontId="0" fillId="6" borderId="5" xfId="0" applyNumberFormat="1" applyFill="1" applyBorder="1"/>
    <xf numFmtId="167" fontId="0" fillId="11" borderId="5" xfId="0" applyNumberFormat="1" applyFill="1" applyBorder="1"/>
    <xf numFmtId="165" fontId="0" fillId="6" borderId="5" xfId="0" applyNumberFormat="1" applyFill="1" applyBorder="1"/>
    <xf numFmtId="165" fontId="0" fillId="11" borderId="5" xfId="0" applyNumberFormat="1" applyFill="1" applyBorder="1"/>
    <xf numFmtId="0" fontId="0" fillId="0" borderId="23" xfId="0" applyBorder="1"/>
    <xf numFmtId="2" fontId="0" fillId="0" borderId="25" xfId="0" applyNumberFormat="1" applyBorder="1"/>
    <xf numFmtId="167" fontId="0" fillId="0" borderId="25" xfId="0" applyNumberFormat="1" applyBorder="1"/>
    <xf numFmtId="0" fontId="0" fillId="0" borderId="25" xfId="0" applyBorder="1"/>
    <xf numFmtId="165" fontId="0" fillId="3" borderId="25" xfId="0" applyNumberFormat="1" applyFill="1" applyBorder="1"/>
    <xf numFmtId="0" fontId="0" fillId="3" borderId="25" xfId="0" applyFill="1" applyBorder="1"/>
    <xf numFmtId="165" fontId="0" fillId="0" borderId="25" xfId="0" applyNumberFormat="1" applyBorder="1"/>
    <xf numFmtId="2" fontId="0" fillId="3" borderId="25" xfId="0" applyNumberFormat="1" applyFill="1" applyBorder="1"/>
    <xf numFmtId="167" fontId="0" fillId="3" borderId="25" xfId="0" applyNumberFormat="1" applyFill="1" applyBorder="1"/>
    <xf numFmtId="1" fontId="0" fillId="0" borderId="25" xfId="0" applyNumberFormat="1" applyBorder="1"/>
    <xf numFmtId="1" fontId="0" fillId="3" borderId="25" xfId="0" applyNumberFormat="1" applyFill="1" applyBorder="1"/>
    <xf numFmtId="0" fontId="3" fillId="5" borderId="27" xfId="0" applyFont="1" applyFill="1" applyBorder="1"/>
    <xf numFmtId="167" fontId="0" fillId="3" borderId="28" xfId="0" applyNumberFormat="1" applyFill="1" applyBorder="1"/>
    <xf numFmtId="1" fontId="0" fillId="3" borderId="28" xfId="0" applyNumberFormat="1" applyFill="1" applyBorder="1"/>
    <xf numFmtId="0" fontId="0" fillId="3" borderId="28" xfId="0" applyFill="1" applyBorder="1"/>
    <xf numFmtId="0" fontId="3" fillId="5" borderId="29" xfId="0" applyFont="1" applyFill="1" applyBorder="1"/>
    <xf numFmtId="0" fontId="0" fillId="0" borderId="30" xfId="0" applyBorder="1"/>
    <xf numFmtId="0" fontId="0" fillId="3" borderId="30" xfId="0" applyFill="1" applyBorder="1"/>
    <xf numFmtId="0" fontId="0" fillId="3" borderId="31" xfId="0" applyFill="1" applyBorder="1"/>
    <xf numFmtId="0" fontId="3" fillId="5" borderId="32" xfId="0" applyFont="1" applyFill="1" applyBorder="1"/>
    <xf numFmtId="0" fontId="0" fillId="0" borderId="33" xfId="0" applyBorder="1"/>
    <xf numFmtId="0" fontId="0" fillId="3" borderId="33" xfId="0" applyFill="1" applyBorder="1"/>
    <xf numFmtId="0" fontId="0" fillId="3" borderId="34" xfId="0" applyFill="1" applyBorder="1"/>
    <xf numFmtId="2" fontId="0" fillId="0" borderId="25" xfId="0" applyNumberFormat="1" applyBorder="1" applyAlignment="1">
      <alignment horizontal="center" vertical="center"/>
    </xf>
    <xf numFmtId="0" fontId="0" fillId="0" borderId="25" xfId="0" applyBorder="1" applyAlignment="1">
      <alignment horizontal="center" vertical="center"/>
    </xf>
    <xf numFmtId="2" fontId="0" fillId="3" borderId="25" xfId="0" applyNumberFormat="1" applyFill="1" applyBorder="1" applyAlignment="1">
      <alignment horizontal="center" vertical="center"/>
    </xf>
    <xf numFmtId="0" fontId="0" fillId="3" borderId="25" xfId="0" applyFill="1" applyBorder="1" applyAlignment="1">
      <alignment horizontal="center" vertical="center"/>
    </xf>
    <xf numFmtId="167" fontId="0" fillId="3" borderId="25" xfId="0" applyNumberFormat="1" applyFill="1" applyBorder="1" applyAlignment="1">
      <alignment horizontal="center" vertical="center"/>
    </xf>
    <xf numFmtId="167" fontId="0" fillId="0" borderId="25" xfId="0" applyNumberFormat="1" applyBorder="1" applyAlignment="1">
      <alignment horizontal="center" vertical="center"/>
    </xf>
    <xf numFmtId="0" fontId="3" fillId="5" borderId="35" xfId="0" applyFont="1" applyFill="1" applyBorder="1" applyAlignment="1">
      <alignment horizontal="center" vertical="center"/>
    </xf>
    <xf numFmtId="0" fontId="0" fillId="3" borderId="36" xfId="0" applyFill="1" applyBorder="1"/>
    <xf numFmtId="165" fontId="0" fillId="3" borderId="36" xfId="0" applyNumberFormat="1" applyFill="1" applyBorder="1" applyAlignment="1">
      <alignment horizontal="center" vertical="center"/>
    </xf>
    <xf numFmtId="0" fontId="0" fillId="3" borderId="36" xfId="0" applyFill="1" applyBorder="1" applyAlignment="1">
      <alignment horizontal="center" vertical="center"/>
    </xf>
    <xf numFmtId="0" fontId="3" fillId="5" borderId="37" xfId="0" applyFont="1" applyFill="1" applyBorder="1" applyAlignment="1">
      <alignment horizontal="center" vertical="center"/>
    </xf>
    <xf numFmtId="0" fontId="0" fillId="0" borderId="38" xfId="0" applyBorder="1" applyAlignment="1">
      <alignment horizontal="center"/>
    </xf>
    <xf numFmtId="0" fontId="0" fillId="3" borderId="38" xfId="0" applyFill="1" applyBorder="1" applyAlignment="1">
      <alignment horizontal="center"/>
    </xf>
    <xf numFmtId="0" fontId="0" fillId="3" borderId="39" xfId="0" applyFill="1" applyBorder="1" applyAlignment="1">
      <alignment horizontal="center"/>
    </xf>
    <xf numFmtId="0" fontId="3" fillId="5" borderId="40" xfId="0" applyFont="1" applyFill="1" applyBorder="1" applyAlignment="1">
      <alignment horizontal="center" vertical="center"/>
    </xf>
    <xf numFmtId="0" fontId="0" fillId="0" borderId="41" xfId="0" applyBorder="1" applyAlignment="1">
      <alignment horizontal="center" vertical="center"/>
    </xf>
    <xf numFmtId="0" fontId="0" fillId="3" borderId="41" xfId="0" applyFill="1" applyBorder="1" applyAlignment="1">
      <alignment horizontal="center" vertical="center"/>
    </xf>
    <xf numFmtId="0" fontId="0" fillId="3" borderId="42" xfId="0" applyFill="1" applyBorder="1" applyAlignment="1">
      <alignment horizontal="center" vertical="center"/>
    </xf>
    <xf numFmtId="10" fontId="105" fillId="0" borderId="23" xfId="0" applyNumberFormat="1" applyFont="1" applyBorder="1"/>
    <xf numFmtId="10" fontId="106" fillId="0" borderId="23" xfId="0" applyNumberFormat="1" applyFont="1" applyBorder="1"/>
    <xf numFmtId="0" fontId="26" fillId="5" borderId="43" xfId="0" applyFont="1" applyFill="1" applyBorder="1"/>
    <xf numFmtId="0" fontId="3" fillId="32" borderId="44" xfId="0" applyFont="1" applyFill="1" applyBorder="1"/>
    <xf numFmtId="10" fontId="107" fillId="32" borderId="44" xfId="0" applyNumberFormat="1" applyFont="1" applyFill="1" applyBorder="1"/>
    <xf numFmtId="0" fontId="109" fillId="11" borderId="24" xfId="0" applyFont="1" applyFill="1" applyBorder="1"/>
    <xf numFmtId="3" fontId="111" fillId="11" borderId="25" xfId="0" applyNumberFormat="1" applyFont="1" applyFill="1" applyBorder="1"/>
    <xf numFmtId="3" fontId="111" fillId="11" borderId="26" xfId="0" applyNumberFormat="1" applyFont="1" applyFill="1" applyBorder="1"/>
    <xf numFmtId="0" fontId="109" fillId="6" borderId="24" xfId="0" applyFont="1" applyFill="1" applyBorder="1"/>
    <xf numFmtId="3" fontId="111" fillId="6" borderId="25" xfId="0" applyNumberFormat="1" applyFont="1" applyFill="1" applyBorder="1"/>
    <xf numFmtId="3" fontId="111" fillId="6" borderId="26" xfId="0" applyNumberFormat="1" applyFont="1" applyFill="1" applyBorder="1"/>
    <xf numFmtId="0" fontId="26" fillId="33" borderId="24" xfId="0" applyFont="1" applyFill="1" applyBorder="1"/>
    <xf numFmtId="3" fontId="112" fillId="33" borderId="25" xfId="0" applyNumberFormat="1" applyFont="1" applyFill="1" applyBorder="1"/>
    <xf numFmtId="3" fontId="112" fillId="33" borderId="26" xfId="0" applyNumberFormat="1" applyFont="1" applyFill="1" applyBorder="1"/>
    <xf numFmtId="0" fontId="109" fillId="0" borderId="24" xfId="0" applyFont="1" applyBorder="1"/>
    <xf numFmtId="0" fontId="27" fillId="30" borderId="45" xfId="0" applyFont="1" applyFill="1" applyBorder="1"/>
    <xf numFmtId="0" fontId="26" fillId="9" borderId="48" xfId="0" applyFont="1" applyFill="1" applyBorder="1"/>
    <xf numFmtId="3" fontId="112" fillId="9" borderId="49" xfId="0" applyNumberFormat="1" applyFont="1" applyFill="1" applyBorder="1"/>
    <xf numFmtId="3" fontId="112" fillId="9" borderId="50" xfId="0" applyNumberFormat="1" applyFont="1" applyFill="1" applyBorder="1"/>
    <xf numFmtId="0" fontId="3" fillId="35" borderId="52" xfId="0" applyFont="1" applyFill="1" applyBorder="1"/>
    <xf numFmtId="165" fontId="105" fillId="0" borderId="23" xfId="0" applyNumberFormat="1" applyFont="1" applyBorder="1"/>
    <xf numFmtId="167" fontId="105" fillId="0" borderId="23" xfId="0" applyNumberFormat="1" applyFont="1" applyBorder="1"/>
    <xf numFmtId="165" fontId="106" fillId="0" borderId="23" xfId="0" applyNumberFormat="1" applyFont="1" applyBorder="1"/>
    <xf numFmtId="165" fontId="0" fillId="0" borderId="53" xfId="0" applyNumberFormat="1" applyBorder="1"/>
    <xf numFmtId="165" fontId="0" fillId="0" borderId="54" xfId="0" applyNumberFormat="1" applyBorder="1"/>
    <xf numFmtId="165" fontId="3" fillId="35" borderId="51" xfId="0" applyNumberFormat="1" applyFont="1" applyFill="1" applyBorder="1"/>
    <xf numFmtId="165" fontId="3" fillId="35" borderId="55" xfId="0" applyNumberFormat="1" applyFont="1" applyFill="1" applyBorder="1"/>
    <xf numFmtId="3" fontId="0" fillId="0" borderId="25" xfId="0" applyNumberFormat="1" applyBorder="1"/>
    <xf numFmtId="165" fontId="84" fillId="4" borderId="5" xfId="0" applyNumberFormat="1" applyFont="1" applyFill="1" applyBorder="1" applyAlignment="1">
      <alignment horizontal="right"/>
    </xf>
    <xf numFmtId="165" fontId="85" fillId="17" borderId="5" xfId="0" applyNumberFormat="1" applyFont="1" applyFill="1" applyBorder="1" applyAlignment="1">
      <alignment horizontal="right"/>
    </xf>
    <xf numFmtId="165" fontId="85" fillId="4" borderId="5" xfId="0" applyNumberFormat="1" applyFont="1" applyFill="1" applyBorder="1" applyAlignment="1">
      <alignment horizontal="right"/>
    </xf>
    <xf numFmtId="165" fontId="56" fillId="21" borderId="0" xfId="0" applyNumberFormat="1" applyFont="1" applyFill="1" applyAlignment="1">
      <alignment horizontal="center"/>
    </xf>
    <xf numFmtId="165" fontId="56" fillId="22" borderId="0" xfId="0" applyNumberFormat="1" applyFont="1" applyFill="1" applyAlignment="1">
      <alignment horizontal="center"/>
    </xf>
    <xf numFmtId="165" fontId="56" fillId="23" borderId="0" xfId="0" applyNumberFormat="1" applyFont="1" applyFill="1" applyAlignment="1">
      <alignment horizontal="center"/>
    </xf>
    <xf numFmtId="165" fontId="56" fillId="18" borderId="0" xfId="0" applyNumberFormat="1" applyFont="1" applyFill="1" applyAlignment="1">
      <alignment horizontal="center"/>
    </xf>
    <xf numFmtId="3" fontId="67" fillId="17" borderId="0" xfId="0" applyNumberFormat="1" applyFont="1" applyFill="1" applyAlignment="1">
      <alignment horizontal="center"/>
    </xf>
    <xf numFmtId="3" fontId="65" fillId="4" borderId="0" xfId="0" applyNumberFormat="1" applyFont="1" applyFill="1" applyAlignment="1">
      <alignment horizontal="center"/>
    </xf>
    <xf numFmtId="3" fontId="65" fillId="17" borderId="0" xfId="0" applyNumberFormat="1" applyFont="1" applyFill="1" applyAlignment="1">
      <alignment horizontal="center"/>
    </xf>
    <xf numFmtId="3" fontId="63" fillId="18" borderId="0" xfId="0" applyNumberFormat="1" applyFont="1" applyFill="1"/>
    <xf numFmtId="3" fontId="63" fillId="19" borderId="0" xfId="0" applyNumberFormat="1" applyFont="1" applyFill="1"/>
    <xf numFmtId="0" fontId="9" fillId="6" borderId="56" xfId="0" applyFont="1" applyFill="1" applyBorder="1"/>
    <xf numFmtId="0" fontId="9" fillId="4" borderId="59" xfId="0" applyFont="1" applyFill="1" applyBorder="1"/>
    <xf numFmtId="0" fontId="9" fillId="6" borderId="59" xfId="0" applyFont="1" applyFill="1" applyBorder="1"/>
    <xf numFmtId="0" fontId="3" fillId="6" borderId="60" xfId="0" applyFont="1" applyFill="1" applyBorder="1"/>
    <xf numFmtId="0" fontId="9" fillId="4" borderId="61" xfId="0" applyFont="1" applyFill="1" applyBorder="1"/>
    <xf numFmtId="0" fontId="10" fillId="6" borderId="0" xfId="0" applyFont="1" applyFill="1"/>
    <xf numFmtId="0" fontId="10" fillId="7" borderId="0" xfId="0" applyFont="1" applyFill="1"/>
    <xf numFmtId="0" fontId="10" fillId="8" borderId="0" xfId="0" applyFont="1" applyFill="1"/>
    <xf numFmtId="0" fontId="5" fillId="4" borderId="56" xfId="0" applyFont="1" applyFill="1" applyBorder="1"/>
    <xf numFmtId="0" fontId="0" fillId="4" borderId="56" xfId="0" applyFill="1" applyBorder="1"/>
    <xf numFmtId="0" fontId="11" fillId="7" borderId="56" xfId="0" applyFont="1" applyFill="1" applyBorder="1"/>
    <xf numFmtId="0" fontId="12" fillId="8" borderId="56" xfId="0" applyFont="1" applyFill="1" applyBorder="1"/>
    <xf numFmtId="0" fontId="4" fillId="30" borderId="63" xfId="0" applyFont="1" applyFill="1" applyBorder="1"/>
    <xf numFmtId="0" fontId="106" fillId="6" borderId="63" xfId="0" applyFont="1" applyFill="1" applyBorder="1"/>
    <xf numFmtId="0" fontId="107" fillId="33" borderId="63" xfId="0" applyFont="1" applyFill="1" applyBorder="1"/>
    <xf numFmtId="0" fontId="103" fillId="4" borderId="63" xfId="0" applyFont="1" applyFill="1" applyBorder="1"/>
    <xf numFmtId="0" fontId="121" fillId="9" borderId="63" xfId="0" applyFont="1" applyFill="1" applyBorder="1"/>
    <xf numFmtId="0" fontId="0" fillId="0" borderId="63" xfId="0" applyBorder="1"/>
    <xf numFmtId="0" fontId="122" fillId="4" borderId="63" xfId="0" applyFont="1" applyFill="1" applyBorder="1"/>
    <xf numFmtId="0" fontId="107" fillId="4" borderId="63" xfId="0" applyFont="1" applyFill="1" applyBorder="1"/>
    <xf numFmtId="0" fontId="123" fillId="8" borderId="63" xfId="0" applyFont="1" applyFill="1" applyBorder="1"/>
    <xf numFmtId="0" fontId="107" fillId="32" borderId="63" xfId="0" applyFont="1" applyFill="1" applyBorder="1"/>
    <xf numFmtId="0" fontId="0" fillId="0" borderId="64" xfId="0" applyBorder="1"/>
    <xf numFmtId="168" fontId="121" fillId="9" borderId="64" xfId="0" applyNumberFormat="1" applyFont="1" applyFill="1" applyBorder="1"/>
    <xf numFmtId="3" fontId="122" fillId="4" borderId="64" xfId="0" applyNumberFormat="1" applyFont="1" applyFill="1" applyBorder="1"/>
    <xf numFmtId="0" fontId="106" fillId="4" borderId="65" xfId="0" applyFont="1" applyFill="1" applyBorder="1"/>
    <xf numFmtId="166" fontId="105" fillId="0" borderId="0" xfId="0" applyNumberFormat="1" applyFont="1"/>
    <xf numFmtId="0" fontId="4" fillId="31" borderId="67" xfId="0" applyFont="1" applyFill="1" applyBorder="1"/>
    <xf numFmtId="0" fontId="109" fillId="0" borderId="67" xfId="0" applyFont="1" applyBorder="1"/>
    <xf numFmtId="0" fontId="0" fillId="0" borderId="67" xfId="0" applyBorder="1"/>
    <xf numFmtId="0" fontId="124" fillId="2" borderId="11" xfId="0" applyFont="1" applyFill="1" applyBorder="1" applyAlignment="1">
      <alignment horizontal="center"/>
    </xf>
    <xf numFmtId="171" fontId="125" fillId="4" borderId="60" xfId="0" applyNumberFormat="1" applyFont="1" applyFill="1" applyBorder="1"/>
    <xf numFmtId="2" fontId="126" fillId="4" borderId="60" xfId="0" applyNumberFormat="1" applyFont="1" applyFill="1" applyBorder="1"/>
    <xf numFmtId="165" fontId="126" fillId="6" borderId="60" xfId="0" applyNumberFormat="1" applyFont="1" applyFill="1" applyBorder="1"/>
    <xf numFmtId="165" fontId="126" fillId="4" borderId="62" xfId="0" applyNumberFormat="1" applyFont="1" applyFill="1" applyBorder="1"/>
    <xf numFmtId="0" fontId="0" fillId="0" borderId="72" xfId="0" applyBorder="1"/>
    <xf numFmtId="0" fontId="78" fillId="16" borderId="74" xfId="0" applyFont="1" applyFill="1" applyBorder="1"/>
    <xf numFmtId="0" fontId="77" fillId="16" borderId="75" xfId="0" applyFont="1" applyFill="1" applyBorder="1"/>
    <xf numFmtId="0" fontId="0" fillId="16" borderId="78" xfId="0" applyFill="1" applyBorder="1"/>
    <xf numFmtId="0" fontId="0" fillId="16" borderId="72" xfId="0" applyFill="1" applyBorder="1"/>
    <xf numFmtId="0" fontId="0" fillId="0" borderId="69" xfId="0" applyBorder="1"/>
    <xf numFmtId="0" fontId="0" fillId="0" borderId="0" xfId="0" applyAlignment="1">
      <alignment vertical="top" wrapText="1"/>
    </xf>
    <xf numFmtId="14" fontId="0" fillId="0" borderId="0" xfId="0" applyNumberFormat="1" applyAlignment="1">
      <alignment vertical="top" wrapText="1"/>
    </xf>
    <xf numFmtId="0" fontId="0" fillId="28" borderId="0" xfId="0" applyFill="1"/>
    <xf numFmtId="0" fontId="0" fillId="29" borderId="0" xfId="0" applyFill="1"/>
    <xf numFmtId="14" fontId="0" fillId="0" borderId="0" xfId="0" applyNumberFormat="1"/>
    <xf numFmtId="165" fontId="6" fillId="2" borderId="11" xfId="0" applyNumberFormat="1" applyFont="1" applyFill="1" applyBorder="1" applyAlignment="1">
      <alignment horizontal="center"/>
    </xf>
    <xf numFmtId="0" fontId="19" fillId="2" borderId="11" xfId="0" applyFont="1" applyFill="1" applyBorder="1" applyAlignment="1">
      <alignment horizontal="center"/>
    </xf>
    <xf numFmtId="0" fontId="128" fillId="2" borderId="11" xfId="0" applyFont="1" applyFill="1" applyBorder="1" applyAlignment="1">
      <alignment horizontal="center"/>
    </xf>
    <xf numFmtId="0" fontId="19" fillId="2" borderId="0" xfId="0" applyFont="1" applyFill="1" applyAlignment="1">
      <alignment horizontal="center"/>
    </xf>
    <xf numFmtId="169" fontId="124" fillId="2" borderId="11" xfId="0" applyNumberFormat="1" applyFont="1" applyFill="1" applyBorder="1" applyAlignment="1">
      <alignment horizontal="center"/>
    </xf>
    <xf numFmtId="0" fontId="129" fillId="2" borderId="11" xfId="0" applyFont="1" applyFill="1" applyBorder="1" applyAlignment="1">
      <alignment horizontal="center"/>
    </xf>
    <xf numFmtId="0" fontId="4" fillId="41" borderId="0" xfId="0" applyFont="1" applyFill="1"/>
    <xf numFmtId="0" fontId="0" fillId="41" borderId="0" xfId="0" applyFill="1"/>
    <xf numFmtId="0" fontId="130" fillId="23" borderId="0" xfId="0" applyFont="1" applyFill="1"/>
    <xf numFmtId="0" fontId="131" fillId="28" borderId="0" xfId="0" applyFont="1" applyFill="1"/>
    <xf numFmtId="0" fontId="132" fillId="29" borderId="0" xfId="0" applyFont="1" applyFill="1"/>
    <xf numFmtId="0" fontId="52" fillId="18" borderId="0" xfId="0" applyFont="1" applyFill="1"/>
    <xf numFmtId="0" fontId="0" fillId="18" borderId="0" xfId="0" applyFill="1"/>
    <xf numFmtId="0" fontId="134" fillId="11" borderId="0" xfId="0" applyFont="1" applyFill="1"/>
    <xf numFmtId="0" fontId="134" fillId="0" borderId="0" xfId="0" applyFont="1"/>
    <xf numFmtId="3" fontId="134" fillId="11" borderId="5" xfId="0" applyNumberFormat="1" applyFont="1" applyFill="1" applyBorder="1"/>
    <xf numFmtId="3" fontId="134" fillId="0" borderId="0" xfId="0" applyNumberFormat="1" applyFont="1"/>
    <xf numFmtId="3" fontId="134" fillId="11" borderId="0" xfId="0" applyNumberFormat="1" applyFont="1" applyFill="1"/>
    <xf numFmtId="0" fontId="134" fillId="11" borderId="0" xfId="0" applyFont="1" applyFill="1" applyAlignment="1">
      <alignment horizontal="center"/>
    </xf>
    <xf numFmtId="167" fontId="134" fillId="11" borderId="0" xfId="0" applyNumberFormat="1" applyFont="1" applyFill="1"/>
    <xf numFmtId="0" fontId="135" fillId="11" borderId="0" xfId="0" applyFont="1" applyFill="1"/>
    <xf numFmtId="0" fontId="136" fillId="11" borderId="0" xfId="0" applyFont="1" applyFill="1"/>
    <xf numFmtId="0" fontId="136" fillId="0" borderId="0" xfId="0" applyFont="1"/>
    <xf numFmtId="0" fontId="135" fillId="0" borderId="0" xfId="0" applyFont="1"/>
    <xf numFmtId="0" fontId="108" fillId="0" borderId="79" xfId="0" applyFont="1" applyBorder="1"/>
    <xf numFmtId="165" fontId="110" fillId="0" borderId="10" xfId="0" applyNumberFormat="1" applyFont="1" applyBorder="1"/>
    <xf numFmtId="165" fontId="110" fillId="0" borderId="80" xfId="0" applyNumberFormat="1" applyFont="1" applyBorder="1"/>
    <xf numFmtId="165" fontId="110" fillId="0" borderId="9" xfId="0" applyNumberFormat="1" applyFont="1" applyBorder="1"/>
    <xf numFmtId="0" fontId="109" fillId="0" borderId="10" xfId="0" applyFont="1" applyBorder="1"/>
    <xf numFmtId="0" fontId="109" fillId="0" borderId="80" xfId="0" applyFont="1" applyBorder="1"/>
    <xf numFmtId="0" fontId="109" fillId="0" borderId="9" xfId="0" applyFont="1" applyBorder="1"/>
    <xf numFmtId="0" fontId="3" fillId="9" borderId="0" xfId="0" applyFont="1" applyFill="1"/>
    <xf numFmtId="3" fontId="0" fillId="9" borderId="0" xfId="0" applyNumberFormat="1" applyFill="1"/>
    <xf numFmtId="0" fontId="0" fillId="0" borderId="81" xfId="0" applyBorder="1"/>
    <xf numFmtId="0" fontId="0" fillId="0" borderId="83" xfId="0" applyBorder="1"/>
    <xf numFmtId="0" fontId="0" fillId="0" borderId="82" xfId="0" applyBorder="1"/>
    <xf numFmtId="0" fontId="26" fillId="5" borderId="84" xfId="0" applyFont="1" applyFill="1" applyBorder="1"/>
    <xf numFmtId="0" fontId="0" fillId="0" borderId="85" xfId="0" applyBorder="1"/>
    <xf numFmtId="165" fontId="106" fillId="0" borderId="82" xfId="0" applyNumberFormat="1" applyFont="1" applyBorder="1"/>
    <xf numFmtId="0" fontId="138" fillId="0" borderId="0" xfId="0" applyFont="1" applyAlignment="1">
      <alignment horizontal="left"/>
    </xf>
    <xf numFmtId="0" fontId="138" fillId="44" borderId="0" xfId="0" applyFont="1" applyFill="1" applyAlignment="1">
      <alignment horizontal="left"/>
    </xf>
    <xf numFmtId="0" fontId="138" fillId="4" borderId="0" xfId="0" applyFont="1" applyFill="1" applyAlignment="1">
      <alignment horizontal="left"/>
    </xf>
    <xf numFmtId="0" fontId="138" fillId="45" borderId="86" xfId="0" applyFont="1" applyFill="1" applyBorder="1" applyAlignment="1">
      <alignment horizontal="left"/>
    </xf>
    <xf numFmtId="0" fontId="138" fillId="4" borderId="87" xfId="0" applyFont="1" applyFill="1" applyBorder="1" applyAlignment="1">
      <alignment horizontal="left"/>
    </xf>
    <xf numFmtId="0" fontId="138" fillId="45" borderId="87" xfId="0" applyFont="1" applyFill="1" applyBorder="1" applyAlignment="1">
      <alignment horizontal="left"/>
    </xf>
    <xf numFmtId="165" fontId="138" fillId="45" borderId="87" xfId="0" applyNumberFormat="1" applyFont="1" applyFill="1" applyBorder="1" applyAlignment="1">
      <alignment horizontal="left"/>
    </xf>
    <xf numFmtId="165" fontId="138" fillId="4" borderId="87" xfId="0" applyNumberFormat="1" applyFont="1" applyFill="1" applyBorder="1" applyAlignment="1">
      <alignment horizontal="left"/>
    </xf>
    <xf numFmtId="2" fontId="138" fillId="45" borderId="87" xfId="0" applyNumberFormat="1" applyFont="1" applyFill="1" applyBorder="1" applyAlignment="1">
      <alignment horizontal="left"/>
    </xf>
    <xf numFmtId="0" fontId="138" fillId="47" borderId="0" xfId="0" applyFont="1" applyFill="1" applyAlignment="1">
      <alignment horizontal="left"/>
    </xf>
    <xf numFmtId="0" fontId="150" fillId="47" borderId="0" xfId="0" applyFont="1" applyFill="1" applyAlignment="1">
      <alignment horizontal="left"/>
    </xf>
    <xf numFmtId="0" fontId="138" fillId="48" borderId="0" xfId="0" applyFont="1" applyFill="1" applyAlignment="1">
      <alignment horizontal="left"/>
    </xf>
    <xf numFmtId="0" fontId="138" fillId="4" borderId="88" xfId="0" applyFont="1" applyFill="1" applyBorder="1" applyAlignment="1">
      <alignment horizontal="left"/>
    </xf>
    <xf numFmtId="165" fontId="138" fillId="4" borderId="88" xfId="0" applyNumberFormat="1" applyFont="1" applyFill="1" applyBorder="1" applyAlignment="1">
      <alignment horizontal="left"/>
    </xf>
    <xf numFmtId="0" fontId="138" fillId="48" borderId="89" xfId="0" applyFont="1" applyFill="1" applyBorder="1" applyAlignment="1">
      <alignment horizontal="left"/>
    </xf>
    <xf numFmtId="165" fontId="138" fillId="48" borderId="89" xfId="0" applyNumberFormat="1" applyFont="1" applyFill="1" applyBorder="1" applyAlignment="1">
      <alignment horizontal="left"/>
    </xf>
    <xf numFmtId="0" fontId="138" fillId="50" borderId="0" xfId="0" applyFont="1" applyFill="1" applyAlignment="1">
      <alignment horizontal="left"/>
    </xf>
    <xf numFmtId="3" fontId="138" fillId="45" borderId="86" xfId="0" applyNumberFormat="1" applyFont="1" applyFill="1" applyBorder="1" applyAlignment="1">
      <alignment horizontal="left"/>
    </xf>
    <xf numFmtId="3" fontId="138" fillId="4" borderId="87" xfId="0" applyNumberFormat="1" applyFont="1" applyFill="1" applyBorder="1" applyAlignment="1">
      <alignment horizontal="left"/>
    </xf>
    <xf numFmtId="172" fontId="138" fillId="4" borderId="87" xfId="0" applyNumberFormat="1" applyFont="1" applyFill="1" applyBorder="1" applyAlignment="1">
      <alignment horizontal="left"/>
    </xf>
    <xf numFmtId="173" fontId="138" fillId="45" borderId="87" xfId="0" applyNumberFormat="1" applyFont="1" applyFill="1" applyBorder="1" applyAlignment="1">
      <alignment horizontal="left"/>
    </xf>
    <xf numFmtId="165" fontId="137" fillId="52" borderId="90" xfId="0" applyNumberFormat="1" applyFont="1" applyFill="1" applyBorder="1" applyAlignment="1">
      <alignment horizontal="left"/>
    </xf>
    <xf numFmtId="173" fontId="138" fillId="48" borderId="0" xfId="0" applyNumberFormat="1" applyFont="1" applyFill="1" applyAlignment="1">
      <alignment horizontal="left"/>
    </xf>
    <xf numFmtId="0" fontId="152" fillId="4" borderId="0" xfId="0" applyFont="1" applyFill="1" applyAlignment="1">
      <alignment horizontal="left"/>
    </xf>
    <xf numFmtId="0" fontId="157" fillId="48" borderId="0" xfId="0" applyFont="1" applyFill="1" applyAlignment="1">
      <alignment horizontal="left"/>
    </xf>
    <xf numFmtId="0" fontId="157" fillId="4" borderId="88" xfId="0" applyFont="1" applyFill="1" applyBorder="1" applyAlignment="1">
      <alignment horizontal="left"/>
    </xf>
    <xf numFmtId="0" fontId="157" fillId="48" borderId="89" xfId="0" applyFont="1" applyFill="1" applyBorder="1" applyAlignment="1">
      <alignment horizontal="left"/>
    </xf>
    <xf numFmtId="0" fontId="137" fillId="48" borderId="0" xfId="0" applyFont="1" applyFill="1" applyAlignment="1">
      <alignment horizontal="left"/>
    </xf>
    <xf numFmtId="0" fontId="137" fillId="4" borderId="88" xfId="0" applyFont="1" applyFill="1" applyBorder="1" applyAlignment="1">
      <alignment horizontal="left"/>
    </xf>
    <xf numFmtId="0" fontId="137" fillId="48" borderId="89" xfId="0" applyFont="1" applyFill="1" applyBorder="1" applyAlignment="1">
      <alignment horizontal="left"/>
    </xf>
    <xf numFmtId="0" fontId="158" fillId="48" borderId="0" xfId="0" applyFont="1" applyFill="1" applyAlignment="1">
      <alignment horizontal="center"/>
    </xf>
    <xf numFmtId="0" fontId="158" fillId="4" borderId="88" xfId="0" applyFont="1" applyFill="1" applyBorder="1" applyAlignment="1">
      <alignment horizontal="center"/>
    </xf>
    <xf numFmtId="0" fontId="158" fillId="48" borderId="89" xfId="0" applyFont="1" applyFill="1" applyBorder="1" applyAlignment="1">
      <alignment horizontal="center"/>
    </xf>
    <xf numFmtId="3" fontId="158" fillId="51" borderId="90" xfId="0" applyNumberFormat="1" applyFont="1" applyFill="1" applyBorder="1" applyAlignment="1">
      <alignment horizontal="left"/>
    </xf>
    <xf numFmtId="3" fontId="158" fillId="4" borderId="90" xfId="0" applyNumberFormat="1" applyFont="1" applyFill="1" applyBorder="1" applyAlignment="1">
      <alignment horizontal="left"/>
    </xf>
    <xf numFmtId="3" fontId="160" fillId="52" borderId="90" xfId="0" applyNumberFormat="1" applyFont="1" applyFill="1" applyBorder="1" applyAlignment="1">
      <alignment horizontal="left"/>
    </xf>
    <xf numFmtId="164" fontId="159" fillId="51" borderId="90" xfId="0" applyNumberFormat="1" applyFont="1" applyFill="1" applyBorder="1" applyAlignment="1">
      <alignment horizontal="left"/>
    </xf>
    <xf numFmtId="164" fontId="159" fillId="4" borderId="90" xfId="0" applyNumberFormat="1" applyFont="1" applyFill="1" applyBorder="1" applyAlignment="1">
      <alignment horizontal="left"/>
    </xf>
    <xf numFmtId="165" fontId="159" fillId="51" borderId="90" xfId="0" applyNumberFormat="1" applyFont="1" applyFill="1" applyBorder="1" applyAlignment="1">
      <alignment horizontal="left"/>
    </xf>
    <xf numFmtId="165" fontId="159" fillId="4" borderId="90" xfId="0" applyNumberFormat="1" applyFont="1" applyFill="1" applyBorder="1" applyAlignment="1">
      <alignment horizontal="left"/>
    </xf>
    <xf numFmtId="3" fontId="0" fillId="0" borderId="70" xfId="0" applyNumberFormat="1" applyBorder="1"/>
    <xf numFmtId="3" fontId="0" fillId="16" borderId="75" xfId="0" applyNumberFormat="1" applyFill="1" applyBorder="1"/>
    <xf numFmtId="3" fontId="0" fillId="16" borderId="71" xfId="0" applyNumberFormat="1" applyFill="1" applyBorder="1"/>
    <xf numFmtId="3" fontId="0" fillId="16" borderId="70" xfId="0" applyNumberFormat="1" applyFill="1" applyBorder="1"/>
    <xf numFmtId="3" fontId="0" fillId="16" borderId="72" xfId="0" applyNumberFormat="1" applyFill="1" applyBorder="1"/>
    <xf numFmtId="3" fontId="0" fillId="0" borderId="71" xfId="0" applyNumberFormat="1" applyBorder="1"/>
    <xf numFmtId="3" fontId="3" fillId="16" borderId="74" xfId="0" applyNumberFormat="1" applyFont="1" applyFill="1" applyBorder="1"/>
    <xf numFmtId="3" fontId="27" fillId="13" borderId="0" xfId="0" applyNumberFormat="1" applyFont="1" applyFill="1" applyAlignment="1">
      <alignment horizontal="center"/>
    </xf>
    <xf numFmtId="3" fontId="0" fillId="18" borderId="0" xfId="0" applyNumberFormat="1" applyFill="1"/>
    <xf numFmtId="3" fontId="28" fillId="0" borderId="0" xfId="0" applyNumberFormat="1" applyFont="1"/>
    <xf numFmtId="3" fontId="52" fillId="0" borderId="0" xfId="0" applyNumberFormat="1" applyFont="1"/>
    <xf numFmtId="3" fontId="81" fillId="0" borderId="0" xfId="0" applyNumberFormat="1" applyFont="1"/>
    <xf numFmtId="165" fontId="31" fillId="4" borderId="0" xfId="0" applyNumberFormat="1" applyFont="1" applyFill="1" applyAlignment="1">
      <alignment horizontal="center"/>
    </xf>
    <xf numFmtId="165" fontId="31" fillId="17" borderId="0" xfId="0" applyNumberFormat="1" applyFont="1" applyFill="1" applyAlignment="1">
      <alignment horizontal="center"/>
    </xf>
    <xf numFmtId="165" fontId="31" fillId="20" borderId="0" xfId="0" applyNumberFormat="1" applyFont="1" applyFill="1"/>
    <xf numFmtId="165" fontId="31" fillId="16" borderId="0" xfId="0" applyNumberFormat="1" applyFont="1" applyFill="1"/>
    <xf numFmtId="165" fontId="127" fillId="15" borderId="0" xfId="0" applyNumberFormat="1" applyFont="1" applyFill="1" applyAlignment="1">
      <alignment horizontal="center"/>
    </xf>
    <xf numFmtId="165" fontId="32" fillId="18" borderId="0" xfId="0" applyNumberFormat="1" applyFont="1" applyFill="1" applyAlignment="1">
      <alignment horizontal="center"/>
    </xf>
    <xf numFmtId="3" fontId="85" fillId="17" borderId="5" xfId="1" applyNumberFormat="1" applyFont="1" applyFill="1" applyBorder="1" applyAlignment="1">
      <alignment horizontal="right"/>
    </xf>
    <xf numFmtId="3" fontId="86" fillId="4" borderId="5" xfId="1" applyNumberFormat="1" applyFont="1" applyFill="1" applyBorder="1" applyAlignment="1">
      <alignment horizontal="right"/>
    </xf>
    <xf numFmtId="3" fontId="85" fillId="17" borderId="5" xfId="0" applyNumberFormat="1" applyFont="1" applyFill="1" applyBorder="1" applyAlignment="1">
      <alignment horizontal="right"/>
    </xf>
    <xf numFmtId="3" fontId="85" fillId="4" borderId="5" xfId="0" applyNumberFormat="1" applyFont="1" applyFill="1" applyBorder="1" applyAlignment="1">
      <alignment horizontal="right"/>
    </xf>
    <xf numFmtId="3" fontId="86" fillId="4" borderId="5" xfId="0" applyNumberFormat="1" applyFont="1" applyFill="1" applyBorder="1" applyAlignment="1">
      <alignment horizontal="right"/>
    </xf>
    <xf numFmtId="3" fontId="89" fillId="4" borderId="0" xfId="0" applyNumberFormat="1" applyFont="1" applyFill="1" applyAlignment="1">
      <alignment horizontal="right"/>
    </xf>
    <xf numFmtId="167" fontId="85" fillId="17" borderId="5" xfId="0" applyNumberFormat="1" applyFont="1" applyFill="1" applyBorder="1" applyAlignment="1">
      <alignment horizontal="right"/>
    </xf>
    <xf numFmtId="3" fontId="61" fillId="18" borderId="0" xfId="0" applyNumberFormat="1" applyFont="1" applyFill="1" applyAlignment="1">
      <alignment horizontal="center"/>
    </xf>
    <xf numFmtId="3" fontId="65" fillId="21" borderId="0" xfId="0" applyNumberFormat="1" applyFont="1" applyFill="1" applyAlignment="1">
      <alignment horizontal="center"/>
    </xf>
    <xf numFmtId="3" fontId="65" fillId="22" borderId="0" xfId="0" applyNumberFormat="1" applyFont="1" applyFill="1" applyAlignment="1">
      <alignment horizontal="center"/>
    </xf>
    <xf numFmtId="3" fontId="67" fillId="23" borderId="0" xfId="0" applyNumberFormat="1" applyFont="1" applyFill="1" applyAlignment="1">
      <alignment horizontal="center"/>
    </xf>
    <xf numFmtId="3" fontId="56" fillId="18" borderId="0" xfId="0" applyNumberFormat="1" applyFont="1" applyFill="1" applyAlignment="1">
      <alignment horizontal="center"/>
    </xf>
    <xf numFmtId="3" fontId="56" fillId="21" borderId="0" xfId="0" applyNumberFormat="1" applyFont="1" applyFill="1" applyAlignment="1">
      <alignment horizontal="center"/>
    </xf>
    <xf numFmtId="3" fontId="56" fillId="22" borderId="0" xfId="0" applyNumberFormat="1" applyFont="1" applyFill="1" applyAlignment="1">
      <alignment horizontal="center"/>
    </xf>
    <xf numFmtId="3" fontId="56" fillId="23" borderId="0" xfId="0" applyNumberFormat="1" applyFont="1" applyFill="1" applyAlignment="1">
      <alignment horizontal="center"/>
    </xf>
    <xf numFmtId="174" fontId="106" fillId="0" borderId="23" xfId="0" applyNumberFormat="1" applyFont="1" applyBorder="1"/>
    <xf numFmtId="3" fontId="106" fillId="0" borderId="23" xfId="0" applyNumberFormat="1" applyFont="1" applyBorder="1"/>
    <xf numFmtId="3" fontId="27" fillId="30" borderId="46" xfId="0" applyNumberFormat="1" applyFont="1" applyFill="1" applyBorder="1"/>
    <xf numFmtId="3" fontId="27" fillId="30" borderId="47" xfId="0" applyNumberFormat="1" applyFont="1" applyFill="1" applyBorder="1"/>
    <xf numFmtId="170" fontId="111" fillId="0" borderId="25" xfId="0" applyNumberFormat="1" applyFont="1" applyBorder="1"/>
    <xf numFmtId="170" fontId="111" fillId="0" borderId="26" xfId="0" applyNumberFormat="1" applyFont="1" applyBorder="1"/>
    <xf numFmtId="3" fontId="110" fillId="0" borderId="0" xfId="0" applyNumberFormat="1" applyFont="1"/>
    <xf numFmtId="3" fontId="0" fillId="0" borderId="64" xfId="0" applyNumberFormat="1" applyBorder="1"/>
    <xf numFmtId="3" fontId="106" fillId="6" borderId="64" xfId="0" applyNumberFormat="1" applyFont="1" applyFill="1" applyBorder="1"/>
    <xf numFmtId="3" fontId="107" fillId="33" borderId="64" xfId="0" applyNumberFormat="1" applyFont="1" applyFill="1" applyBorder="1"/>
    <xf numFmtId="3" fontId="103" fillId="4" borderId="64" xfId="0" applyNumberFormat="1" applyFont="1" applyFill="1" applyBorder="1"/>
    <xf numFmtId="3" fontId="6" fillId="2" borderId="11" xfId="0" applyNumberFormat="1" applyFont="1" applyFill="1" applyBorder="1" applyAlignment="1">
      <alignment horizontal="center"/>
    </xf>
    <xf numFmtId="3" fontId="0" fillId="11" borderId="5" xfId="0" applyNumberFormat="1" applyFill="1" applyBorder="1"/>
    <xf numFmtId="3" fontId="135" fillId="5" borderId="0" xfId="0" applyNumberFormat="1" applyFont="1" applyFill="1"/>
    <xf numFmtId="2" fontId="40" fillId="17" borderId="16" xfId="0" applyNumberFormat="1" applyFont="1" applyFill="1" applyBorder="1" applyAlignment="1">
      <alignment horizontal="right" vertical="center"/>
    </xf>
    <xf numFmtId="165" fontId="31" fillId="16" borderId="16" xfId="0" applyNumberFormat="1" applyFont="1" applyFill="1" applyBorder="1"/>
    <xf numFmtId="165" fontId="31" fillId="16" borderId="19" xfId="0" applyNumberFormat="1" applyFont="1" applyFill="1" applyBorder="1"/>
    <xf numFmtId="2" fontId="32" fillId="16" borderId="0" xfId="0" applyNumberFormat="1" applyFont="1" applyFill="1"/>
    <xf numFmtId="4" fontId="107" fillId="4" borderId="64" xfId="0" applyNumberFormat="1" applyFont="1" applyFill="1" applyBorder="1"/>
    <xf numFmtId="3" fontId="107" fillId="32" borderId="64" xfId="0" applyNumberFormat="1" applyFont="1" applyFill="1" applyBorder="1"/>
    <xf numFmtId="3" fontId="106" fillId="4" borderId="66" xfId="0" applyNumberFormat="1" applyFont="1" applyFill="1" applyBorder="1"/>
    <xf numFmtId="2" fontId="3" fillId="5" borderId="35" xfId="0" applyNumberFormat="1" applyFont="1" applyFill="1" applyBorder="1" applyAlignment="1">
      <alignment horizontal="center" vertical="center"/>
    </xf>
    <xf numFmtId="165" fontId="0" fillId="0" borderId="25" xfId="0" applyNumberFormat="1" applyBorder="1" applyAlignment="1">
      <alignment horizontal="center" vertical="center"/>
    </xf>
    <xf numFmtId="3" fontId="0" fillId="3" borderId="25" xfId="0" applyNumberFormat="1" applyFill="1" applyBorder="1" applyAlignment="1">
      <alignment horizontal="center" vertical="center"/>
    </xf>
    <xf numFmtId="2" fontId="138" fillId="4" borderId="87" xfId="0" applyNumberFormat="1" applyFont="1" applyFill="1" applyBorder="1" applyAlignment="1">
      <alignment horizontal="left"/>
    </xf>
    <xf numFmtId="167" fontId="138" fillId="45" borderId="87" xfId="0" applyNumberFormat="1" applyFont="1" applyFill="1" applyBorder="1" applyAlignment="1">
      <alignment horizontal="left"/>
    </xf>
    <xf numFmtId="167" fontId="150" fillId="47" borderId="0" xfId="0" applyNumberFormat="1" applyFont="1" applyFill="1" applyAlignment="1">
      <alignment horizontal="left"/>
    </xf>
    <xf numFmtId="165" fontId="138" fillId="48" borderId="0" xfId="0" applyNumberFormat="1" applyFont="1" applyFill="1" applyAlignment="1">
      <alignment horizontal="left"/>
    </xf>
    <xf numFmtId="165" fontId="138" fillId="51" borderId="90" xfId="0" applyNumberFormat="1" applyFont="1" applyFill="1" applyBorder="1" applyAlignment="1">
      <alignment horizontal="left"/>
    </xf>
    <xf numFmtId="165" fontId="138" fillId="4" borderId="90" xfId="0" applyNumberFormat="1" applyFont="1" applyFill="1" applyBorder="1" applyAlignment="1">
      <alignment horizontal="left"/>
    </xf>
    <xf numFmtId="165" fontId="134" fillId="0" borderId="0" xfId="0" applyNumberFormat="1" applyFont="1"/>
    <xf numFmtId="165" fontId="134" fillId="11" borderId="0" xfId="0" applyNumberFormat="1" applyFont="1" applyFill="1"/>
    <xf numFmtId="0" fontId="31" fillId="14" borderId="0" xfId="0" applyFont="1" applyFill="1"/>
    <xf numFmtId="165" fontId="31" fillId="14" borderId="0" xfId="0" applyNumberFormat="1" applyFont="1" applyFill="1"/>
    <xf numFmtId="165" fontId="38" fillId="17" borderId="0" xfId="0" applyNumberFormat="1" applyFont="1" applyFill="1" applyAlignment="1">
      <alignment horizontal="right"/>
    </xf>
    <xf numFmtId="0" fontId="0" fillId="9" borderId="0" xfId="0" applyFill="1"/>
    <xf numFmtId="0" fontId="56" fillId="4" borderId="0" xfId="0" applyFont="1" applyFill="1"/>
    <xf numFmtId="0" fontId="56" fillId="16" borderId="0" xfId="0" applyFont="1" applyFill="1"/>
    <xf numFmtId="0" fontId="4" fillId="10" borderId="0" xfId="0" applyFont="1" applyFill="1"/>
    <xf numFmtId="0" fontId="135" fillId="5" borderId="0" xfId="0" applyFont="1" applyFill="1" applyAlignment="1">
      <alignment horizontal="center"/>
    </xf>
    <xf numFmtId="0" fontId="9" fillId="3" borderId="0" xfId="0" applyFont="1" applyFill="1" applyAlignment="1">
      <alignment wrapText="1"/>
    </xf>
    <xf numFmtId="0" fontId="7" fillId="3" borderId="0" xfId="0" applyFont="1" applyFill="1" applyAlignment="1">
      <alignment wrapText="1"/>
    </xf>
    <xf numFmtId="0" fontId="0" fillId="3" borderId="0" xfId="0" applyFill="1" applyAlignment="1">
      <alignment wrapText="1"/>
    </xf>
    <xf numFmtId="0" fontId="3" fillId="3" borderId="0" xfId="0" applyFont="1" applyFill="1" applyAlignment="1">
      <alignment horizontal="center" vertical="center" wrapText="1"/>
    </xf>
    <xf numFmtId="0" fontId="0" fillId="0" borderId="0" xfId="0" applyAlignment="1">
      <alignment horizontal="center" vertical="center" wrapText="1"/>
    </xf>
    <xf numFmtId="0" fontId="3" fillId="0" borderId="0" xfId="0" applyFont="1" applyAlignment="1">
      <alignment horizontal="center" vertical="center" wrapText="1"/>
    </xf>
    <xf numFmtId="0" fontId="3" fillId="5" borderId="0" xfId="0" applyFont="1" applyFill="1"/>
    <xf numFmtId="0" fontId="0" fillId="2" borderId="91" xfId="0" applyFill="1" applyBorder="1"/>
    <xf numFmtId="0" fontId="163" fillId="53" borderId="0" xfId="0" applyFont="1" applyFill="1"/>
    <xf numFmtId="3" fontId="15" fillId="4" borderId="0" xfId="0" applyNumberFormat="1" applyFont="1" applyFill="1"/>
    <xf numFmtId="0" fontId="15" fillId="4" borderId="92" xfId="0" applyFont="1" applyFill="1" applyBorder="1"/>
    <xf numFmtId="0" fontId="0" fillId="0" borderId="92" xfId="0" applyBorder="1"/>
    <xf numFmtId="0" fontId="4" fillId="2" borderId="93" xfId="0" applyFont="1" applyFill="1" applyBorder="1"/>
    <xf numFmtId="0" fontId="9" fillId="6" borderId="94" xfId="0" applyFont="1" applyFill="1" applyBorder="1"/>
    <xf numFmtId="0" fontId="15" fillId="4" borderId="94" xfId="0" applyFont="1" applyFill="1" applyBorder="1"/>
    <xf numFmtId="0" fontId="15" fillId="4" borderId="95" xfId="0" applyFont="1" applyFill="1" applyBorder="1"/>
    <xf numFmtId="0" fontId="0" fillId="2" borderId="96" xfId="0" applyFill="1" applyBorder="1"/>
    <xf numFmtId="0" fontId="0" fillId="0" borderId="97" xfId="0" applyBorder="1"/>
    <xf numFmtId="0" fontId="0" fillId="0" borderId="98" xfId="0" applyBorder="1"/>
    <xf numFmtId="0" fontId="151" fillId="50" borderId="72" xfId="0" applyFont="1" applyFill="1" applyBorder="1" applyAlignment="1">
      <alignment horizontal="left"/>
    </xf>
    <xf numFmtId="0" fontId="151" fillId="50" borderId="0" xfId="0" applyFont="1" applyFill="1" applyAlignment="1">
      <alignment horizontal="left"/>
    </xf>
    <xf numFmtId="0" fontId="151" fillId="50" borderId="73" xfId="0" applyFont="1" applyFill="1" applyBorder="1" applyAlignment="1">
      <alignment horizontal="left"/>
    </xf>
    <xf numFmtId="0" fontId="138" fillId="51" borderId="72" xfId="0" applyFont="1" applyFill="1" applyBorder="1" applyAlignment="1">
      <alignment horizontal="left"/>
    </xf>
    <xf numFmtId="3" fontId="138" fillId="51" borderId="0" xfId="0" applyNumberFormat="1" applyFont="1" applyFill="1" applyAlignment="1">
      <alignment horizontal="left"/>
    </xf>
    <xf numFmtId="165" fontId="138" fillId="51" borderId="0" xfId="0" applyNumberFormat="1" applyFont="1" applyFill="1" applyAlignment="1">
      <alignment horizontal="left"/>
    </xf>
    <xf numFmtId="0" fontId="138" fillId="51" borderId="0" xfId="0" applyFont="1" applyFill="1" applyAlignment="1">
      <alignment horizontal="left"/>
    </xf>
    <xf numFmtId="0" fontId="161" fillId="51" borderId="73" xfId="0" applyFont="1" applyFill="1" applyBorder="1" applyAlignment="1">
      <alignment horizontal="left"/>
    </xf>
    <xf numFmtId="3" fontId="155" fillId="52" borderId="102" xfId="0" applyNumberFormat="1" applyFont="1" applyFill="1" applyBorder="1" applyAlignment="1">
      <alignment horizontal="left"/>
    </xf>
    <xf numFmtId="0" fontId="162" fillId="52" borderId="103" xfId="0" applyFont="1" applyFill="1" applyBorder="1" applyAlignment="1">
      <alignment horizontal="left"/>
    </xf>
    <xf numFmtId="3" fontId="156" fillId="51" borderId="102" xfId="0" applyNumberFormat="1" applyFont="1" applyFill="1" applyBorder="1" applyAlignment="1">
      <alignment horizontal="left"/>
    </xf>
    <xf numFmtId="0" fontId="161" fillId="51" borderId="103" xfId="0" applyFont="1" applyFill="1" applyBorder="1" applyAlignment="1">
      <alignment horizontal="left"/>
    </xf>
    <xf numFmtId="3" fontId="156" fillId="4" borderId="102" xfId="0" applyNumberFormat="1" applyFont="1" applyFill="1" applyBorder="1" applyAlignment="1">
      <alignment horizontal="left"/>
    </xf>
    <xf numFmtId="0" fontId="161" fillId="4" borderId="103" xfId="0" applyFont="1" applyFill="1" applyBorder="1" applyAlignment="1">
      <alignment horizontal="left"/>
    </xf>
    <xf numFmtId="3" fontId="155" fillId="52" borderId="104" xfId="0" applyNumberFormat="1" applyFont="1" applyFill="1" applyBorder="1" applyAlignment="1">
      <alignment horizontal="left"/>
    </xf>
    <xf numFmtId="164" fontId="145" fillId="52" borderId="105" xfId="0" applyNumberFormat="1" applyFont="1" applyFill="1" applyBorder="1" applyAlignment="1">
      <alignment horizontal="left"/>
    </xf>
    <xf numFmtId="3" fontId="145" fillId="52" borderId="105" xfId="0" applyNumberFormat="1" applyFont="1" applyFill="1" applyBorder="1" applyAlignment="1">
      <alignment horizontal="left"/>
    </xf>
    <xf numFmtId="165" fontId="137" fillId="52" borderId="105" xfId="0" applyNumberFormat="1" applyFont="1" applyFill="1" applyBorder="1" applyAlignment="1">
      <alignment horizontal="left"/>
    </xf>
    <xf numFmtId="165" fontId="145" fillId="52" borderId="105" xfId="0" applyNumberFormat="1" applyFont="1" applyFill="1" applyBorder="1" applyAlignment="1">
      <alignment horizontal="left"/>
    </xf>
    <xf numFmtId="0" fontId="162" fillId="52" borderId="106" xfId="0" applyFont="1" applyFill="1" applyBorder="1" applyAlignment="1">
      <alignment horizontal="left"/>
    </xf>
    <xf numFmtId="0" fontId="154" fillId="43" borderId="70" xfId="0" applyFont="1" applyFill="1" applyBorder="1" applyAlignment="1">
      <alignment horizontal="left"/>
    </xf>
    <xf numFmtId="0" fontId="138" fillId="43" borderId="100" xfId="0" applyFont="1" applyFill="1" applyBorder="1" applyAlignment="1">
      <alignment horizontal="left"/>
    </xf>
    <xf numFmtId="0" fontId="138" fillId="43" borderId="101" xfId="0" applyFont="1" applyFill="1" applyBorder="1" applyAlignment="1">
      <alignment horizontal="left"/>
    </xf>
    <xf numFmtId="0" fontId="142" fillId="44" borderId="72" xfId="0" applyFont="1" applyFill="1" applyBorder="1" applyAlignment="1">
      <alignment horizontal="left"/>
    </xf>
    <xf numFmtId="0" fontId="142" fillId="44" borderId="0" xfId="0" applyFont="1" applyFill="1" applyAlignment="1">
      <alignment horizontal="left"/>
    </xf>
    <xf numFmtId="0" fontId="142" fillId="44" borderId="73" xfId="0" applyFont="1" applyFill="1" applyBorder="1" applyAlignment="1">
      <alignment horizontal="left"/>
    </xf>
    <xf numFmtId="3" fontId="155" fillId="45" borderId="107" xfId="0" applyNumberFormat="1" applyFont="1" applyFill="1" applyBorder="1" applyAlignment="1">
      <alignment horizontal="left"/>
    </xf>
    <xf numFmtId="0" fontId="139" fillId="45" borderId="108" xfId="0" applyFont="1" applyFill="1" applyBorder="1" applyAlignment="1">
      <alignment horizontal="left"/>
    </xf>
    <xf numFmtId="3" fontId="155" fillId="4" borderId="109" xfId="0" applyNumberFormat="1" applyFont="1" applyFill="1" applyBorder="1" applyAlignment="1">
      <alignment horizontal="left"/>
    </xf>
    <xf numFmtId="0" fontId="139" fillId="4" borderId="110" xfId="0" applyFont="1" applyFill="1" applyBorder="1" applyAlignment="1">
      <alignment horizontal="left"/>
    </xf>
    <xf numFmtId="165" fontId="155" fillId="45" borderId="109" xfId="0" applyNumberFormat="1" applyFont="1" applyFill="1" applyBorder="1" applyAlignment="1">
      <alignment horizontal="left"/>
    </xf>
    <xf numFmtId="0" fontId="139" fillId="45" borderId="110" xfId="0" applyFont="1" applyFill="1" applyBorder="1" applyAlignment="1">
      <alignment horizontal="left"/>
    </xf>
    <xf numFmtId="165" fontId="155" fillId="4" borderId="109" xfId="0" applyNumberFormat="1" applyFont="1" applyFill="1" applyBorder="1" applyAlignment="1">
      <alignment horizontal="left"/>
    </xf>
    <xf numFmtId="2" fontId="155" fillId="45" borderId="109" xfId="0" applyNumberFormat="1" applyFont="1" applyFill="1" applyBorder="1" applyAlignment="1">
      <alignment horizontal="left"/>
    </xf>
    <xf numFmtId="2" fontId="155" fillId="4" borderId="109" xfId="0" applyNumberFormat="1" applyFont="1" applyFill="1" applyBorder="1" applyAlignment="1">
      <alignment horizontal="left"/>
    </xf>
    <xf numFmtId="167" fontId="155" fillId="45" borderId="109" xfId="0" applyNumberFormat="1" applyFont="1" applyFill="1" applyBorder="1" applyAlignment="1">
      <alignment horizontal="left"/>
    </xf>
    <xf numFmtId="167" fontId="155" fillId="4" borderId="111" xfId="0" applyNumberFormat="1" applyFont="1" applyFill="1" applyBorder="1" applyAlignment="1">
      <alignment horizontal="left"/>
    </xf>
    <xf numFmtId="167" fontId="138" fillId="4" borderId="112" xfId="0" applyNumberFormat="1" applyFont="1" applyFill="1" applyBorder="1" applyAlignment="1">
      <alignment horizontal="left"/>
    </xf>
    <xf numFmtId="173" fontId="138" fillId="4" borderId="112" xfId="0" applyNumberFormat="1" applyFont="1" applyFill="1" applyBorder="1" applyAlignment="1">
      <alignment horizontal="left"/>
    </xf>
    <xf numFmtId="0" fontId="138" fillId="4" borderId="112" xfId="0" applyFont="1" applyFill="1" applyBorder="1" applyAlignment="1">
      <alignment horizontal="left"/>
    </xf>
    <xf numFmtId="0" fontId="139" fillId="4" borderId="113" xfId="0" applyFont="1" applyFill="1" applyBorder="1" applyAlignment="1">
      <alignment horizontal="left"/>
    </xf>
    <xf numFmtId="0" fontId="0" fillId="14" borderId="0" xfId="0" applyFill="1"/>
    <xf numFmtId="0" fontId="16" fillId="2" borderId="0" xfId="0" applyFont="1" applyFill="1" applyAlignment="1">
      <alignment horizontal="center"/>
    </xf>
    <xf numFmtId="0" fontId="167" fillId="0" borderId="0" xfId="2"/>
    <xf numFmtId="0" fontId="169" fillId="0" borderId="0" xfId="2" applyFont="1" applyAlignment="1">
      <alignment horizontal="center" vertical="center" wrapText="1"/>
    </xf>
    <xf numFmtId="0" fontId="169" fillId="56" borderId="25" xfId="2" applyFont="1" applyFill="1" applyBorder="1" applyAlignment="1">
      <alignment horizontal="center" vertical="center" wrapText="1"/>
    </xf>
    <xf numFmtId="0" fontId="170" fillId="57" borderId="25" xfId="2" applyFont="1" applyFill="1" applyBorder="1" applyAlignment="1">
      <alignment horizontal="center" vertical="center" wrapText="1"/>
    </xf>
    <xf numFmtId="0" fontId="170" fillId="59" borderId="25" xfId="2" applyFont="1" applyFill="1" applyBorder="1" applyAlignment="1">
      <alignment horizontal="center" vertical="center" wrapText="1"/>
    </xf>
    <xf numFmtId="3" fontId="170" fillId="59" borderId="25" xfId="2" applyNumberFormat="1" applyFont="1" applyFill="1" applyBorder="1" applyAlignment="1">
      <alignment horizontal="right" vertical="center"/>
    </xf>
    <xf numFmtId="4" fontId="170" fillId="59" borderId="25" xfId="2" applyNumberFormat="1" applyFont="1" applyFill="1" applyBorder="1" applyAlignment="1">
      <alignment horizontal="right" vertical="center"/>
    </xf>
    <xf numFmtId="3" fontId="170" fillId="57" borderId="25" xfId="2" applyNumberFormat="1" applyFont="1" applyFill="1" applyBorder="1" applyAlignment="1">
      <alignment horizontal="right" vertical="center"/>
    </xf>
    <xf numFmtId="4" fontId="170" fillId="57" borderId="25" xfId="2" applyNumberFormat="1" applyFont="1" applyFill="1" applyBorder="1" applyAlignment="1">
      <alignment horizontal="right" vertical="center"/>
    </xf>
    <xf numFmtId="0" fontId="167" fillId="60" borderId="0" xfId="2" applyFill="1"/>
    <xf numFmtId="3" fontId="169" fillId="60" borderId="25" xfId="2" applyNumberFormat="1" applyFont="1" applyFill="1" applyBorder="1" applyAlignment="1">
      <alignment horizontal="right" vertical="center"/>
    </xf>
    <xf numFmtId="4" fontId="169" fillId="60" borderId="25" xfId="2" applyNumberFormat="1" applyFont="1" applyFill="1" applyBorder="1" applyAlignment="1">
      <alignment horizontal="right" vertical="center"/>
    </xf>
    <xf numFmtId="0" fontId="167" fillId="61" borderId="114" xfId="2" applyFill="1" applyBorder="1"/>
    <xf numFmtId="3" fontId="173" fillId="61" borderId="114" xfId="2" applyNumberFormat="1" applyFont="1" applyFill="1" applyBorder="1"/>
    <xf numFmtId="4" fontId="173" fillId="61" borderId="114" xfId="2" applyNumberFormat="1" applyFont="1" applyFill="1" applyBorder="1"/>
    <xf numFmtId="0" fontId="169" fillId="0" borderId="0" xfId="2" applyFont="1"/>
    <xf numFmtId="0" fontId="174" fillId="0" borderId="0" xfId="2" applyFont="1"/>
    <xf numFmtId="0" fontId="170" fillId="63" borderId="25" xfId="2" applyFont="1" applyFill="1" applyBorder="1" applyAlignment="1">
      <alignment horizontal="center" vertical="center" wrapText="1"/>
    </xf>
    <xf numFmtId="3" fontId="170" fillId="63" borderId="25" xfId="2" applyNumberFormat="1" applyFont="1" applyFill="1" applyBorder="1" applyAlignment="1">
      <alignment horizontal="right" vertical="center"/>
    </xf>
    <xf numFmtId="4" fontId="170" fillId="63" borderId="25" xfId="2" applyNumberFormat="1" applyFont="1" applyFill="1" applyBorder="1" applyAlignment="1">
      <alignment horizontal="right" vertical="center"/>
    </xf>
    <xf numFmtId="0" fontId="169" fillId="64" borderId="25" xfId="2" applyFont="1" applyFill="1" applyBorder="1" applyAlignment="1">
      <alignment horizontal="center" vertical="center" wrapText="1"/>
    </xf>
    <xf numFmtId="0" fontId="169" fillId="64" borderId="25" xfId="2" applyFont="1" applyFill="1" applyBorder="1" applyAlignment="1">
      <alignment horizontal="right" vertical="center"/>
    </xf>
    <xf numFmtId="3" fontId="169" fillId="64" borderId="25" xfId="2" applyNumberFormat="1" applyFont="1" applyFill="1" applyBorder="1" applyAlignment="1">
      <alignment horizontal="right" vertical="center"/>
    </xf>
    <xf numFmtId="4" fontId="169" fillId="64" borderId="25" xfId="2" applyNumberFormat="1" applyFont="1" applyFill="1" applyBorder="1" applyAlignment="1">
      <alignment horizontal="right" vertical="center"/>
    </xf>
    <xf numFmtId="0" fontId="170" fillId="66" borderId="25" xfId="2" applyFont="1" applyFill="1" applyBorder="1" applyAlignment="1">
      <alignment horizontal="center" vertical="center" wrapText="1"/>
    </xf>
    <xf numFmtId="3" fontId="170" fillId="66" borderId="25" xfId="2" applyNumberFormat="1" applyFont="1" applyFill="1" applyBorder="1" applyAlignment="1">
      <alignment horizontal="right" vertical="center"/>
    </xf>
    <xf numFmtId="0" fontId="170" fillId="66" borderId="25" xfId="2" applyFont="1" applyFill="1" applyBorder="1" applyAlignment="1">
      <alignment horizontal="right" vertical="center"/>
    </xf>
    <xf numFmtId="4" fontId="170" fillId="66" borderId="25" xfId="2" applyNumberFormat="1" applyFont="1" applyFill="1" applyBorder="1" applyAlignment="1">
      <alignment horizontal="right" vertical="center"/>
    </xf>
    <xf numFmtId="0" fontId="170" fillId="59" borderId="25" xfId="2" applyFont="1" applyFill="1" applyBorder="1" applyAlignment="1">
      <alignment horizontal="right" vertical="center"/>
    </xf>
    <xf numFmtId="0" fontId="170" fillId="68" borderId="25" xfId="2" applyFont="1" applyFill="1" applyBorder="1" applyAlignment="1">
      <alignment horizontal="center" vertical="center" wrapText="1"/>
    </xf>
    <xf numFmtId="3" fontId="170" fillId="68" borderId="25" xfId="2" applyNumberFormat="1" applyFont="1" applyFill="1" applyBorder="1" applyAlignment="1">
      <alignment horizontal="right" vertical="center"/>
    </xf>
    <xf numFmtId="0" fontId="170" fillId="68" borderId="25" xfId="2" applyFont="1" applyFill="1" applyBorder="1" applyAlignment="1">
      <alignment horizontal="right" vertical="center"/>
    </xf>
    <xf numFmtId="4" fontId="170" fillId="68" borderId="25" xfId="2" applyNumberFormat="1" applyFont="1" applyFill="1" applyBorder="1" applyAlignment="1">
      <alignment horizontal="right" vertical="center"/>
    </xf>
    <xf numFmtId="0" fontId="169" fillId="69" borderId="25" xfId="2" applyFont="1" applyFill="1" applyBorder="1" applyAlignment="1">
      <alignment horizontal="center" vertical="center" wrapText="1"/>
    </xf>
    <xf numFmtId="0" fontId="169" fillId="69" borderId="25" xfId="2" applyFont="1" applyFill="1" applyBorder="1" applyAlignment="1">
      <alignment horizontal="right" vertical="center"/>
    </xf>
    <xf numFmtId="3" fontId="169" fillId="69" borderId="25" xfId="2" applyNumberFormat="1" applyFont="1" applyFill="1" applyBorder="1" applyAlignment="1">
      <alignment horizontal="right" vertical="center"/>
    </xf>
    <xf numFmtId="4" fontId="169" fillId="69" borderId="25" xfId="2" applyNumberFormat="1" applyFont="1" applyFill="1" applyBorder="1" applyAlignment="1">
      <alignment horizontal="right" vertical="center"/>
    </xf>
    <xf numFmtId="0" fontId="172" fillId="55" borderId="25" xfId="2" applyFont="1" applyFill="1" applyBorder="1" applyAlignment="1">
      <alignment horizontal="center" vertical="center" wrapText="1"/>
    </xf>
    <xf numFmtId="0" fontId="170" fillId="59" borderId="25" xfId="2" applyFont="1" applyFill="1" applyBorder="1" applyAlignment="1">
      <alignment horizontal="left" vertical="center" wrapText="1"/>
    </xf>
    <xf numFmtId="0" fontId="170" fillId="57" borderId="25" xfId="2" applyFont="1" applyFill="1" applyBorder="1" applyAlignment="1">
      <alignment horizontal="left" vertical="center" wrapText="1"/>
    </xf>
    <xf numFmtId="0" fontId="170" fillId="57" borderId="25" xfId="2" applyFont="1" applyFill="1" applyBorder="1" applyAlignment="1">
      <alignment horizontal="right" vertical="center"/>
    </xf>
    <xf numFmtId="0" fontId="169" fillId="59" borderId="25" xfId="2" applyFont="1" applyFill="1" applyBorder="1" applyAlignment="1">
      <alignment horizontal="left" vertical="center" wrapText="1"/>
    </xf>
    <xf numFmtId="0" fontId="169" fillId="59" borderId="25" xfId="2" applyFont="1" applyFill="1" applyBorder="1" applyAlignment="1">
      <alignment horizontal="right" vertical="center"/>
    </xf>
    <xf numFmtId="0" fontId="169" fillId="57" borderId="25" xfId="2" applyFont="1" applyFill="1" applyBorder="1" applyAlignment="1">
      <alignment horizontal="left" vertical="center" wrapText="1"/>
    </xf>
    <xf numFmtId="0" fontId="169" fillId="57" borderId="25" xfId="2" applyFont="1" applyFill="1" applyBorder="1" applyAlignment="1">
      <alignment horizontal="right" vertical="center"/>
    </xf>
    <xf numFmtId="2" fontId="170" fillId="59" borderId="25" xfId="2" applyNumberFormat="1" applyFont="1" applyFill="1" applyBorder="1" applyAlignment="1">
      <alignment horizontal="center" vertical="center" wrapText="1"/>
    </xf>
    <xf numFmtId="2" fontId="170" fillId="57" borderId="25" xfId="2" applyNumberFormat="1" applyFont="1" applyFill="1" applyBorder="1" applyAlignment="1">
      <alignment horizontal="center" vertical="center" wrapText="1"/>
    </xf>
    <xf numFmtId="3" fontId="170" fillId="59" borderId="25" xfId="2" applyNumberFormat="1" applyFont="1" applyFill="1" applyBorder="1" applyAlignment="1">
      <alignment horizontal="center" vertical="center" wrapText="1"/>
    </xf>
    <xf numFmtId="3" fontId="170" fillId="57" borderId="25" xfId="2" applyNumberFormat="1" applyFont="1" applyFill="1" applyBorder="1" applyAlignment="1">
      <alignment horizontal="center" vertical="center" wrapText="1"/>
    </xf>
    <xf numFmtId="0" fontId="170" fillId="0" borderId="25" xfId="2" applyFont="1" applyBorder="1"/>
    <xf numFmtId="0" fontId="170" fillId="0" borderId="25" xfId="2" applyFont="1" applyBorder="1" applyAlignment="1">
      <alignment horizontal="center" vertical="center" wrapText="1"/>
    </xf>
    <xf numFmtId="4" fontId="169" fillId="56" borderId="25" xfId="2" applyNumberFormat="1" applyFont="1" applyFill="1" applyBorder="1" applyAlignment="1">
      <alignment horizontal="center" vertical="center" wrapText="1"/>
    </xf>
    <xf numFmtId="0" fontId="174" fillId="0" borderId="25" xfId="2" applyFont="1" applyBorder="1" applyAlignment="1">
      <alignment horizontal="center" vertical="center" wrapText="1"/>
    </xf>
    <xf numFmtId="0" fontId="174" fillId="0" borderId="25" xfId="2" applyFont="1" applyBorder="1" applyAlignment="1">
      <alignment horizontal="left" vertical="center" wrapText="1"/>
    </xf>
    <xf numFmtId="3" fontId="169" fillId="56" borderId="25" xfId="2" applyNumberFormat="1" applyFont="1" applyFill="1" applyBorder="1" applyAlignment="1">
      <alignment horizontal="center" vertical="center" wrapText="1"/>
    </xf>
    <xf numFmtId="0" fontId="169" fillId="0" borderId="25" xfId="2" applyFont="1" applyBorder="1"/>
    <xf numFmtId="3" fontId="169" fillId="64" borderId="25" xfId="2" applyNumberFormat="1" applyFont="1" applyFill="1" applyBorder="1"/>
    <xf numFmtId="0" fontId="179" fillId="0" borderId="0" xfId="2" applyFont="1"/>
    <xf numFmtId="4" fontId="179" fillId="59" borderId="25" xfId="2" applyNumberFormat="1" applyFont="1" applyFill="1" applyBorder="1" applyAlignment="1">
      <alignment horizontal="center" vertical="center" wrapText="1"/>
    </xf>
    <xf numFmtId="0" fontId="170" fillId="70" borderId="25" xfId="2" applyFont="1" applyFill="1" applyBorder="1" applyAlignment="1">
      <alignment horizontal="center" vertical="center" wrapText="1"/>
    </xf>
    <xf numFmtId="4" fontId="179" fillId="57" borderId="25" xfId="2" applyNumberFormat="1" applyFont="1" applyFill="1" applyBorder="1" applyAlignment="1">
      <alignment horizontal="center" vertical="center" wrapText="1"/>
    </xf>
    <xf numFmtId="2" fontId="179" fillId="59" borderId="25" xfId="2" applyNumberFormat="1" applyFont="1" applyFill="1" applyBorder="1" applyAlignment="1">
      <alignment horizontal="center" vertical="center" wrapText="1"/>
    </xf>
    <xf numFmtId="2" fontId="179" fillId="57" borderId="25" xfId="2" applyNumberFormat="1" applyFont="1" applyFill="1" applyBorder="1" applyAlignment="1">
      <alignment horizontal="center" vertical="center" wrapText="1"/>
    </xf>
    <xf numFmtId="0" fontId="179" fillId="57" borderId="25" xfId="2" applyFont="1" applyFill="1" applyBorder="1" applyAlignment="1">
      <alignment horizontal="center" vertical="center" wrapText="1"/>
    </xf>
    <xf numFmtId="49" fontId="183" fillId="17" borderId="8" xfId="0" applyNumberFormat="1" applyFont="1" applyFill="1" applyBorder="1"/>
    <xf numFmtId="49" fontId="183" fillId="3" borderId="8" xfId="0" applyNumberFormat="1" applyFont="1" applyFill="1" applyBorder="1"/>
    <xf numFmtId="49" fontId="183" fillId="17" borderId="5" xfId="0" applyNumberFormat="1" applyFont="1" applyFill="1" applyBorder="1"/>
    <xf numFmtId="49" fontId="183" fillId="3" borderId="5" xfId="0" applyNumberFormat="1" applyFont="1" applyFill="1" applyBorder="1"/>
    <xf numFmtId="3" fontId="183" fillId="17" borderId="5" xfId="0" applyNumberFormat="1" applyFont="1" applyFill="1" applyBorder="1"/>
    <xf numFmtId="3" fontId="183" fillId="3" borderId="5" xfId="0" applyNumberFormat="1" applyFont="1" applyFill="1" applyBorder="1"/>
    <xf numFmtId="3" fontId="183" fillId="17" borderId="1" xfId="0" applyNumberFormat="1" applyFont="1" applyFill="1" applyBorder="1"/>
    <xf numFmtId="3" fontId="183" fillId="3" borderId="1" xfId="0" applyNumberFormat="1" applyFont="1" applyFill="1" applyBorder="1"/>
    <xf numFmtId="165" fontId="184" fillId="17" borderId="0" xfId="0" applyNumberFormat="1" applyFont="1" applyFill="1" applyAlignment="1">
      <alignment horizontal="center"/>
    </xf>
    <xf numFmtId="165" fontId="184" fillId="3" borderId="0" xfId="0" applyNumberFormat="1" applyFont="1" applyFill="1" applyAlignment="1">
      <alignment horizontal="center"/>
    </xf>
    <xf numFmtId="0" fontId="185" fillId="17" borderId="0" xfId="0" applyFont="1" applyFill="1" applyAlignment="1">
      <alignment horizontal="right"/>
    </xf>
    <xf numFmtId="0" fontId="185" fillId="3" borderId="0" xfId="0" applyFont="1" applyFill="1" applyAlignment="1">
      <alignment horizontal="right"/>
    </xf>
    <xf numFmtId="0" fontId="169" fillId="60" borderId="78" xfId="2" applyFont="1" applyFill="1" applyBorder="1"/>
    <xf numFmtId="0" fontId="169" fillId="60" borderId="69" xfId="2" applyFont="1" applyFill="1" applyBorder="1"/>
    <xf numFmtId="0" fontId="169" fillId="60" borderId="76" xfId="2" applyFont="1" applyFill="1" applyBorder="1"/>
    <xf numFmtId="0" fontId="170" fillId="0" borderId="72" xfId="2" applyFont="1" applyBorder="1"/>
    <xf numFmtId="3" fontId="170" fillId="0" borderId="0" xfId="2" applyNumberFormat="1" applyFont="1"/>
    <xf numFmtId="0" fontId="170" fillId="0" borderId="70" xfId="2" applyFont="1" applyBorder="1"/>
    <xf numFmtId="3" fontId="170" fillId="0" borderId="100" xfId="2" applyNumberFormat="1" applyFont="1" applyBorder="1"/>
    <xf numFmtId="0" fontId="172" fillId="58" borderId="115" xfId="2" applyFont="1" applyFill="1" applyBorder="1" applyAlignment="1">
      <alignment horizontal="center" vertical="center" wrapText="1"/>
    </xf>
    <xf numFmtId="0" fontId="167" fillId="0" borderId="72" xfId="2" applyBorder="1"/>
    <xf numFmtId="0" fontId="167" fillId="0" borderId="73" xfId="2" applyBorder="1"/>
    <xf numFmtId="0" fontId="169" fillId="0" borderId="72" xfId="2" applyFont="1" applyBorder="1" applyAlignment="1">
      <alignment horizontal="center" vertical="center" wrapText="1"/>
    </xf>
    <xf numFmtId="0" fontId="167" fillId="0" borderId="70" xfId="2" applyBorder="1"/>
    <xf numFmtId="0" fontId="167" fillId="0" borderId="100" xfId="2" applyBorder="1"/>
    <xf numFmtId="0" fontId="167" fillId="0" borderId="101" xfId="2" applyBorder="1"/>
    <xf numFmtId="0" fontId="169" fillId="0" borderId="78" xfId="2" applyFont="1" applyBorder="1"/>
    <xf numFmtId="0" fontId="167" fillId="0" borderId="69" xfId="2" applyBorder="1"/>
    <xf numFmtId="0" fontId="174" fillId="0" borderId="69" xfId="2" applyFont="1" applyBorder="1"/>
    <xf numFmtId="0" fontId="167" fillId="0" borderId="76" xfId="2" applyBorder="1"/>
    <xf numFmtId="0" fontId="169" fillId="0" borderId="70" xfId="2" applyFont="1" applyBorder="1"/>
    <xf numFmtId="3" fontId="186" fillId="0" borderId="0" xfId="2" applyNumberFormat="1" applyFont="1"/>
    <xf numFmtId="0" fontId="187" fillId="0" borderId="73" xfId="2" applyFont="1" applyBorder="1"/>
    <xf numFmtId="0" fontId="187" fillId="0" borderId="101" xfId="2" applyFont="1" applyBorder="1"/>
    <xf numFmtId="0" fontId="169" fillId="0" borderId="74" xfId="2" applyFont="1" applyBorder="1"/>
    <xf numFmtId="0" fontId="175" fillId="0" borderId="75" xfId="2" applyFont="1" applyBorder="1"/>
    <xf numFmtId="0" fontId="189" fillId="0" borderId="0" xfId="2" applyFont="1"/>
    <xf numFmtId="3" fontId="189" fillId="0" borderId="0" xfId="2" applyNumberFormat="1" applyFont="1"/>
    <xf numFmtId="0" fontId="190" fillId="0" borderId="0" xfId="2" applyFont="1"/>
    <xf numFmtId="3" fontId="190" fillId="0" borderId="0" xfId="2" applyNumberFormat="1" applyFont="1"/>
    <xf numFmtId="3" fontId="170" fillId="59" borderId="0" xfId="2" applyNumberFormat="1" applyFont="1" applyFill="1" applyAlignment="1">
      <alignment horizontal="right" vertical="center"/>
    </xf>
    <xf numFmtId="4" fontId="170" fillId="59" borderId="0" xfId="2" applyNumberFormat="1" applyFont="1" applyFill="1" applyAlignment="1">
      <alignment horizontal="right" vertical="center"/>
    </xf>
    <xf numFmtId="0" fontId="191" fillId="59" borderId="0" xfId="2" applyFont="1" applyFill="1" applyAlignment="1">
      <alignment horizontal="center" vertical="center" wrapText="1"/>
    </xf>
    <xf numFmtId="4" fontId="191" fillId="59" borderId="0" xfId="2" applyNumberFormat="1" applyFont="1" applyFill="1" applyAlignment="1">
      <alignment horizontal="right" vertical="center"/>
    </xf>
    <xf numFmtId="0" fontId="194" fillId="54" borderId="25" xfId="2" applyFont="1" applyFill="1" applyBorder="1" applyAlignment="1">
      <alignment horizontal="center" vertical="center" wrapText="1"/>
    </xf>
    <xf numFmtId="0" fontId="195" fillId="59" borderId="25" xfId="2" applyFont="1" applyFill="1" applyBorder="1" applyAlignment="1">
      <alignment horizontal="center" vertical="center" wrapText="1"/>
    </xf>
    <xf numFmtId="0" fontId="195" fillId="57" borderId="25" xfId="2" applyFont="1" applyFill="1" applyBorder="1" applyAlignment="1">
      <alignment horizontal="center" vertical="center" wrapText="1"/>
    </xf>
    <xf numFmtId="0" fontId="32" fillId="0" borderId="0" xfId="0" applyFont="1" applyAlignment="1">
      <alignment horizontal="center"/>
    </xf>
    <xf numFmtId="0" fontId="31" fillId="71" borderId="0" xfId="0" applyFont="1" applyFill="1" applyAlignment="1">
      <alignment horizontal="center" vertical="center"/>
    </xf>
    <xf numFmtId="0" fontId="31" fillId="3" borderId="0" xfId="0" applyFont="1" applyFill="1" applyAlignment="1">
      <alignment horizontal="center"/>
    </xf>
    <xf numFmtId="0" fontId="31" fillId="71" borderId="0" xfId="0" applyFont="1" applyFill="1" applyAlignment="1">
      <alignment horizontal="center"/>
    </xf>
    <xf numFmtId="0" fontId="197" fillId="0" borderId="0" xfId="0" applyFont="1"/>
    <xf numFmtId="0" fontId="27" fillId="14" borderId="0" xfId="0" applyFont="1" applyFill="1" applyAlignment="1">
      <alignment horizontal="center"/>
    </xf>
    <xf numFmtId="0" fontId="0" fillId="4" borderId="0" xfId="0" applyFill="1" applyAlignment="1">
      <alignment horizontal="center"/>
    </xf>
    <xf numFmtId="14" fontId="0" fillId="4" borderId="0" xfId="0" applyNumberFormat="1" applyFill="1" applyAlignment="1">
      <alignment horizontal="center"/>
    </xf>
    <xf numFmtId="4" fontId="0" fillId="4" borderId="0" xfId="0" applyNumberFormat="1" applyFill="1"/>
    <xf numFmtId="10" fontId="0" fillId="4" borderId="0" xfId="0" applyNumberFormat="1" applyFill="1" applyAlignment="1">
      <alignment horizontal="center"/>
    </xf>
    <xf numFmtId="0" fontId="0" fillId="3" borderId="0" xfId="0" applyFill="1" applyAlignment="1">
      <alignment horizontal="center"/>
    </xf>
    <xf numFmtId="4" fontId="0" fillId="3" borderId="0" xfId="0" applyNumberFormat="1" applyFill="1"/>
    <xf numFmtId="2" fontId="0" fillId="3" borderId="0" xfId="0" applyNumberFormat="1" applyFill="1" applyAlignment="1">
      <alignment horizontal="center"/>
    </xf>
    <xf numFmtId="10" fontId="0" fillId="3" borderId="0" xfId="0" applyNumberFormat="1" applyFill="1" applyAlignment="1">
      <alignment horizontal="center"/>
    </xf>
    <xf numFmtId="10" fontId="0" fillId="3" borderId="0" xfId="0" applyNumberFormat="1" applyFill="1"/>
    <xf numFmtId="0" fontId="15" fillId="3" borderId="0" xfId="0" applyFont="1" applyFill="1"/>
    <xf numFmtId="14" fontId="0" fillId="3" borderId="0" xfId="0" applyNumberFormat="1" applyFill="1" applyAlignment="1">
      <alignment horizontal="center"/>
    </xf>
    <xf numFmtId="2" fontId="0" fillId="4" borderId="0" xfId="0" applyNumberFormat="1" applyFill="1" applyAlignment="1">
      <alignment horizontal="center"/>
    </xf>
    <xf numFmtId="10" fontId="0" fillId="4" borderId="0" xfId="0" applyNumberFormat="1" applyFill="1"/>
    <xf numFmtId="0" fontId="170" fillId="56" borderId="25" xfId="2" applyFont="1" applyFill="1" applyBorder="1" applyAlignment="1">
      <alignment horizontal="center" vertical="center" wrapText="1"/>
    </xf>
    <xf numFmtId="0" fontId="167" fillId="72" borderId="25" xfId="2" applyFill="1" applyBorder="1"/>
    <xf numFmtId="0" fontId="172" fillId="72" borderId="25" xfId="2" applyFont="1" applyFill="1" applyBorder="1" applyAlignment="1">
      <alignment horizontal="center" vertical="center" wrapText="1"/>
    </xf>
    <xf numFmtId="0" fontId="178" fillId="77" borderId="25" xfId="2" applyFont="1" applyFill="1" applyBorder="1" applyAlignment="1">
      <alignment horizontal="center" vertical="center" wrapText="1"/>
    </xf>
    <xf numFmtId="0" fontId="178" fillId="78" borderId="25" xfId="2" applyFont="1" applyFill="1" applyBorder="1" applyAlignment="1">
      <alignment horizontal="center" vertical="center" wrapText="1"/>
    </xf>
    <xf numFmtId="0" fontId="178" fillId="79" borderId="25" xfId="2" applyFont="1" applyFill="1" applyBorder="1" applyAlignment="1">
      <alignment horizontal="center" vertical="center" wrapText="1"/>
    </xf>
    <xf numFmtId="0" fontId="178" fillId="80" borderId="25" xfId="2" applyFont="1" applyFill="1" applyBorder="1" applyAlignment="1">
      <alignment horizontal="center" vertical="center" wrapText="1"/>
    </xf>
    <xf numFmtId="0" fontId="178" fillId="81" borderId="25" xfId="2" applyFont="1" applyFill="1" applyBorder="1" applyAlignment="1">
      <alignment horizontal="center" vertical="center" wrapText="1"/>
    </xf>
    <xf numFmtId="165" fontId="170" fillId="59" borderId="25" xfId="2" applyNumberFormat="1" applyFont="1" applyFill="1" applyBorder="1" applyAlignment="1">
      <alignment horizontal="right" vertical="center"/>
    </xf>
    <xf numFmtId="0" fontId="198" fillId="82" borderId="25" xfId="2" applyFont="1" applyFill="1" applyBorder="1" applyAlignment="1">
      <alignment horizontal="center" vertical="center" wrapText="1"/>
    </xf>
    <xf numFmtId="0" fontId="199" fillId="83" borderId="25" xfId="2" applyFont="1" applyFill="1" applyBorder="1" applyAlignment="1">
      <alignment horizontal="center" vertical="center" wrapText="1"/>
    </xf>
    <xf numFmtId="0" fontId="174" fillId="59" borderId="25" xfId="2" applyFont="1" applyFill="1" applyBorder="1" applyAlignment="1">
      <alignment horizontal="left" vertical="center" wrapText="1"/>
    </xf>
    <xf numFmtId="165" fontId="170" fillId="57" borderId="25" xfId="2" applyNumberFormat="1" applyFont="1" applyFill="1" applyBorder="1" applyAlignment="1">
      <alignment horizontal="right" vertical="center"/>
    </xf>
    <xf numFmtId="0" fontId="169" fillId="77" borderId="25" xfId="2" applyFont="1" applyFill="1" applyBorder="1" applyAlignment="1">
      <alignment horizontal="left" vertical="center" wrapText="1"/>
    </xf>
    <xf numFmtId="3" fontId="169" fillId="77" borderId="25" xfId="2" applyNumberFormat="1" applyFont="1" applyFill="1" applyBorder="1" applyAlignment="1">
      <alignment horizontal="right" vertical="center"/>
    </xf>
    <xf numFmtId="165" fontId="169" fillId="77" borderId="25" xfId="2" applyNumberFormat="1" applyFont="1" applyFill="1" applyBorder="1" applyAlignment="1">
      <alignment horizontal="right" vertical="center"/>
    </xf>
    <xf numFmtId="3" fontId="169" fillId="78" borderId="25" xfId="2" applyNumberFormat="1" applyFont="1" applyFill="1" applyBorder="1" applyAlignment="1">
      <alignment horizontal="right" vertical="center"/>
    </xf>
    <xf numFmtId="165" fontId="169" fillId="78" borderId="25" xfId="2" applyNumberFormat="1" applyFont="1" applyFill="1" applyBorder="1" applyAlignment="1">
      <alignment horizontal="right" vertical="center"/>
    </xf>
    <xf numFmtId="3" fontId="169" fillId="79" borderId="25" xfId="2" applyNumberFormat="1" applyFont="1" applyFill="1" applyBorder="1" applyAlignment="1">
      <alignment horizontal="right" vertical="center"/>
    </xf>
    <xf numFmtId="165" fontId="169" fillId="79" borderId="25" xfId="2" applyNumberFormat="1" applyFont="1" applyFill="1" applyBorder="1" applyAlignment="1">
      <alignment horizontal="right" vertical="center"/>
    </xf>
    <xf numFmtId="3" fontId="169" fillId="80" borderId="25" xfId="2" applyNumberFormat="1" applyFont="1" applyFill="1" applyBorder="1" applyAlignment="1">
      <alignment horizontal="right" vertical="center"/>
    </xf>
    <xf numFmtId="165" fontId="169" fillId="80" borderId="25" xfId="2" applyNumberFormat="1" applyFont="1" applyFill="1" applyBorder="1" applyAlignment="1">
      <alignment horizontal="right" vertical="center"/>
    </xf>
    <xf numFmtId="3" fontId="169" fillId="81" borderId="25" xfId="2" applyNumberFormat="1" applyFont="1" applyFill="1" applyBorder="1" applyAlignment="1">
      <alignment horizontal="right" vertical="center"/>
    </xf>
    <xf numFmtId="165" fontId="169" fillId="81" borderId="25" xfId="2" applyNumberFormat="1" applyFont="1" applyFill="1" applyBorder="1" applyAlignment="1">
      <alignment horizontal="right" vertical="center"/>
    </xf>
    <xf numFmtId="3" fontId="169" fillId="61" borderId="25" xfId="2" applyNumberFormat="1" applyFont="1" applyFill="1" applyBorder="1" applyAlignment="1">
      <alignment horizontal="right" vertical="center"/>
    </xf>
    <xf numFmtId="165" fontId="169" fillId="61" borderId="25" xfId="2" applyNumberFormat="1" applyFont="1" applyFill="1" applyBorder="1" applyAlignment="1">
      <alignment horizontal="right" vertical="center"/>
    </xf>
    <xf numFmtId="0" fontId="169" fillId="61" borderId="25" xfId="2" applyFont="1" applyFill="1" applyBorder="1" applyAlignment="1">
      <alignment horizontal="center" vertical="center" wrapText="1"/>
    </xf>
    <xf numFmtId="0" fontId="179" fillId="59" borderId="25" xfId="2" applyFont="1" applyFill="1" applyBorder="1" applyAlignment="1">
      <alignment horizontal="left" vertical="center" wrapText="1"/>
    </xf>
    <xf numFmtId="3" fontId="198" fillId="59" borderId="25" xfId="2" applyNumberFormat="1" applyFont="1" applyFill="1" applyBorder="1" applyAlignment="1">
      <alignment horizontal="right" vertical="center"/>
    </xf>
    <xf numFmtId="3" fontId="199" fillId="59" borderId="25" xfId="2" applyNumberFormat="1" applyFont="1" applyFill="1" applyBorder="1" applyAlignment="1">
      <alignment horizontal="right" vertical="center"/>
    </xf>
    <xf numFmtId="3" fontId="169" fillId="59" borderId="25" xfId="2" applyNumberFormat="1" applyFont="1" applyFill="1" applyBorder="1"/>
    <xf numFmtId="0" fontId="179" fillId="57" borderId="25" xfId="2" applyFont="1" applyFill="1" applyBorder="1" applyAlignment="1">
      <alignment horizontal="left" vertical="center" wrapText="1"/>
    </xf>
    <xf numFmtId="0" fontId="169" fillId="61" borderId="25" xfId="2" applyFont="1" applyFill="1" applyBorder="1" applyAlignment="1">
      <alignment horizontal="left" vertical="center" wrapText="1"/>
    </xf>
    <xf numFmtId="0" fontId="179" fillId="61" borderId="25" xfId="2" applyFont="1" applyFill="1" applyBorder="1" applyAlignment="1">
      <alignment horizontal="left" vertical="center" wrapText="1"/>
    </xf>
    <xf numFmtId="3" fontId="169" fillId="61" borderId="25" xfId="2" applyNumberFormat="1" applyFont="1" applyFill="1" applyBorder="1"/>
    <xf numFmtId="0" fontId="174" fillId="0" borderId="25" xfId="2" applyFont="1" applyBorder="1"/>
    <xf numFmtId="0" fontId="167" fillId="0" borderId="25" xfId="2" applyBorder="1"/>
    <xf numFmtId="0" fontId="174" fillId="56" borderId="25" xfId="2" applyFont="1" applyFill="1" applyBorder="1" applyAlignment="1">
      <alignment horizontal="center" vertical="center" wrapText="1"/>
    </xf>
    <xf numFmtId="0" fontId="179" fillId="0" borderId="25" xfId="2" applyFont="1" applyBorder="1"/>
    <xf numFmtId="3" fontId="169" fillId="0" borderId="25" xfId="2" applyNumberFormat="1" applyFont="1" applyBorder="1"/>
    <xf numFmtId="3" fontId="199" fillId="57" borderId="25" xfId="2" applyNumberFormat="1" applyFont="1" applyFill="1" applyBorder="1" applyAlignment="1">
      <alignment horizontal="right" vertical="center"/>
    </xf>
    <xf numFmtId="3" fontId="198" fillId="57" borderId="25" xfId="2" applyNumberFormat="1" applyFont="1" applyFill="1" applyBorder="1" applyAlignment="1">
      <alignment horizontal="right" vertical="center"/>
    </xf>
    <xf numFmtId="0" fontId="179" fillId="0" borderId="25" xfId="2" applyFont="1" applyBorder="1" applyAlignment="1">
      <alignment horizontal="left" vertical="center" wrapText="1"/>
    </xf>
    <xf numFmtId="165" fontId="169" fillId="57" borderId="25" xfId="2" applyNumberFormat="1" applyFont="1" applyFill="1" applyBorder="1"/>
    <xf numFmtId="165" fontId="169" fillId="59" borderId="25" xfId="2" applyNumberFormat="1" applyFont="1" applyFill="1" applyBorder="1"/>
    <xf numFmtId="0" fontId="170" fillId="81" borderId="25" xfId="2" applyFont="1" applyFill="1" applyBorder="1" applyAlignment="1">
      <alignment horizontal="center" vertical="center" wrapText="1"/>
    </xf>
    <xf numFmtId="3" fontId="170" fillId="81" borderId="25" xfId="2" applyNumberFormat="1" applyFont="1" applyFill="1" applyBorder="1" applyAlignment="1">
      <alignment horizontal="right" vertical="center"/>
    </xf>
    <xf numFmtId="0" fontId="169" fillId="61" borderId="25" xfId="2" applyFont="1" applyFill="1" applyBorder="1"/>
    <xf numFmtId="3" fontId="170" fillId="0" borderId="25" xfId="2" applyNumberFormat="1" applyFont="1" applyBorder="1" applyAlignment="1">
      <alignment horizontal="right" vertical="center"/>
    </xf>
    <xf numFmtId="3" fontId="199" fillId="83" borderId="25" xfId="2" applyNumberFormat="1" applyFont="1" applyFill="1" applyBorder="1" applyAlignment="1">
      <alignment horizontal="right" vertical="center"/>
    </xf>
    <xf numFmtId="3" fontId="198" fillId="82" borderId="25" xfId="2" applyNumberFormat="1" applyFont="1" applyFill="1" applyBorder="1" applyAlignment="1">
      <alignment horizontal="right" vertical="center"/>
    </xf>
    <xf numFmtId="165" fontId="170" fillId="83" borderId="25" xfId="2" applyNumberFormat="1" applyFont="1" applyFill="1" applyBorder="1" applyAlignment="1">
      <alignment horizontal="right" vertical="center"/>
    </xf>
    <xf numFmtId="0" fontId="179" fillId="59" borderId="25" xfId="2" applyFont="1" applyFill="1" applyBorder="1" applyAlignment="1">
      <alignment horizontal="center" vertical="center" wrapText="1"/>
    </xf>
    <xf numFmtId="0" fontId="176" fillId="59" borderId="25" xfId="2" applyFont="1" applyFill="1" applyBorder="1" applyAlignment="1">
      <alignment horizontal="left" vertical="center" wrapText="1"/>
    </xf>
    <xf numFmtId="0" fontId="172" fillId="12" borderId="25" xfId="2" applyFont="1" applyFill="1" applyBorder="1" applyAlignment="1">
      <alignment horizontal="center" vertical="center" wrapText="1"/>
    </xf>
    <xf numFmtId="3" fontId="172" fillId="12" borderId="25" xfId="2" applyNumberFormat="1" applyFont="1" applyFill="1" applyBorder="1" applyAlignment="1">
      <alignment horizontal="center" vertical="center"/>
    </xf>
    <xf numFmtId="0" fontId="200" fillId="12" borderId="25" xfId="2" applyFont="1" applyFill="1" applyBorder="1" applyAlignment="1">
      <alignment horizontal="center" vertical="center" wrapText="1"/>
    </xf>
    <xf numFmtId="3" fontId="201" fillId="59" borderId="25" xfId="2" applyNumberFormat="1" applyFont="1" applyFill="1" applyBorder="1" applyAlignment="1">
      <alignment horizontal="right" vertical="center" wrapText="1"/>
    </xf>
    <xf numFmtId="0" fontId="170" fillId="3" borderId="25" xfId="2" applyFont="1" applyFill="1" applyBorder="1" applyAlignment="1">
      <alignment horizontal="left" vertical="center" wrapText="1"/>
    </xf>
    <xf numFmtId="3" fontId="201" fillId="3" borderId="25" xfId="2" applyNumberFormat="1" applyFont="1" applyFill="1" applyBorder="1" applyAlignment="1">
      <alignment horizontal="right" vertical="center" wrapText="1"/>
    </xf>
    <xf numFmtId="3" fontId="170" fillId="3" borderId="25" xfId="2" applyNumberFormat="1" applyFont="1" applyFill="1" applyBorder="1" applyAlignment="1">
      <alignment horizontal="right" vertical="center"/>
    </xf>
    <xf numFmtId="3" fontId="189" fillId="0" borderId="0" xfId="2" applyNumberFormat="1" applyFont="1" applyAlignment="1">
      <alignment horizontal="right"/>
    </xf>
    <xf numFmtId="0" fontId="189" fillId="0" borderId="0" xfId="2" applyFont="1" applyAlignment="1">
      <alignment horizontal="right"/>
    </xf>
    <xf numFmtId="0" fontId="189" fillId="3" borderId="0" xfId="2" applyFont="1" applyFill="1"/>
    <xf numFmtId="0" fontId="189" fillId="3" borderId="0" xfId="2" applyFont="1" applyFill="1" applyAlignment="1">
      <alignment horizontal="right"/>
    </xf>
    <xf numFmtId="0" fontId="172" fillId="3" borderId="25" xfId="2" applyFont="1" applyFill="1" applyBorder="1" applyAlignment="1">
      <alignment horizontal="center" vertical="center" wrapText="1"/>
    </xf>
    <xf numFmtId="3" fontId="172" fillId="3" borderId="25" xfId="2" applyNumberFormat="1" applyFont="1" applyFill="1" applyBorder="1" applyAlignment="1">
      <alignment horizontal="right" vertical="center" wrapText="1"/>
    </xf>
    <xf numFmtId="3" fontId="170" fillId="59" borderId="25" xfId="2" applyNumberFormat="1" applyFont="1" applyFill="1" applyBorder="1" applyAlignment="1">
      <alignment horizontal="right" vertical="center" wrapText="1"/>
    </xf>
    <xf numFmtId="3" fontId="170" fillId="70" borderId="25" xfId="2" applyNumberFormat="1" applyFont="1" applyFill="1" applyBorder="1" applyAlignment="1">
      <alignment horizontal="right" vertical="center" wrapText="1"/>
    </xf>
    <xf numFmtId="0" fontId="202" fillId="3" borderId="25" xfId="2" applyFont="1" applyFill="1" applyBorder="1" applyAlignment="1">
      <alignment horizontal="center" vertical="center" wrapText="1"/>
    </xf>
    <xf numFmtId="0" fontId="190" fillId="0" borderId="0" xfId="2" applyFont="1" applyAlignment="1">
      <alignment horizontal="center"/>
    </xf>
    <xf numFmtId="0" fontId="190" fillId="3" borderId="0" xfId="2" applyFont="1" applyFill="1" applyAlignment="1">
      <alignment horizontal="center"/>
    </xf>
    <xf numFmtId="0" fontId="203" fillId="59" borderId="25" xfId="2" applyFont="1" applyFill="1" applyBorder="1" applyAlignment="1">
      <alignment horizontal="center" vertical="center" wrapText="1"/>
    </xf>
    <xf numFmtId="0" fontId="204" fillId="0" borderId="0" xfId="2" applyFont="1"/>
    <xf numFmtId="175" fontId="170" fillId="59" borderId="25" xfId="2" applyNumberFormat="1" applyFont="1" applyFill="1" applyBorder="1" applyAlignment="1">
      <alignment horizontal="right" vertical="center"/>
    </xf>
    <xf numFmtId="175" fontId="169" fillId="59" borderId="25" xfId="2" applyNumberFormat="1" applyFont="1" applyFill="1" applyBorder="1"/>
    <xf numFmtId="0" fontId="4" fillId="14" borderId="0" xfId="0" applyFont="1" applyFill="1"/>
    <xf numFmtId="4" fontId="4" fillId="14" borderId="0" xfId="0" applyNumberFormat="1" applyFont="1" applyFill="1"/>
    <xf numFmtId="0" fontId="75" fillId="14" borderId="0" xfId="0" applyFont="1" applyFill="1" applyAlignment="1">
      <alignment horizontal="center"/>
    </xf>
    <xf numFmtId="0" fontId="207" fillId="84" borderId="0" xfId="0" applyFont="1" applyFill="1" applyAlignment="1">
      <alignment horizontal="center"/>
    </xf>
    <xf numFmtId="0" fontId="3" fillId="71" borderId="0" xfId="0" applyFont="1" applyFill="1"/>
    <xf numFmtId="3" fontId="3" fillId="71" borderId="0" xfId="0" applyNumberFormat="1" applyFont="1" applyFill="1"/>
    <xf numFmtId="3" fontId="3" fillId="3" borderId="0" xfId="0" applyNumberFormat="1" applyFont="1" applyFill="1"/>
    <xf numFmtId="3" fontId="3" fillId="0" borderId="0" xfId="0" applyNumberFormat="1" applyFont="1"/>
    <xf numFmtId="0" fontId="4" fillId="42" borderId="71" xfId="0" applyFont="1" applyFill="1" applyBorder="1" applyAlignment="1">
      <alignment horizontal="center"/>
    </xf>
    <xf numFmtId="0" fontId="4" fillId="42" borderId="99" xfId="0" applyFont="1" applyFill="1" applyBorder="1" applyAlignment="1">
      <alignment horizontal="center"/>
    </xf>
    <xf numFmtId="0" fontId="4" fillId="42" borderId="77" xfId="0" applyFont="1" applyFill="1" applyBorder="1" applyAlignment="1">
      <alignment horizontal="center"/>
    </xf>
    <xf numFmtId="0" fontId="0" fillId="0" borderId="76" xfId="0" applyBorder="1"/>
    <xf numFmtId="0" fontId="0" fillId="0" borderId="73" xfId="0" applyBorder="1"/>
    <xf numFmtId="0" fontId="0" fillId="0" borderId="101" xfId="0" applyBorder="1"/>
    <xf numFmtId="168" fontId="0" fillId="0" borderId="74" xfId="0" applyNumberFormat="1" applyBorder="1"/>
    <xf numFmtId="168" fontId="0" fillId="0" borderId="117" xfId="0" applyNumberFormat="1" applyBorder="1"/>
    <xf numFmtId="165" fontId="0" fillId="0" borderId="117" xfId="0" applyNumberFormat="1" applyBorder="1"/>
    <xf numFmtId="167" fontId="0" fillId="0" borderId="117" xfId="0" applyNumberFormat="1" applyBorder="1"/>
    <xf numFmtId="0" fontId="0" fillId="0" borderId="117" xfId="0" applyBorder="1"/>
    <xf numFmtId="0" fontId="0" fillId="0" borderId="75" xfId="0" applyBorder="1"/>
    <xf numFmtId="168" fontId="3" fillId="71" borderId="116" xfId="0" applyNumberFormat="1" applyFont="1" applyFill="1" applyBorder="1"/>
    <xf numFmtId="0" fontId="3" fillId="71" borderId="77" xfId="0" applyFont="1" applyFill="1" applyBorder="1"/>
    <xf numFmtId="0" fontId="166" fillId="0" borderId="71" xfId="0" applyFont="1" applyBorder="1"/>
    <xf numFmtId="0" fontId="0" fillId="0" borderId="77" xfId="0" applyBorder="1"/>
    <xf numFmtId="0" fontId="126" fillId="0" borderId="76" xfId="0" applyFont="1" applyBorder="1" applyAlignment="1">
      <alignment horizontal="center"/>
    </xf>
    <xf numFmtId="176" fontId="0" fillId="0" borderId="101" xfId="0" applyNumberFormat="1" applyBorder="1" applyAlignment="1">
      <alignment horizontal="center"/>
    </xf>
    <xf numFmtId="0" fontId="36" fillId="4" borderId="0" xfId="0" applyFont="1" applyFill="1" applyAlignment="1">
      <alignment horizontal="center"/>
    </xf>
    <xf numFmtId="0" fontId="36" fillId="17" borderId="0" xfId="0" applyFont="1" applyFill="1" applyAlignment="1">
      <alignment horizontal="center"/>
    </xf>
    <xf numFmtId="0" fontId="210" fillId="20" borderId="0" xfId="0" applyFont="1" applyFill="1"/>
    <xf numFmtId="165" fontId="82" fillId="17" borderId="9" xfId="0" applyNumberFormat="1" applyFont="1" applyFill="1" applyBorder="1"/>
    <xf numFmtId="0" fontId="58" fillId="13" borderId="71" xfId="0" applyFont="1" applyFill="1" applyBorder="1" applyAlignment="1">
      <alignment horizontal="left" vertical="center"/>
    </xf>
    <xf numFmtId="0" fontId="58" fillId="13" borderId="99" xfId="0" applyFont="1" applyFill="1" applyBorder="1" applyAlignment="1">
      <alignment horizontal="center" vertical="center"/>
    </xf>
    <xf numFmtId="0" fontId="58" fillId="13" borderId="77" xfId="0" applyFont="1" applyFill="1" applyBorder="1" applyAlignment="1">
      <alignment horizontal="center" vertical="center"/>
    </xf>
    <xf numFmtId="0" fontId="4" fillId="37" borderId="116" xfId="0" applyFont="1" applyFill="1" applyBorder="1"/>
    <xf numFmtId="0" fontId="27" fillId="30" borderId="71" xfId="0" applyFont="1" applyFill="1" applyBorder="1"/>
    <xf numFmtId="3" fontId="27" fillId="30" borderId="99" xfId="0" applyNumberFormat="1" applyFont="1" applyFill="1" applyBorder="1"/>
    <xf numFmtId="3" fontId="27" fillId="30" borderId="77" xfId="0" applyNumberFormat="1" applyFont="1" applyFill="1" applyBorder="1"/>
    <xf numFmtId="0" fontId="14" fillId="0" borderId="73" xfId="0" applyFont="1" applyBorder="1"/>
    <xf numFmtId="0" fontId="14" fillId="0" borderId="101" xfId="0" applyFont="1" applyBorder="1"/>
    <xf numFmtId="0" fontId="0" fillId="85" borderId="76" xfId="0" applyFill="1" applyBorder="1"/>
    <xf numFmtId="0" fontId="208" fillId="86" borderId="78" xfId="0" applyFont="1" applyFill="1" applyBorder="1"/>
    <xf numFmtId="0" fontId="212" fillId="38" borderId="72" xfId="0" applyFont="1" applyFill="1" applyBorder="1"/>
    <xf numFmtId="0" fontId="212" fillId="9" borderId="72" xfId="0" applyFont="1" applyFill="1" applyBorder="1"/>
    <xf numFmtId="0" fontId="212" fillId="28" borderId="72" xfId="0" applyFont="1" applyFill="1" applyBorder="1"/>
    <xf numFmtId="0" fontId="212" fillId="29" borderId="72" xfId="0" applyFont="1" applyFill="1" applyBorder="1"/>
    <xf numFmtId="0" fontId="212" fillId="32" borderId="70" xfId="0" applyFont="1" applyFill="1" applyBorder="1"/>
    <xf numFmtId="165" fontId="215" fillId="4" borderId="0" xfId="0" applyNumberFormat="1" applyFont="1" applyFill="1" applyAlignment="1">
      <alignment horizontal="center"/>
    </xf>
    <xf numFmtId="0" fontId="216" fillId="28" borderId="0" xfId="0" applyFont="1" applyFill="1" applyAlignment="1">
      <alignment horizontal="center"/>
    </xf>
    <xf numFmtId="165" fontId="217" fillId="17" borderId="0" xfId="0" applyNumberFormat="1" applyFont="1" applyFill="1" applyAlignment="1">
      <alignment horizontal="center"/>
    </xf>
    <xf numFmtId="0" fontId="218" fillId="54" borderId="0" xfId="0" applyFont="1" applyFill="1" applyAlignment="1">
      <alignment horizontal="center"/>
    </xf>
    <xf numFmtId="165" fontId="217" fillId="4" borderId="0" xfId="0" applyNumberFormat="1" applyFont="1" applyFill="1" applyAlignment="1">
      <alignment horizontal="center"/>
    </xf>
    <xf numFmtId="165" fontId="219" fillId="17" borderId="0" xfId="0" applyNumberFormat="1" applyFont="1" applyFill="1" applyAlignment="1">
      <alignment horizontal="center"/>
    </xf>
    <xf numFmtId="165" fontId="215" fillId="17" borderId="0" xfId="0" applyNumberFormat="1" applyFont="1" applyFill="1" applyAlignment="1">
      <alignment horizontal="center"/>
    </xf>
    <xf numFmtId="0" fontId="36" fillId="4" borderId="118" xfId="0" applyFont="1" applyFill="1" applyBorder="1" applyAlignment="1">
      <alignment horizontal="center"/>
    </xf>
    <xf numFmtId="0" fontId="210" fillId="4" borderId="120" xfId="0" applyFont="1" applyFill="1" applyBorder="1" applyAlignment="1">
      <alignment horizontal="left"/>
    </xf>
    <xf numFmtId="0" fontId="213" fillId="4" borderId="120" xfId="0" applyFont="1" applyFill="1" applyBorder="1" applyAlignment="1">
      <alignment horizontal="right"/>
    </xf>
    <xf numFmtId="165" fontId="214" fillId="4" borderId="120" xfId="0" applyNumberFormat="1" applyFont="1" applyFill="1" applyBorder="1" applyAlignment="1">
      <alignment horizontal="right"/>
    </xf>
    <xf numFmtId="165" fontId="38" fillId="4" borderId="121" xfId="0" applyNumberFormat="1" applyFont="1" applyFill="1" applyBorder="1" applyAlignment="1">
      <alignment horizontal="right"/>
    </xf>
    <xf numFmtId="0" fontId="36" fillId="17" borderId="118" xfId="0" applyFont="1" applyFill="1" applyBorder="1" applyAlignment="1">
      <alignment horizontal="center"/>
    </xf>
    <xf numFmtId="0" fontId="36" fillId="17" borderId="119" xfId="0" applyFont="1" applyFill="1" applyBorder="1" applyAlignment="1">
      <alignment horizontal="center"/>
    </xf>
    <xf numFmtId="0" fontId="210" fillId="17" borderId="120" xfId="0" applyFont="1" applyFill="1" applyBorder="1" applyAlignment="1">
      <alignment horizontal="left"/>
    </xf>
    <xf numFmtId="0" fontId="210" fillId="17" borderId="17" xfId="0" applyFont="1" applyFill="1" applyBorder="1" applyAlignment="1">
      <alignment horizontal="left"/>
    </xf>
    <xf numFmtId="165" fontId="213" fillId="17" borderId="120" xfId="0" applyNumberFormat="1" applyFont="1" applyFill="1" applyBorder="1" applyAlignment="1">
      <alignment horizontal="right"/>
    </xf>
    <xf numFmtId="165" fontId="214" fillId="17" borderId="120" xfId="0" applyNumberFormat="1" applyFont="1" applyFill="1" applyBorder="1" applyAlignment="1">
      <alignment horizontal="right"/>
    </xf>
    <xf numFmtId="165" fontId="38" fillId="17" borderId="121" xfId="0" applyNumberFormat="1" applyFont="1" applyFill="1" applyBorder="1" applyAlignment="1">
      <alignment horizontal="right"/>
    </xf>
    <xf numFmtId="2" fontId="213" fillId="4" borderId="120" xfId="0" applyNumberFormat="1" applyFont="1" applyFill="1" applyBorder="1" applyAlignment="1">
      <alignment horizontal="right"/>
    </xf>
    <xf numFmtId="2" fontId="214" fillId="4" borderId="120" xfId="0" applyNumberFormat="1" applyFont="1" applyFill="1" applyBorder="1" applyAlignment="1">
      <alignment horizontal="right"/>
    </xf>
    <xf numFmtId="2" fontId="38" fillId="4" borderId="121" xfId="0" applyNumberFormat="1" applyFont="1" applyFill="1" applyBorder="1" applyAlignment="1">
      <alignment horizontal="right"/>
    </xf>
    <xf numFmtId="3" fontId="213" fillId="4" borderId="120" xfId="0" applyNumberFormat="1" applyFont="1" applyFill="1" applyBorder="1" applyAlignment="1">
      <alignment horizontal="right"/>
    </xf>
    <xf numFmtId="3" fontId="214" fillId="4" borderId="120" xfId="0" applyNumberFormat="1" applyFont="1" applyFill="1" applyBorder="1" applyAlignment="1">
      <alignment horizontal="right"/>
    </xf>
    <xf numFmtId="3" fontId="38" fillId="4" borderId="121" xfId="0" applyNumberFormat="1" applyFont="1" applyFill="1" applyBorder="1" applyAlignment="1">
      <alignment horizontal="right"/>
    </xf>
    <xf numFmtId="2" fontId="213" fillId="17" borderId="120" xfId="0" applyNumberFormat="1" applyFont="1" applyFill="1" applyBorder="1" applyAlignment="1">
      <alignment horizontal="right"/>
    </xf>
    <xf numFmtId="2" fontId="213" fillId="17" borderId="17" xfId="0" applyNumberFormat="1" applyFont="1" applyFill="1" applyBorder="1" applyAlignment="1">
      <alignment horizontal="right"/>
    </xf>
    <xf numFmtId="2" fontId="214" fillId="17" borderId="120" xfId="0" applyNumberFormat="1" applyFont="1" applyFill="1" applyBorder="1" applyAlignment="1">
      <alignment horizontal="right"/>
    </xf>
    <xf numFmtId="2" fontId="214" fillId="17" borderId="17" xfId="0" applyNumberFormat="1" applyFont="1" applyFill="1" applyBorder="1" applyAlignment="1">
      <alignment horizontal="right"/>
    </xf>
    <xf numFmtId="2" fontId="38" fillId="17" borderId="121" xfId="0" applyNumberFormat="1" applyFont="1" applyFill="1" applyBorder="1" applyAlignment="1">
      <alignment horizontal="right"/>
    </xf>
    <xf numFmtId="1" fontId="214" fillId="4" borderId="120" xfId="0" applyNumberFormat="1" applyFont="1" applyFill="1" applyBorder="1" applyAlignment="1">
      <alignment horizontal="right"/>
    </xf>
    <xf numFmtId="1" fontId="38" fillId="4" borderId="121" xfId="0" applyNumberFormat="1" applyFont="1" applyFill="1" applyBorder="1" applyAlignment="1">
      <alignment horizontal="right"/>
    </xf>
    <xf numFmtId="165" fontId="213" fillId="4" borderId="120" xfId="0" applyNumberFormat="1" applyFont="1" applyFill="1" applyBorder="1" applyAlignment="1">
      <alignment horizontal="right"/>
    </xf>
    <xf numFmtId="0" fontId="213" fillId="17" borderId="120" xfId="0" applyFont="1" applyFill="1" applyBorder="1" applyAlignment="1">
      <alignment horizontal="right"/>
    </xf>
    <xf numFmtId="0" fontId="214" fillId="17" borderId="120" xfId="0" applyFont="1" applyFill="1" applyBorder="1" applyAlignment="1">
      <alignment horizontal="right"/>
    </xf>
    <xf numFmtId="0" fontId="31" fillId="20" borderId="20" xfId="0" applyFont="1" applyFill="1" applyBorder="1"/>
    <xf numFmtId="0" fontId="36" fillId="4" borderId="121" xfId="0" applyFont="1" applyFill="1" applyBorder="1" applyAlignment="1">
      <alignment horizontal="center"/>
    </xf>
    <xf numFmtId="0" fontId="34" fillId="14" borderId="119" xfId="0" applyFont="1" applyFill="1" applyBorder="1" applyAlignment="1">
      <alignment horizontal="left"/>
    </xf>
    <xf numFmtId="0" fontId="36" fillId="17" borderId="20" xfId="0" applyFont="1" applyFill="1" applyBorder="1" applyAlignment="1">
      <alignment horizontal="center"/>
    </xf>
    <xf numFmtId="0" fontId="169" fillId="60" borderId="74" xfId="2" applyFont="1" applyFill="1" applyBorder="1" applyAlignment="1">
      <alignment horizontal="left" vertical="center" wrapText="1"/>
    </xf>
    <xf numFmtId="0" fontId="169" fillId="60" borderId="117" xfId="2" applyFont="1" applyFill="1" applyBorder="1" applyAlignment="1">
      <alignment horizontal="left" vertical="center" wrapText="1"/>
    </xf>
    <xf numFmtId="0" fontId="169" fillId="60" borderId="75" xfId="2" applyFont="1" applyFill="1" applyBorder="1" applyAlignment="1">
      <alignment horizontal="left" vertical="center" wrapText="1"/>
    </xf>
    <xf numFmtId="0" fontId="173" fillId="61" borderId="116" xfId="2" applyFont="1" applyFill="1" applyBorder="1"/>
    <xf numFmtId="0" fontId="27" fillId="42" borderId="0" xfId="0" applyFont="1" applyFill="1" applyAlignment="1">
      <alignment horizontal="left"/>
    </xf>
    <xf numFmtId="0" fontId="0" fillId="42" borderId="0" xfId="0" applyFill="1"/>
    <xf numFmtId="0" fontId="209" fillId="17" borderId="0" xfId="0" applyFont="1" applyFill="1" applyAlignment="1">
      <alignment horizontal="center"/>
    </xf>
    <xf numFmtId="0" fontId="111" fillId="17" borderId="0" xfId="0" applyFont="1" applyFill="1"/>
    <xf numFmtId="167" fontId="29" fillId="17" borderId="0" xfId="0" applyNumberFormat="1" applyFont="1" applyFill="1" applyAlignment="1">
      <alignment horizontal="right"/>
    </xf>
    <xf numFmtId="0" fontId="26" fillId="54" borderId="0" xfId="0" applyFont="1" applyFill="1" applyAlignment="1">
      <alignment horizontal="center"/>
    </xf>
    <xf numFmtId="0" fontId="209" fillId="4" borderId="0" xfId="0" applyFont="1" applyFill="1" applyAlignment="1">
      <alignment horizontal="center"/>
    </xf>
    <xf numFmtId="0" fontId="111" fillId="4" borderId="0" xfId="0" applyFont="1" applyFill="1"/>
    <xf numFmtId="167" fontId="29" fillId="4" borderId="0" xfId="0" applyNumberFormat="1" applyFont="1" applyFill="1" applyAlignment="1">
      <alignment horizontal="right"/>
    </xf>
    <xf numFmtId="165" fontId="29" fillId="17" borderId="0" xfId="0" applyNumberFormat="1" applyFont="1" applyFill="1" applyAlignment="1">
      <alignment horizontal="right"/>
    </xf>
    <xf numFmtId="0" fontId="26" fillId="28" borderId="0" xfId="0" applyFont="1" applyFill="1" applyAlignment="1">
      <alignment horizontal="center"/>
    </xf>
    <xf numFmtId="165" fontId="29" fillId="4" borderId="0" xfId="0" applyNumberFormat="1" applyFont="1" applyFill="1" applyAlignment="1">
      <alignment horizontal="right"/>
    </xf>
    <xf numFmtId="172" fontId="29" fillId="17" borderId="0" xfId="0" applyNumberFormat="1" applyFont="1" applyFill="1" applyAlignment="1">
      <alignment horizontal="right"/>
    </xf>
    <xf numFmtId="177" fontId="29" fillId="4" borderId="0" xfId="0" applyNumberFormat="1" applyFont="1" applyFill="1" applyAlignment="1">
      <alignment horizontal="right"/>
    </xf>
    <xf numFmtId="178" fontId="29" fillId="4" borderId="0" xfId="0" applyNumberFormat="1" applyFont="1" applyFill="1" applyAlignment="1">
      <alignment horizontal="right"/>
    </xf>
    <xf numFmtId="178" fontId="29" fillId="17" borderId="0" xfId="0" applyNumberFormat="1" applyFont="1" applyFill="1" applyAlignment="1">
      <alignment horizontal="right"/>
    </xf>
    <xf numFmtId="164" fontId="0" fillId="0" borderId="0" xfId="0" applyNumberFormat="1"/>
    <xf numFmtId="164" fontId="75" fillId="13" borderId="0" xfId="0" applyNumberFormat="1" applyFont="1" applyFill="1" applyAlignment="1">
      <alignment horizontal="center"/>
    </xf>
    <xf numFmtId="164" fontId="220" fillId="17" borderId="0" xfId="0" applyNumberFormat="1" applyFont="1" applyFill="1"/>
    <xf numFmtId="0" fontId="220" fillId="17" borderId="0" xfId="0" applyFont="1" applyFill="1" applyAlignment="1">
      <alignment horizontal="right"/>
    </xf>
    <xf numFmtId="0" fontId="221" fillId="3" borderId="0" xfId="0" applyFont="1" applyFill="1"/>
    <xf numFmtId="164" fontId="221" fillId="13" borderId="0" xfId="0" applyNumberFormat="1" applyFont="1" applyFill="1"/>
    <xf numFmtId="0" fontId="178" fillId="63" borderId="115" xfId="2" applyFont="1" applyFill="1" applyBorder="1" applyAlignment="1">
      <alignment horizontal="center" vertical="center" wrapText="1"/>
    </xf>
    <xf numFmtId="0" fontId="178" fillId="66" borderId="115" xfId="2" applyFont="1" applyFill="1" applyBorder="1" applyAlignment="1">
      <alignment horizontal="center" vertical="center" wrapText="1"/>
    </xf>
    <xf numFmtId="0" fontId="178" fillId="68" borderId="115" xfId="2" applyFont="1" applyFill="1" applyBorder="1" applyAlignment="1">
      <alignment horizontal="center" vertical="center" wrapText="1"/>
    </xf>
    <xf numFmtId="0" fontId="172" fillId="55" borderId="115" xfId="2" applyFont="1" applyFill="1" applyBorder="1" applyAlignment="1">
      <alignment horizontal="center" vertical="center" wrapText="1"/>
    </xf>
    <xf numFmtId="0" fontId="75" fillId="42" borderId="0" xfId="0" applyFont="1" applyFill="1"/>
    <xf numFmtId="0" fontId="15" fillId="2" borderId="0" xfId="0" applyFont="1" applyFill="1" applyAlignment="1">
      <alignment horizontal="center"/>
    </xf>
    <xf numFmtId="0" fontId="124" fillId="2" borderId="0" xfId="0" applyFont="1" applyFill="1" applyAlignment="1">
      <alignment horizontal="center"/>
    </xf>
    <xf numFmtId="0" fontId="122" fillId="16" borderId="73" xfId="0" applyFont="1" applyFill="1" applyBorder="1"/>
    <xf numFmtId="0" fontId="122" fillId="16" borderId="76" xfId="0" applyFont="1" applyFill="1" applyBorder="1"/>
    <xf numFmtId="0" fontId="123" fillId="16" borderId="77" xfId="0" applyFont="1" applyFill="1" applyBorder="1"/>
    <xf numFmtId="0" fontId="4" fillId="37" borderId="0" xfId="0" applyFont="1" applyFill="1"/>
    <xf numFmtId="0" fontId="27" fillId="42" borderId="0" xfId="0" applyFont="1" applyFill="1" applyAlignment="1">
      <alignment horizontal="center"/>
    </xf>
    <xf numFmtId="0" fontId="29" fillId="33" borderId="0" xfId="0" applyFont="1" applyFill="1"/>
    <xf numFmtId="3" fontId="29" fillId="33" borderId="0" xfId="0" applyNumberFormat="1" applyFont="1" applyFill="1"/>
    <xf numFmtId="0" fontId="209" fillId="33" borderId="0" xfId="0" applyFont="1" applyFill="1" applyAlignment="1">
      <alignment horizontal="center"/>
    </xf>
    <xf numFmtId="0" fontId="15" fillId="33" borderId="0" xfId="0" applyFont="1" applyFill="1"/>
    <xf numFmtId="3" fontId="109" fillId="4" borderId="0" xfId="0" applyNumberFormat="1" applyFont="1" applyFill="1"/>
    <xf numFmtId="0" fontId="109" fillId="4" borderId="0" xfId="0" applyFont="1" applyFill="1" applyAlignment="1">
      <alignment horizontal="center"/>
    </xf>
    <xf numFmtId="3" fontId="109" fillId="17" borderId="0" xfId="0" applyNumberFormat="1" applyFont="1" applyFill="1"/>
    <xf numFmtId="0" fontId="109" fillId="17" borderId="0" xfId="0" applyFont="1" applyFill="1" applyAlignment="1">
      <alignment horizontal="center"/>
    </xf>
    <xf numFmtId="0" fontId="15" fillId="17" borderId="0" xfId="0" applyFont="1" applyFill="1"/>
    <xf numFmtId="0" fontId="26" fillId="33" borderId="0" xfId="0" applyFont="1" applyFill="1" applyAlignment="1">
      <alignment horizontal="center"/>
    </xf>
    <xf numFmtId="0" fontId="27" fillId="37" borderId="0" xfId="0" applyFont="1" applyFill="1"/>
    <xf numFmtId="3" fontId="27" fillId="37" borderId="0" xfId="0" applyNumberFormat="1" applyFont="1" applyFill="1"/>
    <xf numFmtId="0" fontId="27" fillId="37" borderId="0" xfId="0" applyFont="1" applyFill="1" applyAlignment="1">
      <alignment horizontal="center"/>
    </xf>
    <xf numFmtId="0" fontId="75" fillId="37" borderId="0" xfId="0" applyFont="1" applyFill="1"/>
    <xf numFmtId="178" fontId="211" fillId="4" borderId="0" xfId="0" applyNumberFormat="1" applyFont="1" applyFill="1"/>
    <xf numFmtId="0" fontId="222" fillId="9" borderId="0" xfId="0" applyFont="1" applyFill="1"/>
    <xf numFmtId="0" fontId="221" fillId="17" borderId="0" xfId="0" applyFont="1" applyFill="1"/>
    <xf numFmtId="0" fontId="189" fillId="4" borderId="0" xfId="2" applyFont="1" applyFill="1" applyAlignment="1">
      <alignment horizontal="center"/>
    </xf>
    <xf numFmtId="0" fontId="223" fillId="4" borderId="0" xfId="2" applyFont="1" applyFill="1" applyAlignment="1">
      <alignment horizontal="center"/>
    </xf>
    <xf numFmtId="3" fontId="224" fillId="4" borderId="0" xfId="2" applyNumberFormat="1" applyFont="1" applyFill="1" applyAlignment="1">
      <alignment horizontal="center"/>
    </xf>
    <xf numFmtId="0" fontId="225" fillId="54" borderId="0" xfId="2" applyFont="1" applyFill="1" applyAlignment="1">
      <alignment horizontal="center"/>
    </xf>
    <xf numFmtId="0" fontId="189" fillId="3" borderId="0" xfId="2" applyFont="1" applyFill="1" applyAlignment="1">
      <alignment horizontal="center"/>
    </xf>
    <xf numFmtId="0" fontId="226" fillId="3" borderId="0" xfId="2" applyFont="1" applyFill="1" applyAlignment="1">
      <alignment horizontal="center"/>
    </xf>
    <xf numFmtId="3" fontId="224" fillId="3" borderId="0" xfId="2" applyNumberFormat="1" applyFont="1" applyFill="1" applyAlignment="1">
      <alignment horizontal="center"/>
    </xf>
    <xf numFmtId="165" fontId="82" fillId="17" borderId="7" xfId="0" applyNumberFormat="1" applyFont="1" applyFill="1" applyBorder="1"/>
    <xf numFmtId="165" fontId="84" fillId="4" borderId="8" xfId="0" applyNumberFormat="1" applyFont="1" applyFill="1" applyBorder="1" applyAlignment="1">
      <alignment horizontal="right"/>
    </xf>
    <xf numFmtId="3" fontId="84" fillId="17" borderId="8" xfId="1" applyNumberFormat="1" applyFont="1" applyFill="1" applyBorder="1" applyAlignment="1">
      <alignment horizontal="right"/>
    </xf>
    <xf numFmtId="0" fontId="70" fillId="3" borderId="8" xfId="0" applyFont="1" applyFill="1" applyBorder="1" applyAlignment="1">
      <alignment horizontal="right"/>
    </xf>
    <xf numFmtId="3" fontId="86" fillId="4" borderId="8" xfId="1" applyNumberFormat="1" applyFont="1" applyFill="1" applyBorder="1" applyAlignment="1">
      <alignment horizontal="right"/>
    </xf>
    <xf numFmtId="3" fontId="85" fillId="17" borderId="8" xfId="0" applyNumberFormat="1" applyFont="1" applyFill="1" applyBorder="1" applyAlignment="1">
      <alignment horizontal="right"/>
    </xf>
    <xf numFmtId="3" fontId="85" fillId="4" borderId="8" xfId="0" applyNumberFormat="1" applyFont="1" applyFill="1" applyBorder="1" applyAlignment="1">
      <alignment horizontal="right"/>
    </xf>
    <xf numFmtId="3" fontId="86" fillId="4" borderId="8" xfId="0" applyNumberFormat="1" applyFont="1" applyFill="1" applyBorder="1" applyAlignment="1">
      <alignment horizontal="right"/>
    </xf>
    <xf numFmtId="165" fontId="85" fillId="17" borderId="8" xfId="0" applyNumberFormat="1" applyFont="1" applyFill="1" applyBorder="1" applyAlignment="1">
      <alignment horizontal="right"/>
    </xf>
    <xf numFmtId="165" fontId="85" fillId="4" borderId="8" xfId="0" applyNumberFormat="1" applyFont="1" applyFill="1" applyBorder="1" applyAlignment="1">
      <alignment horizontal="right"/>
    </xf>
    <xf numFmtId="167" fontId="85" fillId="17" borderId="8" xfId="0" applyNumberFormat="1" applyFont="1" applyFill="1" applyBorder="1" applyAlignment="1">
      <alignment horizontal="right"/>
    </xf>
    <xf numFmtId="0" fontId="61" fillId="18" borderId="8" xfId="0" applyFont="1" applyFill="1" applyBorder="1" applyAlignment="1">
      <alignment horizontal="center" vertical="center"/>
    </xf>
    <xf numFmtId="0" fontId="90" fillId="17" borderId="74" xfId="0" applyFont="1" applyFill="1" applyBorder="1"/>
    <xf numFmtId="0" fontId="90" fillId="4" borderId="117" xfId="0" applyFont="1" applyFill="1" applyBorder="1"/>
    <xf numFmtId="0" fontId="90" fillId="17" borderId="117" xfId="0" applyFont="1" applyFill="1" applyBorder="1"/>
    <xf numFmtId="0" fontId="91" fillId="3" borderId="117" xfId="0" applyFont="1" applyFill="1" applyBorder="1"/>
    <xf numFmtId="0" fontId="92" fillId="18" borderId="75" xfId="0" applyFont="1" applyFill="1" applyBorder="1"/>
    <xf numFmtId="165" fontId="82" fillId="17" borderId="4" xfId="0" applyNumberFormat="1" applyFont="1" applyFill="1" applyBorder="1"/>
    <xf numFmtId="165" fontId="84" fillId="4" borderId="1" xfId="0" applyNumberFormat="1" applyFont="1" applyFill="1" applyBorder="1" applyAlignment="1">
      <alignment horizontal="right"/>
    </xf>
    <xf numFmtId="3" fontId="85" fillId="17" borderId="1" xfId="1" applyNumberFormat="1" applyFont="1" applyFill="1" applyBorder="1" applyAlignment="1">
      <alignment horizontal="right"/>
    </xf>
    <xf numFmtId="0" fontId="70" fillId="3" borderId="1" xfId="0" applyFont="1" applyFill="1" applyBorder="1" applyAlignment="1">
      <alignment horizontal="right"/>
    </xf>
    <xf numFmtId="3" fontId="86" fillId="4" borderId="1" xfId="1" applyNumberFormat="1" applyFont="1" applyFill="1" applyBorder="1" applyAlignment="1">
      <alignment horizontal="right"/>
    </xf>
    <xf numFmtId="3" fontId="85" fillId="17" borderId="1" xfId="0" applyNumberFormat="1" applyFont="1" applyFill="1" applyBorder="1" applyAlignment="1">
      <alignment horizontal="right"/>
    </xf>
    <xf numFmtId="3" fontId="85" fillId="4" borderId="1" xfId="0" applyNumberFormat="1" applyFont="1" applyFill="1" applyBorder="1" applyAlignment="1">
      <alignment horizontal="right"/>
    </xf>
    <xf numFmtId="3" fontId="86" fillId="4" borderId="1" xfId="0" applyNumberFormat="1" applyFont="1" applyFill="1" applyBorder="1" applyAlignment="1">
      <alignment horizontal="right"/>
    </xf>
    <xf numFmtId="165" fontId="85" fillId="17" borderId="1" xfId="0" applyNumberFormat="1" applyFont="1" applyFill="1" applyBorder="1" applyAlignment="1">
      <alignment horizontal="right"/>
    </xf>
    <xf numFmtId="165" fontId="85" fillId="4" borderId="1" xfId="0" applyNumberFormat="1" applyFont="1" applyFill="1" applyBorder="1" applyAlignment="1">
      <alignment horizontal="right"/>
    </xf>
    <xf numFmtId="167" fontId="85" fillId="17" borderId="1" xfId="0" applyNumberFormat="1" applyFont="1" applyFill="1" applyBorder="1" applyAlignment="1">
      <alignment horizontal="right"/>
    </xf>
    <xf numFmtId="0" fontId="61" fillId="18" borderId="1" xfId="0" applyFont="1" applyFill="1" applyBorder="1" applyAlignment="1">
      <alignment horizontal="center" vertical="center"/>
    </xf>
    <xf numFmtId="165" fontId="83" fillId="17" borderId="74" xfId="0" applyNumberFormat="1" applyFont="1" applyFill="1" applyBorder="1" applyAlignment="1">
      <alignment horizontal="center"/>
    </xf>
    <xf numFmtId="165" fontId="83" fillId="4" borderId="117" xfId="0" applyNumberFormat="1" applyFont="1" applyFill="1" applyBorder="1" applyAlignment="1">
      <alignment horizontal="center"/>
    </xf>
    <xf numFmtId="3" fontId="83" fillId="17" borderId="117" xfId="0" applyNumberFormat="1" applyFont="1" applyFill="1" applyBorder="1" applyAlignment="1">
      <alignment horizontal="center"/>
    </xf>
    <xf numFmtId="0" fontId="70" fillId="3" borderId="117" xfId="0" applyFont="1" applyFill="1" applyBorder="1" applyAlignment="1">
      <alignment horizontal="center"/>
    </xf>
    <xf numFmtId="3" fontId="87" fillId="4" borderId="117" xfId="0" applyNumberFormat="1" applyFont="1" applyFill="1" applyBorder="1" applyAlignment="1">
      <alignment horizontal="center"/>
    </xf>
    <xf numFmtId="3" fontId="88" fillId="17" borderId="117" xfId="0" applyNumberFormat="1" applyFont="1" applyFill="1" applyBorder="1" applyAlignment="1">
      <alignment horizontal="center"/>
    </xf>
    <xf numFmtId="3" fontId="88" fillId="4" borderId="117" xfId="0" applyNumberFormat="1" applyFont="1" applyFill="1" applyBorder="1" applyAlignment="1">
      <alignment horizontal="center"/>
    </xf>
    <xf numFmtId="165" fontId="88" fillId="17" borderId="117" xfId="0" applyNumberFormat="1" applyFont="1" applyFill="1" applyBorder="1" applyAlignment="1">
      <alignment horizontal="center"/>
    </xf>
    <xf numFmtId="165" fontId="88" fillId="4" borderId="117" xfId="0" applyNumberFormat="1" applyFont="1" applyFill="1" applyBorder="1" applyAlignment="1">
      <alignment horizontal="center"/>
    </xf>
    <xf numFmtId="167" fontId="88" fillId="17" borderId="117" xfId="0" applyNumberFormat="1" applyFont="1" applyFill="1" applyBorder="1" applyAlignment="1">
      <alignment horizontal="center"/>
    </xf>
    <xf numFmtId="0" fontId="56" fillId="18" borderId="75" xfId="0" applyFont="1" applyFill="1" applyBorder="1"/>
    <xf numFmtId="0" fontId="205" fillId="0" borderId="116" xfId="0" applyFont="1" applyBorder="1"/>
    <xf numFmtId="0" fontId="206" fillId="0" borderId="116" xfId="0" applyFont="1" applyBorder="1"/>
    <xf numFmtId="0" fontId="227" fillId="86" borderId="74" xfId="0" applyFont="1" applyFill="1" applyBorder="1"/>
    <xf numFmtId="0" fontId="227" fillId="86" borderId="75" xfId="0" applyFont="1" applyFill="1" applyBorder="1"/>
    <xf numFmtId="2" fontId="134" fillId="11" borderId="0" xfId="0" applyNumberFormat="1" applyFont="1" applyFill="1"/>
    <xf numFmtId="0" fontId="235" fillId="86" borderId="78" xfId="0" applyFont="1" applyFill="1" applyBorder="1"/>
    <xf numFmtId="0" fontId="235" fillId="86" borderId="72" xfId="0" applyFont="1" applyFill="1" applyBorder="1"/>
    <xf numFmtId="0" fontId="227" fillId="86" borderId="71" xfId="0" applyFont="1" applyFill="1" applyBorder="1"/>
    <xf numFmtId="0" fontId="235" fillId="86" borderId="70" xfId="0" applyFont="1" applyFill="1" applyBorder="1"/>
    <xf numFmtId="0" fontId="236" fillId="86" borderId="0" xfId="0" applyFont="1" applyFill="1" applyAlignment="1">
      <alignment horizontal="center"/>
    </xf>
    <xf numFmtId="0" fontId="236" fillId="86" borderId="0" xfId="0" applyFont="1" applyFill="1" applyAlignment="1">
      <alignment horizontal="center" vertical="center"/>
    </xf>
    <xf numFmtId="49" fontId="75" fillId="10" borderId="0" xfId="0" applyNumberFormat="1" applyFont="1" applyFill="1" applyAlignment="1">
      <alignment horizontal="center"/>
    </xf>
    <xf numFmtId="0" fontId="75" fillId="31" borderId="25" xfId="0" applyFont="1" applyFill="1" applyBorder="1" applyAlignment="1">
      <alignment horizontal="center"/>
    </xf>
    <xf numFmtId="0" fontId="0" fillId="9" borderId="25" xfId="0" applyFill="1" applyBorder="1"/>
    <xf numFmtId="3" fontId="105" fillId="3" borderId="25" xfId="0" applyNumberFormat="1" applyFont="1" applyFill="1" applyBorder="1"/>
    <xf numFmtId="1" fontId="105" fillId="90" borderId="25" xfId="0" applyNumberFormat="1" applyFont="1" applyFill="1" applyBorder="1"/>
    <xf numFmtId="0" fontId="0" fillId="3" borderId="124" xfId="0" applyFill="1" applyBorder="1"/>
    <xf numFmtId="0" fontId="75" fillId="31" borderId="126" xfId="0" applyFont="1" applyFill="1" applyBorder="1" applyAlignment="1">
      <alignment horizontal="center"/>
    </xf>
    <xf numFmtId="0" fontId="237" fillId="9" borderId="126" xfId="0" applyFont="1" applyFill="1" applyBorder="1"/>
    <xf numFmtId="0" fontId="238" fillId="90" borderId="126" xfId="0" applyFont="1" applyFill="1" applyBorder="1"/>
    <xf numFmtId="0" fontId="239" fillId="84" borderId="126" xfId="0" applyFont="1" applyFill="1" applyBorder="1"/>
    <xf numFmtId="0" fontId="0" fillId="4" borderId="126" xfId="0" applyFill="1" applyBorder="1"/>
    <xf numFmtId="0" fontId="0" fillId="3" borderId="127" xfId="0" applyFill="1" applyBorder="1"/>
    <xf numFmtId="0" fontId="75" fillId="31" borderId="129" xfId="0" applyFont="1" applyFill="1" applyBorder="1" applyAlignment="1">
      <alignment horizontal="center"/>
    </xf>
    <xf numFmtId="0" fontId="0" fillId="3" borderId="129" xfId="0" applyFill="1" applyBorder="1" applyAlignment="1">
      <alignment horizontal="center"/>
    </xf>
    <xf numFmtId="0" fontId="0" fillId="23" borderId="129" xfId="0" applyFill="1" applyBorder="1"/>
    <xf numFmtId="0" fontId="240" fillId="3" borderId="129" xfId="0" applyFont="1" applyFill="1" applyBorder="1" applyAlignment="1">
      <alignment horizontal="center"/>
    </xf>
    <xf numFmtId="0" fontId="240" fillId="9" borderId="129" xfId="0" applyFont="1" applyFill="1" applyBorder="1" applyAlignment="1">
      <alignment horizontal="center"/>
    </xf>
    <xf numFmtId="0" fontId="240" fillId="90" borderId="129" xfId="0" applyFont="1" applyFill="1" applyBorder="1" applyAlignment="1">
      <alignment horizontal="center"/>
    </xf>
    <xf numFmtId="0" fontId="240" fillId="84" borderId="129" xfId="0" applyFont="1" applyFill="1" applyBorder="1" applyAlignment="1">
      <alignment horizontal="center"/>
    </xf>
    <xf numFmtId="0" fontId="240" fillId="3" borderId="130" xfId="0" applyFont="1" applyFill="1" applyBorder="1" applyAlignment="1">
      <alignment horizontal="center"/>
    </xf>
    <xf numFmtId="3" fontId="105" fillId="3" borderId="25" xfId="0" applyNumberFormat="1" applyFont="1" applyFill="1" applyBorder="1" applyAlignment="1">
      <alignment horizontal="center"/>
    </xf>
    <xf numFmtId="165" fontId="3" fillId="3" borderId="25" xfId="0" applyNumberFormat="1" applyFont="1" applyFill="1" applyBorder="1" applyAlignment="1">
      <alignment horizontal="center"/>
    </xf>
    <xf numFmtId="165" fontId="3" fillId="9" borderId="25" xfId="0" applyNumberFormat="1" applyFont="1" applyFill="1" applyBorder="1" applyAlignment="1">
      <alignment horizontal="center"/>
    </xf>
    <xf numFmtId="182" fontId="3" fillId="3" borderId="25" xfId="0" applyNumberFormat="1" applyFont="1" applyFill="1" applyBorder="1" applyAlignment="1">
      <alignment horizontal="center"/>
    </xf>
    <xf numFmtId="2" fontId="3" fillId="84" borderId="25" xfId="0" applyNumberFormat="1" applyFont="1" applyFill="1" applyBorder="1" applyAlignment="1">
      <alignment horizontal="center"/>
    </xf>
    <xf numFmtId="181" fontId="3" fillId="3" borderId="124" xfId="0" applyNumberFormat="1" applyFont="1" applyFill="1" applyBorder="1" applyAlignment="1">
      <alignment horizontal="center"/>
    </xf>
    <xf numFmtId="0" fontId="75" fillId="10" borderId="0" xfId="0" applyFont="1" applyFill="1" applyAlignment="1">
      <alignment horizontal="center"/>
    </xf>
    <xf numFmtId="179" fontId="233" fillId="2" borderId="0" xfId="0" applyNumberFormat="1" applyFont="1" applyFill="1" applyAlignment="1">
      <alignment horizontal="center"/>
    </xf>
    <xf numFmtId="179" fontId="234" fillId="2" borderId="0" xfId="0" applyNumberFormat="1" applyFont="1" applyFill="1" applyAlignment="1">
      <alignment horizontal="center"/>
    </xf>
    <xf numFmtId="179" fontId="16" fillId="2" borderId="0" xfId="0" applyNumberFormat="1" applyFont="1" applyFill="1" applyAlignment="1">
      <alignment horizontal="center"/>
    </xf>
    <xf numFmtId="0" fontId="75" fillId="10" borderId="72" xfId="0" applyFont="1" applyFill="1" applyBorder="1" applyAlignment="1">
      <alignment horizontal="center"/>
    </xf>
    <xf numFmtId="179" fontId="232" fillId="2" borderId="72" xfId="0" applyNumberFormat="1" applyFont="1" applyFill="1" applyBorder="1" applyAlignment="1">
      <alignment horizontal="center"/>
    </xf>
    <xf numFmtId="0" fontId="75" fillId="10" borderId="73" xfId="0" applyFont="1" applyFill="1" applyBorder="1" applyAlignment="1">
      <alignment horizontal="center"/>
    </xf>
    <xf numFmtId="179" fontId="16" fillId="2" borderId="73" xfId="0" applyNumberFormat="1" applyFont="1" applyFill="1" applyBorder="1" applyAlignment="1">
      <alignment horizontal="center"/>
    </xf>
    <xf numFmtId="0" fontId="124" fillId="2" borderId="72" xfId="0" applyFont="1" applyFill="1" applyBorder="1" applyAlignment="1">
      <alignment horizontal="center"/>
    </xf>
    <xf numFmtId="0" fontId="124" fillId="2" borderId="73" xfId="0" applyFont="1" applyFill="1" applyBorder="1" applyAlignment="1">
      <alignment horizontal="center"/>
    </xf>
    <xf numFmtId="0" fontId="75" fillId="87" borderId="0" xfId="0" applyFont="1" applyFill="1" applyAlignment="1">
      <alignment horizontal="center"/>
    </xf>
    <xf numFmtId="178" fontId="116" fillId="2" borderId="0" xfId="0" applyNumberFormat="1" applyFont="1" applyFill="1" applyAlignment="1">
      <alignment horizontal="center"/>
    </xf>
    <xf numFmtId="0" fontId="116" fillId="2" borderId="0" xfId="0" applyFont="1" applyFill="1" applyAlignment="1">
      <alignment horizontal="center"/>
    </xf>
    <xf numFmtId="165" fontId="116" fillId="2" borderId="0" xfId="0" applyNumberFormat="1" applyFont="1" applyFill="1" applyAlignment="1">
      <alignment horizontal="center"/>
    </xf>
    <xf numFmtId="0" fontId="75" fillId="87" borderId="72" xfId="0" applyFont="1" applyFill="1" applyBorder="1" applyAlignment="1">
      <alignment horizontal="center"/>
    </xf>
    <xf numFmtId="178" fontId="116" fillId="2" borderId="72" xfId="0" applyNumberFormat="1" applyFont="1" applyFill="1" applyBorder="1" applyAlignment="1">
      <alignment horizontal="center"/>
    </xf>
    <xf numFmtId="0" fontId="75" fillId="87" borderId="73" xfId="0" applyFont="1" applyFill="1" applyBorder="1" applyAlignment="1">
      <alignment horizontal="center"/>
    </xf>
    <xf numFmtId="178" fontId="116" fillId="2" borderId="73" xfId="0" applyNumberFormat="1" applyFont="1" applyFill="1" applyBorder="1" applyAlignment="1">
      <alignment horizontal="center"/>
    </xf>
    <xf numFmtId="0" fontId="75" fillId="89" borderId="0" xfId="0" applyFont="1" applyFill="1" applyAlignment="1">
      <alignment horizontal="center"/>
    </xf>
    <xf numFmtId="180" fontId="116" fillId="2" borderId="0" xfId="0" applyNumberFormat="1" applyFont="1" applyFill="1" applyAlignment="1">
      <alignment horizontal="center"/>
    </xf>
    <xf numFmtId="0" fontId="75" fillId="89" borderId="72" xfId="0" applyFont="1" applyFill="1" applyBorder="1" applyAlignment="1">
      <alignment horizontal="center"/>
    </xf>
    <xf numFmtId="165" fontId="116" fillId="2" borderId="72" xfId="0" applyNumberFormat="1" applyFont="1" applyFill="1" applyBorder="1" applyAlignment="1">
      <alignment horizontal="center"/>
    </xf>
    <xf numFmtId="0" fontId="75" fillId="89" borderId="73" xfId="0" applyFont="1" applyFill="1" applyBorder="1" applyAlignment="1">
      <alignment horizontal="center"/>
    </xf>
    <xf numFmtId="177" fontId="116" fillId="2" borderId="73" xfId="0" applyNumberFormat="1" applyFont="1" applyFill="1" applyBorder="1" applyAlignment="1">
      <alignment horizontal="center"/>
    </xf>
    <xf numFmtId="0" fontId="75" fillId="42" borderId="126" xfId="0" applyFont="1" applyFill="1" applyBorder="1" applyAlignment="1">
      <alignment horizontal="center"/>
    </xf>
    <xf numFmtId="0" fontId="75" fillId="42" borderId="25" xfId="0" applyFont="1" applyFill="1" applyBorder="1" applyAlignment="1">
      <alignment horizontal="center"/>
    </xf>
    <xf numFmtId="0" fontId="75" fillId="42" borderId="129" xfId="0" applyFont="1" applyFill="1" applyBorder="1" applyAlignment="1">
      <alignment horizontal="center"/>
    </xf>
    <xf numFmtId="0" fontId="52" fillId="4" borderId="126" xfId="0" applyFont="1" applyFill="1" applyBorder="1" applyAlignment="1">
      <alignment horizontal="left"/>
    </xf>
    <xf numFmtId="165" fontId="109" fillId="4" borderId="25" xfId="0" applyNumberFormat="1" applyFont="1" applyFill="1" applyBorder="1" applyAlignment="1">
      <alignment horizontal="center"/>
    </xf>
    <xf numFmtId="3" fontId="109" fillId="4" borderId="129" xfId="0" applyNumberFormat="1" applyFont="1" applyFill="1" applyBorder="1" applyAlignment="1">
      <alignment horizontal="center"/>
    </xf>
    <xf numFmtId="0" fontId="52" fillId="3" borderId="126" xfId="0" applyFont="1" applyFill="1" applyBorder="1" applyAlignment="1">
      <alignment horizontal="left"/>
    </xf>
    <xf numFmtId="165" fontId="109" fillId="3" borderId="25" xfId="0" applyNumberFormat="1" applyFont="1" applyFill="1" applyBorder="1" applyAlignment="1">
      <alignment horizontal="center"/>
    </xf>
    <xf numFmtId="3" fontId="109" fillId="3" borderId="129" xfId="0" applyNumberFormat="1" applyFont="1" applyFill="1" applyBorder="1" applyAlignment="1">
      <alignment horizontal="center"/>
    </xf>
    <xf numFmtId="0" fontId="75" fillId="42" borderId="127" xfId="0" applyFont="1" applyFill="1" applyBorder="1" applyAlignment="1">
      <alignment horizontal="center"/>
    </xf>
    <xf numFmtId="165" fontId="75" fillId="42" borderId="124" xfId="0" applyNumberFormat="1" applyFont="1" applyFill="1" applyBorder="1" applyAlignment="1">
      <alignment horizontal="center"/>
    </xf>
    <xf numFmtId="0" fontId="75" fillId="42" borderId="124" xfId="0" applyFont="1" applyFill="1" applyBorder="1" applyAlignment="1">
      <alignment horizontal="center"/>
    </xf>
    <xf numFmtId="3" fontId="75" fillId="42" borderId="130" xfId="0" applyNumberFormat="1" applyFont="1" applyFill="1" applyBorder="1" applyAlignment="1">
      <alignment horizontal="center"/>
    </xf>
    <xf numFmtId="1" fontId="6" fillId="2" borderId="11" xfId="0" applyNumberFormat="1" applyFont="1" applyFill="1" applyBorder="1" applyAlignment="1">
      <alignment horizontal="center"/>
    </xf>
    <xf numFmtId="0" fontId="27" fillId="2" borderId="11" xfId="0" applyFont="1" applyFill="1" applyBorder="1" applyAlignment="1">
      <alignment horizontal="center"/>
    </xf>
    <xf numFmtId="0" fontId="75" fillId="2" borderId="11" xfId="0" applyFont="1" applyFill="1" applyBorder="1" applyAlignment="1">
      <alignment horizontal="center"/>
    </xf>
    <xf numFmtId="2" fontId="229" fillId="2" borderId="132" xfId="0" applyNumberFormat="1" applyFont="1" applyFill="1" applyBorder="1" applyAlignment="1">
      <alignment horizontal="center"/>
    </xf>
    <xf numFmtId="2" fontId="134" fillId="11" borderId="132" xfId="0" applyNumberFormat="1" applyFont="1" applyFill="1" applyBorder="1"/>
    <xf numFmtId="0" fontId="134" fillId="11" borderId="133" xfId="0" applyFont="1" applyFill="1" applyBorder="1"/>
    <xf numFmtId="0" fontId="230" fillId="2" borderId="73" xfId="0" applyFont="1" applyFill="1" applyBorder="1" applyAlignment="1">
      <alignment horizontal="center"/>
    </xf>
    <xf numFmtId="2" fontId="134" fillId="11" borderId="73" xfId="0" applyNumberFormat="1" applyFont="1" applyFill="1" applyBorder="1"/>
    <xf numFmtId="0" fontId="134" fillId="11" borderId="101" xfId="0" applyFont="1" applyFill="1" applyBorder="1"/>
    <xf numFmtId="0" fontId="27" fillId="13" borderId="16" xfId="0" applyFont="1" applyFill="1" applyBorder="1" applyAlignment="1">
      <alignment horizontal="center" vertical="center"/>
    </xf>
    <xf numFmtId="0" fontId="27" fillId="13" borderId="19" xfId="0" applyFont="1" applyFill="1" applyBorder="1" applyAlignment="1">
      <alignment horizontal="center" vertical="center"/>
    </xf>
    <xf numFmtId="0" fontId="27" fillId="13" borderId="0" xfId="0" applyFont="1" applyFill="1" applyAlignment="1">
      <alignment horizontal="center" vertical="center"/>
    </xf>
    <xf numFmtId="0" fontId="27" fillId="13" borderId="16" xfId="0" applyFont="1" applyFill="1" applyBorder="1" applyAlignment="1">
      <alignment horizontal="left" vertical="center"/>
    </xf>
    <xf numFmtId="0" fontId="0" fillId="11" borderId="72" xfId="0" applyFill="1" applyBorder="1"/>
    <xf numFmtId="0" fontId="0" fillId="11" borderId="73" xfId="0" applyFill="1" applyBorder="1"/>
    <xf numFmtId="0" fontId="27" fillId="39" borderId="134" xfId="0" applyFont="1" applyFill="1" applyBorder="1" applyAlignment="1">
      <alignment horizontal="center"/>
    </xf>
    <xf numFmtId="0" fontId="27" fillId="39" borderId="115" xfId="0" applyFont="1" applyFill="1" applyBorder="1" applyAlignment="1">
      <alignment horizontal="center"/>
    </xf>
    <xf numFmtId="0" fontId="27" fillId="39" borderId="115" xfId="0" applyFont="1" applyFill="1" applyBorder="1"/>
    <xf numFmtId="0" fontId="27" fillId="39" borderId="135" xfId="0" applyFont="1" applyFill="1" applyBorder="1"/>
    <xf numFmtId="0" fontId="0" fillId="3" borderId="126" xfId="0" applyFill="1" applyBorder="1"/>
    <xf numFmtId="0" fontId="240" fillId="0" borderId="25" xfId="0" applyFont="1" applyBorder="1" applyAlignment="1">
      <alignment horizontal="center"/>
    </xf>
    <xf numFmtId="0" fontId="102" fillId="28" borderId="25" xfId="0" applyFont="1" applyFill="1" applyBorder="1"/>
    <xf numFmtId="0" fontId="0" fillId="90" borderId="126" xfId="0" applyFill="1" applyBorder="1"/>
    <xf numFmtId="1" fontId="105" fillId="90" borderId="25" xfId="0" applyNumberFormat="1" applyFont="1" applyFill="1" applyBorder="1" applyAlignment="1">
      <alignment horizontal="center"/>
    </xf>
    <xf numFmtId="0" fontId="103" fillId="29" borderId="25" xfId="0" applyFont="1" applyFill="1" applyBorder="1"/>
    <xf numFmtId="0" fontId="0" fillId="40" borderId="129" xfId="0" applyFill="1" applyBorder="1"/>
    <xf numFmtId="0" fontId="0" fillId="23" borderId="136" xfId="0" applyFill="1" applyBorder="1"/>
    <xf numFmtId="167" fontId="105" fillId="23" borderId="122" xfId="0" applyNumberFormat="1" applyFont="1" applyFill="1" applyBorder="1"/>
    <xf numFmtId="167" fontId="105" fillId="23" borderId="122" xfId="0" applyNumberFormat="1" applyFont="1" applyFill="1" applyBorder="1" applyAlignment="1">
      <alignment horizontal="center"/>
    </xf>
    <xf numFmtId="0" fontId="240" fillId="0" borderId="122" xfId="0" applyFont="1" applyBorder="1" applyAlignment="1">
      <alignment horizontal="center"/>
    </xf>
    <xf numFmtId="0" fontId="102" fillId="28" borderId="122" xfId="0" applyFont="1" applyFill="1" applyBorder="1"/>
    <xf numFmtId="0" fontId="0" fillId="23" borderId="137" xfId="0" applyFill="1" applyBorder="1"/>
    <xf numFmtId="0" fontId="241" fillId="71" borderId="126" xfId="0" applyFont="1" applyFill="1" applyBorder="1"/>
    <xf numFmtId="0" fontId="0" fillId="71" borderId="25" xfId="0" applyFill="1" applyBorder="1"/>
    <xf numFmtId="180" fontId="3" fillId="71" borderId="25" xfId="0" applyNumberFormat="1" applyFont="1" applyFill="1" applyBorder="1" applyAlignment="1">
      <alignment horizontal="center"/>
    </xf>
    <xf numFmtId="0" fontId="240" fillId="71" borderId="129" xfId="0" applyFont="1" applyFill="1" applyBorder="1" applyAlignment="1">
      <alignment horizontal="center"/>
    </xf>
    <xf numFmtId="0" fontId="0" fillId="4" borderId="25" xfId="0" applyFill="1" applyBorder="1"/>
    <xf numFmtId="181" fontId="3" fillId="4" borderId="25" xfId="0" applyNumberFormat="1" applyFont="1" applyFill="1" applyBorder="1" applyAlignment="1">
      <alignment horizontal="center"/>
    </xf>
    <xf numFmtId="0" fontId="240" fillId="4" borderId="129" xfId="0" applyFont="1" applyFill="1" applyBorder="1" applyAlignment="1">
      <alignment horizontal="center"/>
    </xf>
    <xf numFmtId="180" fontId="3" fillId="4" borderId="25" xfId="0" applyNumberFormat="1" applyFont="1" applyFill="1" applyBorder="1" applyAlignment="1">
      <alignment horizontal="center"/>
    </xf>
    <xf numFmtId="3" fontId="3" fillId="3" borderId="25" xfId="0" applyNumberFormat="1" applyFont="1" applyFill="1" applyBorder="1" applyAlignment="1">
      <alignment horizontal="center"/>
    </xf>
    <xf numFmtId="0" fontId="0" fillId="90" borderId="25" xfId="0" applyFill="1" applyBorder="1"/>
    <xf numFmtId="165" fontId="3" fillId="90" borderId="25" xfId="0" applyNumberFormat="1" applyFont="1" applyFill="1" applyBorder="1" applyAlignment="1">
      <alignment horizontal="center"/>
    </xf>
    <xf numFmtId="3" fontId="3" fillId="4" borderId="25" xfId="0" applyNumberFormat="1" applyFont="1" applyFill="1" applyBorder="1" applyAlignment="1">
      <alignment horizontal="center"/>
    </xf>
    <xf numFmtId="0" fontId="0" fillId="84" borderId="25" xfId="0" applyFill="1" applyBorder="1"/>
    <xf numFmtId="183" fontId="3" fillId="4" borderId="25" xfId="0" applyNumberFormat="1" applyFont="1" applyFill="1" applyBorder="1" applyAlignment="1">
      <alignment horizontal="center"/>
    </xf>
    <xf numFmtId="0" fontId="242" fillId="17" borderId="0" xfId="0" applyFont="1" applyFill="1" applyAlignment="1">
      <alignment horizontal="center"/>
    </xf>
    <xf numFmtId="0" fontId="242" fillId="4" borderId="0" xfId="0" applyFont="1" applyFill="1" applyAlignment="1">
      <alignment horizontal="center"/>
    </xf>
    <xf numFmtId="0" fontId="7" fillId="42" borderId="0" xfId="0" applyFont="1" applyFill="1"/>
    <xf numFmtId="14" fontId="0" fillId="0" borderId="0" xfId="0" applyNumberFormat="1" applyAlignment="1">
      <alignment horizontal="center"/>
    </xf>
    <xf numFmtId="0" fontId="244" fillId="42" borderId="0" xfId="2" applyFont="1" applyFill="1"/>
    <xf numFmtId="0" fontId="167" fillId="42" borderId="0" xfId="2" applyFill="1"/>
    <xf numFmtId="0" fontId="167" fillId="3" borderId="0" xfId="2" applyFill="1"/>
    <xf numFmtId="0" fontId="245" fillId="42" borderId="138" xfId="2" applyFont="1" applyFill="1" applyBorder="1"/>
    <xf numFmtId="0" fontId="247" fillId="42" borderId="24" xfId="2" applyFont="1" applyFill="1" applyBorder="1" applyAlignment="1">
      <alignment horizontal="center"/>
    </xf>
    <xf numFmtId="0" fontId="246" fillId="84" borderId="25" xfId="2" applyFont="1" applyFill="1" applyBorder="1" applyAlignment="1">
      <alignment horizontal="center"/>
    </xf>
    <xf numFmtId="0" fontId="246" fillId="9" borderId="25" xfId="2" applyFont="1" applyFill="1" applyBorder="1" applyAlignment="1">
      <alignment horizontal="center"/>
    </xf>
    <xf numFmtId="0" fontId="246" fillId="93" borderId="25" xfId="2" applyFont="1" applyFill="1" applyBorder="1" applyAlignment="1">
      <alignment horizontal="center"/>
    </xf>
    <xf numFmtId="0" fontId="246" fillId="94" borderId="25" xfId="2" applyFont="1" applyFill="1" applyBorder="1" applyAlignment="1">
      <alignment horizontal="center"/>
    </xf>
    <xf numFmtId="0" fontId="246" fillId="95" borderId="25" xfId="2" applyFont="1" applyFill="1" applyBorder="1" applyAlignment="1">
      <alignment horizontal="center"/>
    </xf>
    <xf numFmtId="0" fontId="246" fillId="19" borderId="25" xfId="2" applyFont="1" applyFill="1" applyBorder="1" applyAlignment="1">
      <alignment horizontal="center"/>
    </xf>
    <xf numFmtId="0" fontId="246" fillId="19" borderId="26" xfId="2" applyFont="1" applyFill="1" applyBorder="1" applyAlignment="1">
      <alignment horizontal="center"/>
    </xf>
    <xf numFmtId="0" fontId="189" fillId="4" borderId="24" xfId="2" applyFont="1" applyFill="1" applyBorder="1"/>
    <xf numFmtId="0" fontId="167" fillId="4" borderId="25" xfId="2" applyFill="1" applyBorder="1"/>
    <xf numFmtId="0" fontId="189" fillId="3" borderId="24" xfId="2" applyFont="1" applyFill="1" applyBorder="1"/>
    <xf numFmtId="0" fontId="167" fillId="3" borderId="25" xfId="2" applyFill="1" applyBorder="1"/>
    <xf numFmtId="0" fontId="189" fillId="0" borderId="24" xfId="2" applyFont="1" applyBorder="1"/>
    <xf numFmtId="0" fontId="167" fillId="0" borderId="26" xfId="2" applyBorder="1"/>
    <xf numFmtId="0" fontId="190" fillId="84" borderId="24" xfId="2" applyFont="1" applyFill="1" applyBorder="1"/>
    <xf numFmtId="0" fontId="248" fillId="0" borderId="140" xfId="2" applyFont="1" applyBorder="1"/>
    <xf numFmtId="0" fontId="167" fillId="0" borderId="122" xfId="2" applyBorder="1"/>
    <xf numFmtId="0" fontId="167" fillId="0" borderId="141" xfId="2" applyBorder="1"/>
    <xf numFmtId="0" fontId="249" fillId="4" borderId="25" xfId="2" applyFont="1" applyFill="1" applyBorder="1" applyAlignment="1">
      <alignment horizontal="right"/>
    </xf>
    <xf numFmtId="0" fontId="167" fillId="4" borderId="25" xfId="2" applyFill="1" applyBorder="1" applyAlignment="1">
      <alignment horizontal="right"/>
    </xf>
    <xf numFmtId="0" fontId="189" fillId="4" borderId="25" xfId="2" applyFont="1" applyFill="1" applyBorder="1" applyAlignment="1">
      <alignment horizontal="right"/>
    </xf>
    <xf numFmtId="0" fontId="189" fillId="4" borderId="25" xfId="2" applyFont="1" applyFill="1" applyBorder="1" applyAlignment="1">
      <alignment horizontal="center"/>
    </xf>
    <xf numFmtId="0" fontId="167" fillId="4" borderId="26" xfId="2" applyFill="1" applyBorder="1" applyAlignment="1">
      <alignment horizontal="right"/>
    </xf>
    <xf numFmtId="0" fontId="249" fillId="3" borderId="25" xfId="2" applyFont="1" applyFill="1" applyBorder="1" applyAlignment="1">
      <alignment horizontal="right"/>
    </xf>
    <xf numFmtId="0" fontId="167" fillId="3" borderId="25" xfId="2" applyFill="1" applyBorder="1" applyAlignment="1">
      <alignment horizontal="right"/>
    </xf>
    <xf numFmtId="0" fontId="189" fillId="3" borderId="25" xfId="2" applyFont="1" applyFill="1" applyBorder="1" applyAlignment="1">
      <alignment horizontal="right"/>
    </xf>
    <xf numFmtId="0" fontId="189" fillId="3" borderId="25" xfId="2" applyFont="1" applyFill="1" applyBorder="1" applyAlignment="1">
      <alignment horizontal="center"/>
    </xf>
    <xf numFmtId="0" fontId="167" fillId="3" borderId="26" xfId="2" applyFill="1" applyBorder="1" applyAlignment="1">
      <alignment horizontal="right"/>
    </xf>
    <xf numFmtId="0" fontId="243" fillId="84" borderId="25" xfId="2" applyFont="1" applyFill="1" applyBorder="1" applyAlignment="1">
      <alignment horizontal="right"/>
    </xf>
    <xf numFmtId="0" fontId="243" fillId="84" borderId="25" xfId="2" applyFont="1" applyFill="1" applyBorder="1" applyAlignment="1">
      <alignment horizontal="center"/>
    </xf>
    <xf numFmtId="0" fontId="243" fillId="9" borderId="25" xfId="2" applyFont="1" applyFill="1" applyBorder="1" applyAlignment="1">
      <alignment horizontal="right"/>
    </xf>
    <xf numFmtId="0" fontId="243" fillId="9" borderId="25" xfId="2" applyFont="1" applyFill="1" applyBorder="1" applyAlignment="1">
      <alignment horizontal="center"/>
    </xf>
    <xf numFmtId="0" fontId="243" fillId="93" borderId="25" xfId="2" applyFont="1" applyFill="1" applyBorder="1" applyAlignment="1">
      <alignment horizontal="right"/>
    </xf>
    <xf numFmtId="0" fontId="243" fillId="93" borderId="25" xfId="2" applyFont="1" applyFill="1" applyBorder="1" applyAlignment="1">
      <alignment horizontal="center"/>
    </xf>
    <xf numFmtId="0" fontId="243" fillId="94" borderId="25" xfId="2" applyFont="1" applyFill="1" applyBorder="1" applyAlignment="1">
      <alignment horizontal="right"/>
    </xf>
    <xf numFmtId="0" fontId="243" fillId="94" borderId="25" xfId="2" applyFont="1" applyFill="1" applyBorder="1" applyAlignment="1">
      <alignment horizontal="center"/>
    </xf>
    <xf numFmtId="0" fontId="243" fillId="95" borderId="25" xfId="2" applyFont="1" applyFill="1" applyBorder="1" applyAlignment="1">
      <alignment horizontal="right"/>
    </xf>
    <xf numFmtId="0" fontId="243" fillId="95" borderId="25" xfId="2" applyFont="1" applyFill="1" applyBorder="1" applyAlignment="1">
      <alignment horizontal="center"/>
    </xf>
    <xf numFmtId="0" fontId="243" fillId="19" borderId="25" xfId="2" applyFont="1" applyFill="1" applyBorder="1" applyAlignment="1">
      <alignment horizontal="right"/>
    </xf>
    <xf numFmtId="0" fontId="243" fillId="19" borderId="26" xfId="2" applyFont="1" applyFill="1" applyBorder="1"/>
    <xf numFmtId="0" fontId="248" fillId="0" borderId="122" xfId="2" applyFont="1" applyBorder="1" applyAlignment="1">
      <alignment horizontal="right"/>
    </xf>
    <xf numFmtId="0" fontId="250" fillId="84" borderId="138" xfId="2" applyFont="1" applyFill="1" applyBorder="1" applyAlignment="1">
      <alignment horizontal="center"/>
    </xf>
    <xf numFmtId="0" fontId="250" fillId="84" borderId="115" xfId="2" applyFont="1" applyFill="1" applyBorder="1" applyAlignment="1">
      <alignment horizontal="center"/>
    </xf>
    <xf numFmtId="0" fontId="250" fillId="84" borderId="139" xfId="2" applyFont="1" applyFill="1" applyBorder="1" applyAlignment="1">
      <alignment horizontal="center"/>
    </xf>
    <xf numFmtId="0" fontId="190" fillId="4" borderId="24" xfId="2" applyFont="1" applyFill="1" applyBorder="1"/>
    <xf numFmtId="0" fontId="249" fillId="4" borderId="25" xfId="2" applyFont="1" applyFill="1" applyBorder="1" applyAlignment="1">
      <alignment horizontal="center"/>
    </xf>
    <xf numFmtId="0" fontId="189" fillId="4" borderId="26" xfId="2" applyFont="1" applyFill="1" applyBorder="1" applyAlignment="1">
      <alignment horizontal="right"/>
    </xf>
    <xf numFmtId="0" fontId="190" fillId="3" borderId="24" xfId="2" applyFont="1" applyFill="1" applyBorder="1"/>
    <xf numFmtId="0" fontId="249" fillId="3" borderId="25" xfId="2" applyFont="1" applyFill="1" applyBorder="1" applyAlignment="1">
      <alignment horizontal="center"/>
    </xf>
    <xf numFmtId="0" fontId="189" fillId="3" borderId="26" xfId="2" applyFont="1" applyFill="1" applyBorder="1" applyAlignment="1">
      <alignment horizontal="right"/>
    </xf>
    <xf numFmtId="0" fontId="190" fillId="19" borderId="140" xfId="2" applyFont="1" applyFill="1" applyBorder="1"/>
    <xf numFmtId="0" fontId="190" fillId="19" borderId="122" xfId="2" applyFont="1" applyFill="1" applyBorder="1" applyAlignment="1">
      <alignment horizontal="center"/>
    </xf>
    <xf numFmtId="0" fontId="190" fillId="19" borderId="122" xfId="2" applyFont="1" applyFill="1" applyBorder="1" applyAlignment="1">
      <alignment horizontal="right"/>
    </xf>
    <xf numFmtId="0" fontId="190" fillId="19" borderId="122" xfId="2" applyFont="1" applyFill="1" applyBorder="1"/>
    <xf numFmtId="0" fontId="190" fillId="19" borderId="141" xfId="2" applyFont="1" applyFill="1" applyBorder="1"/>
    <xf numFmtId="0" fontId="167" fillId="4" borderId="26" xfId="2" applyFill="1" applyBorder="1" applyAlignment="1">
      <alignment horizontal="center"/>
    </xf>
    <xf numFmtId="0" fontId="251" fillId="3" borderId="26" xfId="2" applyFont="1" applyFill="1" applyBorder="1"/>
    <xf numFmtId="0" fontId="251" fillId="4" borderId="26" xfId="2" applyFont="1" applyFill="1" applyBorder="1"/>
    <xf numFmtId="0" fontId="189" fillId="3" borderId="140" xfId="2" applyFont="1" applyFill="1" applyBorder="1"/>
    <xf numFmtId="0" fontId="167" fillId="3" borderId="122" xfId="2" applyFill="1" applyBorder="1" applyAlignment="1">
      <alignment horizontal="center"/>
    </xf>
    <xf numFmtId="0" fontId="252" fillId="3" borderId="141" xfId="2" applyFont="1" applyFill="1" applyBorder="1"/>
    <xf numFmtId="0" fontId="190" fillId="4" borderId="24" xfId="2" applyFont="1" applyFill="1" applyBorder="1" applyAlignment="1">
      <alignment horizontal="center"/>
    </xf>
    <xf numFmtId="0" fontId="190" fillId="4" borderId="25" xfId="2" applyFont="1" applyFill="1" applyBorder="1"/>
    <xf numFmtId="0" fontId="189" fillId="4" borderId="25" xfId="2" applyFont="1" applyFill="1" applyBorder="1"/>
    <xf numFmtId="0" fontId="190" fillId="4" borderId="25" xfId="2" applyFont="1" applyFill="1" applyBorder="1" applyAlignment="1">
      <alignment horizontal="center"/>
    </xf>
    <xf numFmtId="0" fontId="248" fillId="4" borderId="25" xfId="2" applyFont="1" applyFill="1" applyBorder="1"/>
    <xf numFmtId="0" fontId="190" fillId="3" borderId="24" xfId="2" applyFont="1" applyFill="1" applyBorder="1" applyAlignment="1">
      <alignment horizontal="center"/>
    </xf>
    <xf numFmtId="0" fontId="190" fillId="3" borderId="25" xfId="2" applyFont="1" applyFill="1" applyBorder="1"/>
    <xf numFmtId="0" fontId="189" fillId="3" borderId="25" xfId="2" applyFont="1" applyFill="1" applyBorder="1"/>
    <xf numFmtId="0" fontId="190" fillId="3" borderId="25" xfId="2" applyFont="1" applyFill="1" applyBorder="1" applyAlignment="1">
      <alignment horizontal="center"/>
    </xf>
    <xf numFmtId="0" fontId="248" fillId="3" borderId="25" xfId="2" applyFont="1" applyFill="1" applyBorder="1"/>
    <xf numFmtId="0" fontId="190" fillId="4" borderId="140" xfId="2" applyFont="1" applyFill="1" applyBorder="1" applyAlignment="1">
      <alignment horizontal="center"/>
    </xf>
    <xf numFmtId="0" fontId="190" fillId="4" borderId="122" xfId="2" applyFont="1" applyFill="1" applyBorder="1"/>
    <xf numFmtId="0" fontId="189" fillId="4" borderId="122" xfId="2" applyFont="1" applyFill="1" applyBorder="1"/>
    <xf numFmtId="0" fontId="189" fillId="4" borderId="122" xfId="2" applyFont="1" applyFill="1" applyBorder="1" applyAlignment="1">
      <alignment horizontal="right"/>
    </xf>
    <xf numFmtId="0" fontId="190" fillId="4" borderId="122" xfId="2" applyFont="1" applyFill="1" applyBorder="1" applyAlignment="1">
      <alignment horizontal="center"/>
    </xf>
    <xf numFmtId="0" fontId="248" fillId="4" borderId="122" xfId="2" applyFont="1" applyFill="1" applyBorder="1"/>
    <xf numFmtId="0" fontId="251" fillId="4" borderId="141" xfId="2" applyFont="1" applyFill="1" applyBorder="1"/>
    <xf numFmtId="0" fontId="253" fillId="3" borderId="0" xfId="2" applyFont="1" applyFill="1"/>
    <xf numFmtId="0" fontId="245" fillId="91" borderId="115" xfId="2" applyFont="1" applyFill="1" applyBorder="1" applyAlignment="1">
      <alignment horizontal="center"/>
    </xf>
    <xf numFmtId="0" fontId="245" fillId="92" borderId="115" xfId="2" applyFont="1" applyFill="1" applyBorder="1" applyAlignment="1">
      <alignment horizontal="center"/>
    </xf>
    <xf numFmtId="0" fontId="245" fillId="92" borderId="139" xfId="2" applyFont="1" applyFill="1" applyBorder="1" applyAlignment="1">
      <alignment horizontal="center"/>
    </xf>
    <xf numFmtId="0" fontId="205" fillId="0" borderId="0" xfId="0" applyFont="1"/>
    <xf numFmtId="0" fontId="0" fillId="0" borderId="0" xfId="0"/>
    <xf numFmtId="0" fontId="245" fillId="14" borderId="115" xfId="2" applyFont="1" applyFill="1" applyBorder="1" applyAlignment="1">
      <alignment horizontal="center"/>
    </xf>
    <xf numFmtId="0" fontId="245" fillId="88" borderId="115" xfId="2" applyFont="1" applyFill="1" applyBorder="1" applyAlignment="1">
      <alignment horizontal="center"/>
    </xf>
    <xf numFmtId="0" fontId="245" fillId="37" borderId="115" xfId="2" applyFont="1" applyFill="1" applyBorder="1" applyAlignment="1">
      <alignment horizontal="center"/>
    </xf>
    <xf numFmtId="0" fontId="245" fillId="34" borderId="115" xfId="2" applyFont="1" applyFill="1" applyBorder="1" applyAlignment="1">
      <alignment horizontal="center"/>
    </xf>
    <xf numFmtId="0" fontId="169" fillId="0" borderId="25" xfId="2" applyFont="1" applyBorder="1" applyAlignment="1">
      <alignment horizontal="left" vertical="center" wrapText="1"/>
    </xf>
    <xf numFmtId="0" fontId="170" fillId="0" borderId="25" xfId="2" applyFont="1" applyBorder="1" applyAlignment="1">
      <alignment horizontal="left" vertical="center" wrapText="1"/>
    </xf>
    <xf numFmtId="0" fontId="176" fillId="0" borderId="0" xfId="2" applyFont="1"/>
    <xf numFmtId="0" fontId="178" fillId="0" borderId="0" xfId="2" applyFont="1"/>
    <xf numFmtId="0" fontId="178" fillId="0" borderId="0" xfId="2" applyFont="1" applyAlignment="1">
      <alignment horizontal="right"/>
    </xf>
    <xf numFmtId="0" fontId="178" fillId="0" borderId="0" xfId="2" applyFont="1" applyAlignment="1">
      <alignment horizontal="center"/>
    </xf>
    <xf numFmtId="0" fontId="182" fillId="0" borderId="0" xfId="2" applyFont="1" applyAlignment="1">
      <alignment horizontal="center" vertical="center" wrapText="1"/>
    </xf>
    <xf numFmtId="0" fontId="177" fillId="58" borderId="0" xfId="2" applyFont="1" applyFill="1"/>
    <xf numFmtId="0" fontId="177" fillId="73" borderId="0" xfId="2" applyFont="1" applyFill="1"/>
    <xf numFmtId="0" fontId="177" fillId="65" borderId="0" xfId="2" applyFont="1" applyFill="1"/>
    <xf numFmtId="0" fontId="177" fillId="74" borderId="0" xfId="2" applyFont="1" applyFill="1"/>
    <xf numFmtId="0" fontId="177" fillId="75" borderId="0" xfId="2" applyFont="1" applyFill="1"/>
    <xf numFmtId="0" fontId="181" fillId="0" borderId="0" xfId="2" applyFont="1"/>
    <xf numFmtId="0" fontId="172" fillId="58" borderId="25" xfId="2" applyFont="1" applyFill="1" applyBorder="1" applyAlignment="1">
      <alignment horizontal="center" vertical="center" wrapText="1"/>
    </xf>
    <xf numFmtId="0" fontId="172" fillId="73" borderId="25" xfId="2" applyFont="1" applyFill="1" applyBorder="1" applyAlignment="1">
      <alignment horizontal="center" vertical="center" wrapText="1"/>
    </xf>
    <xf numFmtId="0" fontId="172" fillId="65" borderId="25" xfId="2" applyFont="1" applyFill="1" applyBorder="1" applyAlignment="1">
      <alignment horizontal="center" vertical="center" wrapText="1"/>
    </xf>
    <xf numFmtId="0" fontId="172" fillId="74" borderId="25" xfId="2" applyFont="1" applyFill="1" applyBorder="1" applyAlignment="1">
      <alignment horizontal="center" vertical="center" wrapText="1"/>
    </xf>
    <xf numFmtId="0" fontId="172" fillId="75" borderId="25" xfId="2" applyFont="1" applyFill="1" applyBorder="1" applyAlignment="1">
      <alignment horizontal="center" vertical="center" wrapText="1"/>
    </xf>
    <xf numFmtId="0" fontId="172" fillId="76" borderId="25" xfId="2" applyFont="1" applyFill="1" applyBorder="1" applyAlignment="1">
      <alignment horizontal="center" vertical="center" wrapText="1"/>
    </xf>
    <xf numFmtId="0" fontId="168" fillId="72" borderId="0" xfId="2" applyFont="1" applyFill="1" applyAlignment="1">
      <alignment horizontal="left" vertical="center"/>
    </xf>
    <xf numFmtId="0" fontId="4" fillId="49" borderId="78" xfId="0" applyFont="1" applyFill="1" applyBorder="1" applyAlignment="1">
      <alignment horizontal="left"/>
    </xf>
    <xf numFmtId="0" fontId="4" fillId="49" borderId="69" xfId="0" applyFont="1" applyFill="1" applyBorder="1" applyAlignment="1">
      <alignment horizontal="left"/>
    </xf>
    <xf numFmtId="0" fontId="4" fillId="49" borderId="76" xfId="0" applyFont="1" applyFill="1" applyBorder="1" applyAlignment="1">
      <alignment horizontal="left"/>
    </xf>
    <xf numFmtId="0" fontId="153" fillId="42" borderId="78" xfId="0" applyFont="1" applyFill="1" applyBorder="1" applyAlignment="1">
      <alignment horizontal="left"/>
    </xf>
    <xf numFmtId="0" fontId="153" fillId="42" borderId="69" xfId="0" applyFont="1" applyFill="1" applyBorder="1" applyAlignment="1">
      <alignment horizontal="left"/>
    </xf>
    <xf numFmtId="0" fontId="153" fillId="42" borderId="76" xfId="0" applyFont="1" applyFill="1" applyBorder="1" applyAlignment="1">
      <alignment horizontal="left"/>
    </xf>
    <xf numFmtId="0" fontId="142" fillId="43" borderId="69" xfId="0" applyFont="1" applyFill="1" applyBorder="1" applyAlignment="1">
      <alignment horizontal="left" vertical="center"/>
    </xf>
    <xf numFmtId="0" fontId="138" fillId="43" borderId="76" xfId="0" applyFont="1" applyFill="1" applyBorder="1" applyAlignment="1">
      <alignment horizontal="left" vertical="center"/>
    </xf>
    <xf numFmtId="168" fontId="148" fillId="43" borderId="100" xfId="0" applyNumberFormat="1" applyFont="1" applyFill="1" applyBorder="1" applyAlignment="1">
      <alignment horizontal="left" vertical="center"/>
    </xf>
    <xf numFmtId="168" fontId="138" fillId="43" borderId="101" xfId="0" applyNumberFormat="1" applyFont="1" applyFill="1" applyBorder="1" applyAlignment="1">
      <alignment horizontal="left" vertical="center"/>
    </xf>
    <xf numFmtId="0" fontId="144" fillId="43" borderId="0" xfId="0" applyFont="1" applyFill="1" applyAlignment="1">
      <alignment horizontal="left"/>
    </xf>
    <xf numFmtId="0" fontId="138" fillId="43" borderId="0" xfId="0" applyFont="1" applyFill="1" applyAlignment="1">
      <alignment horizontal="left"/>
    </xf>
    <xf numFmtId="0" fontId="149" fillId="43" borderId="0" xfId="0" applyFont="1" applyFill="1" applyAlignment="1">
      <alignment horizontal="left"/>
    </xf>
    <xf numFmtId="0" fontId="4" fillId="42" borderId="78" xfId="0" applyFont="1" applyFill="1" applyBorder="1" applyAlignment="1">
      <alignment horizontal="left"/>
    </xf>
    <xf numFmtId="0" fontId="4" fillId="42" borderId="69" xfId="0" applyFont="1" applyFill="1" applyBorder="1" applyAlignment="1">
      <alignment horizontal="left"/>
    </xf>
    <xf numFmtId="0" fontId="4" fillId="42" borderId="76" xfId="0" applyFont="1" applyFill="1" applyBorder="1" applyAlignment="1">
      <alignment horizontal="left"/>
    </xf>
    <xf numFmtId="0" fontId="4" fillId="46" borderId="71" xfId="0" applyFont="1" applyFill="1" applyBorder="1" applyAlignment="1">
      <alignment horizontal="left"/>
    </xf>
    <xf numFmtId="0" fontId="4" fillId="46" borderId="99" xfId="0" applyFont="1" applyFill="1" applyBorder="1" applyAlignment="1">
      <alignment horizontal="left"/>
    </xf>
    <xf numFmtId="0" fontId="4" fillId="46" borderId="77" xfId="0" applyFont="1" applyFill="1" applyBorder="1" applyAlignment="1">
      <alignment horizontal="left"/>
    </xf>
    <xf numFmtId="0" fontId="145" fillId="43" borderId="0" xfId="0" applyFont="1" applyFill="1" applyAlignment="1">
      <alignment horizontal="left"/>
    </xf>
    <xf numFmtId="0" fontId="147" fillId="43" borderId="0" xfId="0" applyFont="1" applyFill="1" applyAlignment="1">
      <alignment horizontal="left"/>
    </xf>
    <xf numFmtId="0" fontId="140" fillId="42" borderId="78" xfId="0" applyFont="1" applyFill="1" applyBorder="1" applyAlignment="1">
      <alignment horizontal="left"/>
    </xf>
    <xf numFmtId="0" fontId="140" fillId="42" borderId="69" xfId="0" applyFont="1" applyFill="1" applyBorder="1" applyAlignment="1">
      <alignment horizontal="left"/>
    </xf>
    <xf numFmtId="0" fontId="140" fillId="42" borderId="76" xfId="0" applyFont="1" applyFill="1" applyBorder="1" applyAlignment="1">
      <alignment horizontal="left"/>
    </xf>
    <xf numFmtId="0" fontId="141" fillId="42" borderId="70" xfId="0" applyFont="1" applyFill="1" applyBorder="1" applyAlignment="1">
      <alignment horizontal="left"/>
    </xf>
    <xf numFmtId="0" fontId="141" fillId="42" borderId="100" xfId="0" applyFont="1" applyFill="1" applyBorder="1" applyAlignment="1">
      <alignment horizontal="left"/>
    </xf>
    <xf numFmtId="0" fontId="141" fillId="42" borderId="101" xfId="0" applyFont="1" applyFill="1" applyBorder="1" applyAlignment="1">
      <alignment horizontal="left"/>
    </xf>
    <xf numFmtId="0" fontId="142" fillId="43" borderId="78" xfId="0" applyFont="1" applyFill="1" applyBorder="1" applyAlignment="1">
      <alignment horizontal="left" vertical="center"/>
    </xf>
    <xf numFmtId="0" fontId="138" fillId="43" borderId="69" xfId="0" applyFont="1" applyFill="1" applyBorder="1" applyAlignment="1">
      <alignment horizontal="left" vertical="center"/>
    </xf>
    <xf numFmtId="1" fontId="143" fillId="43" borderId="70" xfId="0" applyNumberFormat="1" applyFont="1" applyFill="1" applyBorder="1" applyAlignment="1">
      <alignment horizontal="left" vertical="center"/>
    </xf>
    <xf numFmtId="1" fontId="138" fillId="43" borderId="100" xfId="0" applyNumberFormat="1" applyFont="1" applyFill="1" applyBorder="1" applyAlignment="1">
      <alignment horizontal="left" vertical="center"/>
    </xf>
    <xf numFmtId="0" fontId="146" fillId="43" borderId="100" xfId="0" applyFont="1" applyFill="1" applyBorder="1" applyAlignment="1">
      <alignment horizontal="left" vertical="center"/>
    </xf>
    <xf numFmtId="3" fontId="138" fillId="43" borderId="100" xfId="0" applyNumberFormat="1" applyFont="1" applyFill="1" applyBorder="1" applyAlignment="1">
      <alignment horizontal="left" vertical="center"/>
    </xf>
    <xf numFmtId="0" fontId="6" fillId="2" borderId="0" xfId="0" applyFont="1" applyFill="1" applyAlignment="1">
      <alignment horizontal="center"/>
    </xf>
    <xf numFmtId="0" fontId="0" fillId="2" borderId="0" xfId="0" applyFill="1"/>
    <xf numFmtId="0" fontId="8" fillId="5" borderId="0" xfId="0" applyFont="1" applyFill="1" applyAlignment="1">
      <alignment horizontal="center"/>
    </xf>
    <xf numFmtId="0" fontId="0" fillId="5" borderId="0" xfId="0" applyFill="1"/>
    <xf numFmtId="0" fontId="13" fillId="9" borderId="0" xfId="0" applyFont="1" applyFill="1"/>
    <xf numFmtId="0" fontId="0" fillId="9" borderId="0" xfId="0" applyFill="1"/>
    <xf numFmtId="0" fontId="4" fillId="2" borderId="57" xfId="0" applyFont="1" applyFill="1" applyBorder="1"/>
    <xf numFmtId="0" fontId="0" fillId="2" borderId="58" xfId="0" applyFill="1" applyBorder="1"/>
    <xf numFmtId="0" fontId="5" fillId="0" borderId="0" xfId="0" applyFont="1"/>
    <xf numFmtId="3" fontId="5" fillId="0" borderId="0" xfId="0" applyNumberFormat="1" applyFont="1"/>
    <xf numFmtId="0" fontId="5" fillId="15" borderId="0" xfId="0" applyFont="1" applyFill="1"/>
    <xf numFmtId="0" fontId="27" fillId="15" borderId="0" xfId="0" applyFont="1" applyFill="1"/>
    <xf numFmtId="0" fontId="29" fillId="15" borderId="0" xfId="0" applyFont="1" applyFill="1"/>
    <xf numFmtId="0" fontId="50" fillId="15" borderId="3" xfId="0" applyFont="1" applyFill="1" applyBorder="1" applyAlignment="1">
      <alignment horizontal="center" vertical="center"/>
    </xf>
    <xf numFmtId="0" fontId="35" fillId="15" borderId="0" xfId="0" applyFont="1" applyFill="1" applyAlignment="1">
      <alignment horizontal="left" vertical="center"/>
    </xf>
    <xf numFmtId="0" fontId="36" fillId="15" borderId="0" xfId="0" applyFont="1" applyFill="1" applyAlignment="1">
      <alignment vertical="center"/>
    </xf>
    <xf numFmtId="0" fontId="51" fillId="15" borderId="0" xfId="0" applyFont="1" applyFill="1" applyAlignment="1">
      <alignment vertical="center"/>
    </xf>
    <xf numFmtId="165" fontId="36" fillId="15" borderId="0" xfId="0" applyNumberFormat="1" applyFont="1" applyFill="1" applyAlignment="1">
      <alignment vertical="center"/>
    </xf>
    <xf numFmtId="0" fontId="37" fillId="19" borderId="3" xfId="0" applyFont="1" applyFill="1" applyBorder="1" applyAlignment="1">
      <alignment horizontal="center" vertical="center"/>
    </xf>
    <xf numFmtId="0" fontId="37" fillId="19" borderId="0" xfId="0" applyFont="1" applyFill="1" applyAlignment="1">
      <alignment horizontal="center" vertical="center"/>
    </xf>
    <xf numFmtId="165" fontId="37" fillId="19" borderId="0" xfId="0" applyNumberFormat="1" applyFont="1" applyFill="1" applyAlignment="1">
      <alignment horizontal="center" vertical="center"/>
    </xf>
    <xf numFmtId="0" fontId="48" fillId="3" borderId="3" xfId="0" applyFont="1" applyFill="1" applyBorder="1"/>
    <xf numFmtId="0" fontId="48" fillId="3" borderId="0" xfId="0" applyFont="1" applyFill="1"/>
    <xf numFmtId="165" fontId="48" fillId="3" borderId="0" xfId="0" applyNumberFormat="1" applyFont="1" applyFill="1"/>
    <xf numFmtId="0" fontId="38" fillId="4" borderId="17" xfId="0" applyFont="1" applyFill="1" applyBorder="1" applyAlignment="1">
      <alignment horizontal="center"/>
    </xf>
    <xf numFmtId="0" fontId="38" fillId="4" borderId="14" xfId="0" applyFont="1" applyFill="1" applyBorder="1" applyAlignment="1">
      <alignment horizontal="center"/>
    </xf>
    <xf numFmtId="0" fontId="38" fillId="4" borderId="15" xfId="0" applyFont="1" applyFill="1" applyBorder="1" applyAlignment="1">
      <alignment horizontal="center"/>
    </xf>
    <xf numFmtId="0" fontId="38" fillId="17" borderId="17" xfId="0" applyFont="1" applyFill="1" applyBorder="1" applyAlignment="1">
      <alignment horizontal="center"/>
    </xf>
    <xf numFmtId="0" fontId="38" fillId="17" borderId="14" xfId="0" applyFont="1" applyFill="1" applyBorder="1" applyAlignment="1">
      <alignment horizontal="center"/>
    </xf>
    <xf numFmtId="0" fontId="38" fillId="17" borderId="15" xfId="0" applyFont="1" applyFill="1" applyBorder="1" applyAlignment="1">
      <alignment horizontal="center"/>
    </xf>
    <xf numFmtId="0" fontId="38" fillId="18" borderId="17" xfId="0" applyFont="1" applyFill="1" applyBorder="1" applyAlignment="1">
      <alignment horizontal="center"/>
    </xf>
    <xf numFmtId="0" fontId="38" fillId="18" borderId="14" xfId="0" applyFont="1" applyFill="1" applyBorder="1" applyAlignment="1">
      <alignment horizontal="center"/>
    </xf>
    <xf numFmtId="0" fontId="38" fillId="18" borderId="15" xfId="0" applyFont="1" applyFill="1" applyBorder="1" applyAlignment="1">
      <alignment horizontal="center"/>
    </xf>
    <xf numFmtId="0" fontId="38" fillId="19" borderId="17" xfId="0" applyFont="1" applyFill="1" applyBorder="1" applyAlignment="1">
      <alignment horizontal="center"/>
    </xf>
    <xf numFmtId="0" fontId="38" fillId="19" borderId="14" xfId="0" applyFont="1" applyFill="1" applyBorder="1" applyAlignment="1">
      <alignment horizontal="center"/>
    </xf>
    <xf numFmtId="0" fontId="38" fillId="19" borderId="15" xfId="0" applyFont="1" applyFill="1" applyBorder="1" applyAlignment="1">
      <alignment horizontal="center"/>
    </xf>
    <xf numFmtId="0" fontId="40" fillId="16" borderId="17" xfId="0" applyFont="1" applyFill="1" applyBorder="1" applyAlignment="1">
      <alignment horizontal="center"/>
    </xf>
    <xf numFmtId="2" fontId="40" fillId="16" borderId="14" xfId="0" applyNumberFormat="1" applyFont="1" applyFill="1" applyBorder="1" applyAlignment="1">
      <alignment horizontal="center"/>
    </xf>
    <xf numFmtId="2" fontId="40" fillId="16" borderId="15" xfId="0" applyNumberFormat="1" applyFont="1" applyFill="1" applyBorder="1" applyAlignment="1">
      <alignment horizontal="center"/>
    </xf>
    <xf numFmtId="0" fontId="24" fillId="15" borderId="3" xfId="0" applyFont="1" applyFill="1" applyBorder="1" applyAlignment="1">
      <alignment horizontal="center"/>
    </xf>
    <xf numFmtId="0" fontId="24" fillId="15" borderId="0" xfId="0" applyFont="1" applyFill="1" applyAlignment="1">
      <alignment horizontal="center"/>
    </xf>
    <xf numFmtId="0" fontId="25" fillId="16" borderId="3" xfId="0" applyFont="1" applyFill="1" applyBorder="1" applyAlignment="1">
      <alignment horizontal="center"/>
    </xf>
    <xf numFmtId="0" fontId="25" fillId="16" borderId="0" xfId="0" applyFont="1" applyFill="1" applyAlignment="1">
      <alignment horizontal="center"/>
    </xf>
    <xf numFmtId="0" fontId="34" fillId="14" borderId="3" xfId="0" applyFont="1" applyFill="1" applyBorder="1" applyAlignment="1">
      <alignment horizontal="left"/>
    </xf>
    <xf numFmtId="0" fontId="31" fillId="14" borderId="0" xfId="0" applyFont="1" applyFill="1" applyAlignment="1">
      <alignment horizontal="left"/>
    </xf>
    <xf numFmtId="0" fontId="31" fillId="14" borderId="0" xfId="0" applyFont="1" applyFill="1"/>
    <xf numFmtId="165" fontId="31" fillId="14" borderId="0" xfId="0" applyNumberFormat="1" applyFont="1" applyFill="1"/>
    <xf numFmtId="0" fontId="74" fillId="4" borderId="3" xfId="0" applyFont="1" applyFill="1" applyBorder="1" applyAlignment="1">
      <alignment horizontal="center"/>
    </xf>
    <xf numFmtId="0" fontId="74" fillId="4" borderId="0" xfId="0" applyFont="1" applyFill="1" applyAlignment="1">
      <alignment horizontal="center"/>
    </xf>
    <xf numFmtId="165" fontId="74" fillId="4" borderId="0" xfId="0" applyNumberFormat="1" applyFont="1" applyFill="1" applyAlignment="1">
      <alignment horizontal="center"/>
    </xf>
    <xf numFmtId="0" fontId="45" fillId="4" borderId="3" xfId="0" applyFont="1" applyFill="1" applyBorder="1" applyAlignment="1">
      <alignment horizontal="center"/>
    </xf>
    <xf numFmtId="0" fontId="45" fillId="4" borderId="0" xfId="0" applyFont="1" applyFill="1" applyAlignment="1">
      <alignment horizontal="center"/>
    </xf>
    <xf numFmtId="165" fontId="45" fillId="4" borderId="0" xfId="0" applyNumberFormat="1" applyFont="1" applyFill="1" applyAlignment="1">
      <alignment horizontal="center"/>
    </xf>
    <xf numFmtId="0" fontId="4" fillId="4" borderId="3" xfId="0" applyFont="1" applyFill="1" applyBorder="1"/>
    <xf numFmtId="0" fontId="4" fillId="4" borderId="0" xfId="0" applyFont="1" applyFill="1"/>
    <xf numFmtId="0" fontId="34" fillId="20" borderId="3" xfId="0" applyFont="1" applyFill="1" applyBorder="1"/>
    <xf numFmtId="0" fontId="34" fillId="20" borderId="0" xfId="0" applyFont="1" applyFill="1" applyAlignment="1">
      <alignment horizontal="left"/>
    </xf>
    <xf numFmtId="0" fontId="34" fillId="20" borderId="0" xfId="0" applyFont="1" applyFill="1"/>
    <xf numFmtId="165" fontId="34" fillId="20" borderId="0" xfId="0" applyNumberFormat="1" applyFont="1" applyFill="1"/>
    <xf numFmtId="0" fontId="33" fillId="17" borderId="3" xfId="0" applyFont="1" applyFill="1" applyBorder="1" applyAlignment="1">
      <alignment horizontal="center"/>
    </xf>
    <xf numFmtId="0" fontId="34" fillId="17" borderId="0" xfId="0" applyFont="1" applyFill="1" applyAlignment="1">
      <alignment horizontal="left"/>
    </xf>
    <xf numFmtId="165" fontId="42" fillId="17" borderId="0" xfId="0" applyNumberFormat="1" applyFont="1" applyFill="1" applyAlignment="1">
      <alignment horizontal="right"/>
    </xf>
    <xf numFmtId="165" fontId="43" fillId="17" borderId="0" xfId="0" applyNumberFormat="1" applyFont="1" applyFill="1" applyAlignment="1">
      <alignment horizontal="right"/>
    </xf>
    <xf numFmtId="165" fontId="38" fillId="17" borderId="0" xfId="0" applyNumberFormat="1" applyFont="1" applyFill="1" applyAlignment="1">
      <alignment horizontal="right"/>
    </xf>
    <xf numFmtId="0" fontId="33" fillId="17" borderId="0" xfId="0" applyFont="1" applyFill="1" applyAlignment="1">
      <alignment horizontal="center"/>
    </xf>
    <xf numFmtId="165" fontId="34" fillId="17" borderId="0" xfId="0" applyNumberFormat="1" applyFont="1" applyFill="1" applyAlignment="1">
      <alignment horizontal="center"/>
    </xf>
    <xf numFmtId="0" fontId="27" fillId="14" borderId="3" xfId="0" applyFont="1" applyFill="1" applyBorder="1" applyAlignment="1">
      <alignment horizontal="left"/>
    </xf>
    <xf numFmtId="0" fontId="0" fillId="14" borderId="0" xfId="0" applyFill="1"/>
    <xf numFmtId="0" fontId="36" fillId="14" borderId="0" xfId="0" applyFont="1" applyFill="1" applyAlignment="1">
      <alignment horizontal="left"/>
    </xf>
    <xf numFmtId="0" fontId="36" fillId="14" borderId="0" xfId="0" applyFont="1" applyFill="1"/>
    <xf numFmtId="165" fontId="36" fillId="14" borderId="0" xfId="0" applyNumberFormat="1" applyFont="1" applyFill="1"/>
    <xf numFmtId="0" fontId="32" fillId="14" borderId="0" xfId="0" applyFont="1" applyFill="1" applyAlignment="1">
      <alignment horizontal="left"/>
    </xf>
    <xf numFmtId="0" fontId="32" fillId="14" borderId="0" xfId="0" applyFont="1" applyFill="1"/>
    <xf numFmtId="165" fontId="32" fillId="14" borderId="0" xfId="0" applyNumberFormat="1" applyFont="1" applyFill="1"/>
    <xf numFmtId="0" fontId="72" fillId="4" borderId="0" xfId="0" applyFont="1" applyFill="1"/>
    <xf numFmtId="0" fontId="56" fillId="4" borderId="0" xfId="0" applyFont="1" applyFill="1"/>
    <xf numFmtId="0" fontId="72" fillId="17" borderId="0" xfId="0" applyFont="1" applyFill="1"/>
    <xf numFmtId="0" fontId="56" fillId="17" borderId="0" xfId="0" applyFont="1" applyFill="1"/>
    <xf numFmtId="0" fontId="55" fillId="15" borderId="0" xfId="0" applyFont="1" applyFill="1" applyAlignment="1">
      <alignment horizontal="center" vertical="center"/>
    </xf>
    <xf numFmtId="0" fontId="56" fillId="15" borderId="0" xfId="0" applyFont="1" applyFill="1" applyAlignment="1">
      <alignment vertical="center"/>
    </xf>
    <xf numFmtId="0" fontId="57" fillId="16" borderId="0" xfId="0" applyFont="1" applyFill="1" applyAlignment="1">
      <alignment horizontal="center"/>
    </xf>
    <xf numFmtId="0" fontId="56" fillId="16" borderId="0" xfId="0" applyFont="1" applyFill="1"/>
    <xf numFmtId="0" fontId="58" fillId="14" borderId="68" xfId="0" applyFont="1" applyFill="1" applyBorder="1" applyAlignment="1">
      <alignment horizontal="left"/>
    </xf>
    <xf numFmtId="0" fontId="56" fillId="14" borderId="0" xfId="0" applyFont="1" applyFill="1"/>
    <xf numFmtId="0" fontId="58" fillId="14" borderId="71" xfId="0" applyFont="1" applyFill="1" applyBorder="1" applyAlignment="1">
      <alignment horizontal="left"/>
    </xf>
    <xf numFmtId="0" fontId="56" fillId="14" borderId="99" xfId="0" applyFont="1" applyFill="1" applyBorder="1"/>
    <xf numFmtId="0" fontId="56" fillId="14" borderId="77" xfId="0" applyFont="1" applyFill="1" applyBorder="1"/>
    <xf numFmtId="0" fontId="181" fillId="0" borderId="71" xfId="2" applyFont="1" applyBorder="1"/>
    <xf numFmtId="0" fontId="181" fillId="0" borderId="99" xfId="2" applyFont="1" applyBorder="1"/>
    <xf numFmtId="0" fontId="181" fillId="0" borderId="77" xfId="2" applyFont="1" applyBorder="1"/>
    <xf numFmtId="0" fontId="176" fillId="0" borderId="71" xfId="2" applyFont="1" applyBorder="1"/>
    <xf numFmtId="0" fontId="176" fillId="0" borderId="99" xfId="2" applyFont="1" applyBorder="1"/>
    <xf numFmtId="0" fontId="176" fillId="0" borderId="77" xfId="2" applyFont="1" applyBorder="1"/>
    <xf numFmtId="0" fontId="188" fillId="0" borderId="0" xfId="2" applyFont="1" applyAlignment="1">
      <alignment horizontal="center" vertical="center" wrapText="1"/>
    </xf>
    <xf numFmtId="0" fontId="179" fillId="0" borderId="0" xfId="2" applyFont="1" applyAlignment="1">
      <alignment horizontal="left" vertical="center" wrapText="1"/>
    </xf>
    <xf numFmtId="0" fontId="177" fillId="67" borderId="71" xfId="2" applyFont="1" applyFill="1" applyBorder="1"/>
    <xf numFmtId="0" fontId="177" fillId="67" borderId="99" xfId="2" applyFont="1" applyFill="1" applyBorder="1"/>
    <xf numFmtId="0" fontId="177" fillId="67" borderId="77" xfId="2" applyFont="1" applyFill="1" applyBorder="1"/>
    <xf numFmtId="0" fontId="180" fillId="0" borderId="0" xfId="2" applyFont="1"/>
    <xf numFmtId="0" fontId="177" fillId="65" borderId="71" xfId="2" applyFont="1" applyFill="1" applyBorder="1"/>
    <xf numFmtId="0" fontId="177" fillId="65" borderId="99" xfId="2" applyFont="1" applyFill="1" applyBorder="1"/>
    <xf numFmtId="0" fontId="177" fillId="65" borderId="77" xfId="2" applyFont="1" applyFill="1" applyBorder="1"/>
    <xf numFmtId="0" fontId="168" fillId="55" borderId="78" xfId="2" applyFont="1" applyFill="1" applyBorder="1" applyAlignment="1">
      <alignment horizontal="left" vertical="center"/>
    </xf>
    <xf numFmtId="0" fontId="168" fillId="55" borderId="69" xfId="2" applyFont="1" applyFill="1" applyBorder="1" applyAlignment="1">
      <alignment horizontal="left" vertical="center"/>
    </xf>
    <xf numFmtId="0" fontId="168" fillId="55" borderId="76" xfId="2" applyFont="1" applyFill="1" applyBorder="1" applyAlignment="1">
      <alignment horizontal="left" vertical="center"/>
    </xf>
    <xf numFmtId="0" fontId="171" fillId="0" borderId="72" xfId="2" applyFont="1" applyBorder="1" applyAlignment="1">
      <alignment horizontal="left" vertical="center" wrapText="1"/>
    </xf>
    <xf numFmtId="0" fontId="171" fillId="0" borderId="0" xfId="2" applyFont="1" applyAlignment="1">
      <alignment horizontal="left" vertical="center" wrapText="1"/>
    </xf>
    <xf numFmtId="0" fontId="171" fillId="0" borderId="73" xfId="2" applyFont="1" applyBorder="1" applyAlignment="1">
      <alignment horizontal="left" vertical="center" wrapText="1"/>
    </xf>
    <xf numFmtId="0" fontId="176" fillId="0" borderId="71" xfId="2" applyFont="1" applyBorder="1" applyAlignment="1">
      <alignment horizontal="left" vertical="center" wrapText="1"/>
    </xf>
    <xf numFmtId="0" fontId="176" fillId="0" borderId="99" xfId="2" applyFont="1" applyBorder="1" applyAlignment="1">
      <alignment horizontal="left" vertical="center" wrapText="1"/>
    </xf>
    <xf numFmtId="0" fontId="176" fillId="0" borderId="77" xfId="2" applyFont="1" applyBorder="1" applyAlignment="1">
      <alignment horizontal="left" vertical="center" wrapText="1"/>
    </xf>
    <xf numFmtId="0" fontId="177" fillId="62" borderId="71" xfId="2" applyFont="1" applyFill="1" applyBorder="1"/>
    <xf numFmtId="0" fontId="177" fillId="62" borderId="99" xfId="2" applyFont="1" applyFill="1" applyBorder="1"/>
    <xf numFmtId="0" fontId="177" fillId="62" borderId="77" xfId="2" applyFont="1" applyFill="1" applyBorder="1"/>
    <xf numFmtId="0" fontId="196" fillId="42" borderId="71" xfId="0" applyFont="1" applyFill="1" applyBorder="1" applyAlignment="1">
      <alignment horizontal="left" vertical="center"/>
    </xf>
    <xf numFmtId="0" fontId="196" fillId="42" borderId="99" xfId="0" applyFont="1" applyFill="1" applyBorder="1" applyAlignment="1">
      <alignment horizontal="left" vertical="center"/>
    </xf>
    <xf numFmtId="0" fontId="196" fillId="42" borderId="77" xfId="0" applyFont="1" applyFill="1" applyBorder="1" applyAlignment="1">
      <alignment horizontal="left" vertical="center"/>
    </xf>
    <xf numFmtId="0" fontId="15" fillId="0" borderId="0" xfId="0" applyFont="1"/>
    <xf numFmtId="0" fontId="16" fillId="30" borderId="0" xfId="0" applyFont="1" applyFill="1" applyAlignment="1">
      <alignment horizontal="center"/>
    </xf>
    <xf numFmtId="0" fontId="104" fillId="30" borderId="0" xfId="0" applyFont="1" applyFill="1" applyAlignment="1">
      <alignment horizontal="center"/>
    </xf>
    <xf numFmtId="167" fontId="133" fillId="24" borderId="0" xfId="0" applyNumberFormat="1" applyFont="1" applyFill="1" applyAlignment="1">
      <alignment horizontal="center"/>
    </xf>
    <xf numFmtId="0" fontId="133" fillId="24" borderId="0" xfId="0" applyFont="1" applyFill="1" applyAlignment="1">
      <alignment horizontal="center"/>
    </xf>
    <xf numFmtId="0" fontId="4" fillId="10" borderId="0" xfId="0" applyFont="1" applyFill="1"/>
    <xf numFmtId="0" fontId="0" fillId="10" borderId="0" xfId="0" applyFill="1"/>
    <xf numFmtId="0" fontId="135" fillId="10" borderId="0" xfId="0" applyFont="1" applyFill="1"/>
    <xf numFmtId="0" fontId="136" fillId="10" borderId="0" xfId="0" applyFont="1" applyFill="1"/>
    <xf numFmtId="0" fontId="135" fillId="5" borderId="0" xfId="0" applyFont="1" applyFill="1" applyAlignment="1">
      <alignment horizontal="center"/>
    </xf>
    <xf numFmtId="167" fontId="133" fillId="25" borderId="0" xfId="0" applyNumberFormat="1" applyFont="1" applyFill="1" applyAlignment="1">
      <alignment horizontal="center"/>
    </xf>
    <xf numFmtId="0" fontId="133" fillId="25" borderId="0" xfId="0" applyFont="1" applyFill="1" applyAlignment="1">
      <alignment horizontal="center"/>
    </xf>
    <xf numFmtId="0" fontId="228" fillId="2" borderId="131" xfId="0" applyFont="1" applyFill="1" applyBorder="1" applyAlignment="1">
      <alignment horizontal="center"/>
    </xf>
    <xf numFmtId="0" fontId="228" fillId="2" borderId="76" xfId="0" applyFont="1" applyFill="1" applyBorder="1" applyAlignment="1">
      <alignment horizontal="center"/>
    </xf>
    <xf numFmtId="0" fontId="231" fillId="2" borderId="132" xfId="0" applyFont="1" applyFill="1" applyBorder="1" applyAlignment="1">
      <alignment horizontal="center"/>
    </xf>
    <xf numFmtId="0" fontId="231" fillId="2" borderId="73" xfId="0" applyFont="1" applyFill="1" applyBorder="1" applyAlignment="1">
      <alignment horizontal="center"/>
    </xf>
    <xf numFmtId="0" fontId="116" fillId="39" borderId="78" xfId="0" applyFont="1" applyFill="1" applyBorder="1" applyAlignment="1">
      <alignment horizontal="center"/>
    </xf>
    <xf numFmtId="0" fontId="116" fillId="39" borderId="69" xfId="0" applyFont="1" applyFill="1" applyBorder="1" applyAlignment="1">
      <alignment horizontal="center"/>
    </xf>
    <xf numFmtId="0" fontId="116" fillId="39" borderId="76" xfId="0" applyFont="1" applyFill="1" applyBorder="1" applyAlignment="1">
      <alignment horizontal="center"/>
    </xf>
    <xf numFmtId="0" fontId="117" fillId="3" borderId="72" xfId="0" applyFont="1" applyFill="1" applyBorder="1" applyAlignment="1">
      <alignment horizontal="center"/>
    </xf>
    <xf numFmtId="0" fontId="117" fillId="3" borderId="0" xfId="0" applyFont="1" applyFill="1" applyAlignment="1">
      <alignment horizontal="center"/>
    </xf>
    <xf numFmtId="0" fontId="117" fillId="3" borderId="73" xfId="0" applyFont="1" applyFill="1" applyBorder="1" applyAlignment="1">
      <alignment horizontal="center"/>
    </xf>
    <xf numFmtId="0" fontId="118" fillId="11" borderId="70" xfId="0" applyFont="1" applyFill="1" applyBorder="1"/>
    <xf numFmtId="0" fontId="118" fillId="11" borderId="100" xfId="0" applyFont="1" applyFill="1" applyBorder="1"/>
    <xf numFmtId="0" fontId="118" fillId="11" borderId="101" xfId="0" applyFont="1" applyFill="1" applyBorder="1"/>
    <xf numFmtId="0" fontId="27" fillId="42" borderId="125" xfId="0" applyFont="1" applyFill="1" applyBorder="1" applyAlignment="1">
      <alignment horizontal="center"/>
    </xf>
    <xf numFmtId="0" fontId="27" fillId="42" borderId="123" xfId="0" applyFont="1" applyFill="1" applyBorder="1" applyAlignment="1">
      <alignment horizontal="center"/>
    </xf>
    <xf numFmtId="0" fontId="27" fillId="42" borderId="128" xfId="0" applyFont="1" applyFill="1" applyBorder="1" applyAlignment="1">
      <alignment horizontal="center"/>
    </xf>
    <xf numFmtId="0" fontId="75" fillId="31" borderId="78" xfId="0" applyFont="1" applyFill="1" applyBorder="1"/>
    <xf numFmtId="0" fontId="75" fillId="31" borderId="69" xfId="0" applyFont="1" applyFill="1" applyBorder="1"/>
    <xf numFmtId="0" fontId="75" fillId="31" borderId="76" xfId="0" applyFont="1" applyFill="1" applyBorder="1"/>
    <xf numFmtId="0" fontId="75" fillId="37" borderId="78" xfId="0" applyFont="1" applyFill="1" applyBorder="1"/>
    <xf numFmtId="0" fontId="75" fillId="37" borderId="69" xfId="0" applyFont="1" applyFill="1" applyBorder="1"/>
    <xf numFmtId="0" fontId="75" fillId="37" borderId="76" xfId="0" applyFont="1" applyFill="1" applyBorder="1"/>
    <xf numFmtId="0" fontId="75" fillId="88" borderId="78" xfId="0" applyFont="1" applyFill="1" applyBorder="1"/>
    <xf numFmtId="0" fontId="75" fillId="88" borderId="69" xfId="0" applyFont="1" applyFill="1" applyBorder="1"/>
    <xf numFmtId="0" fontId="75" fillId="88" borderId="76" xfId="0" applyFont="1" applyFill="1" applyBorder="1"/>
    <xf numFmtId="0" fontId="75" fillId="34" borderId="125" xfId="0" applyFont="1" applyFill="1" applyBorder="1"/>
    <xf numFmtId="0" fontId="75" fillId="34" borderId="123" xfId="0" applyFont="1" applyFill="1" applyBorder="1"/>
    <xf numFmtId="0" fontId="75" fillId="34" borderId="128" xfId="0" applyFont="1" applyFill="1" applyBorder="1"/>
    <xf numFmtId="0" fontId="16" fillId="2" borderId="0" xfId="0" applyFont="1" applyFill="1" applyAlignment="1">
      <alignment horizontal="center"/>
    </xf>
    <xf numFmtId="0" fontId="4" fillId="12" borderId="0" xfId="0" applyFont="1" applyFill="1"/>
    <xf numFmtId="0" fontId="0" fillId="12" borderId="0" xfId="0" applyFill="1"/>
    <xf numFmtId="0" fontId="20" fillId="0" borderId="0" xfId="0" applyFont="1"/>
    <xf numFmtId="0" fontId="4" fillId="2" borderId="0" xfId="0" applyFont="1" applyFill="1"/>
    <xf numFmtId="0" fontId="20" fillId="5" borderId="0" xfId="0" applyFont="1" applyFill="1" applyAlignment="1">
      <alignment horizontal="center"/>
    </xf>
    <xf numFmtId="0" fontId="3" fillId="5" borderId="0" xfId="0" applyFont="1" applyFill="1"/>
    <xf numFmtId="0" fontId="3" fillId="2" borderId="0" xfId="0" applyFont="1" applyFill="1"/>
    <xf numFmtId="0" fontId="9" fillId="3" borderId="0" xfId="0" applyFont="1" applyFill="1" applyAlignment="1">
      <alignment horizontal="center" vertical="center"/>
    </xf>
    <xf numFmtId="0" fontId="7" fillId="3" borderId="0" xfId="0" applyFont="1" applyFill="1" applyAlignment="1">
      <alignment horizontal="center" vertical="center" wrapText="1"/>
    </xf>
    <xf numFmtId="0" fontId="3" fillId="3" borderId="0" xfId="0" applyFont="1" applyFill="1" applyAlignment="1">
      <alignment horizontal="center" vertical="center" wrapText="1"/>
    </xf>
    <xf numFmtId="0" fontId="9" fillId="0" borderId="0" xfId="0" applyFont="1" applyAlignment="1">
      <alignment horizontal="left" wrapText="1"/>
    </xf>
    <xf numFmtId="0" fontId="0" fillId="0" borderId="0" xfId="0" applyAlignment="1">
      <alignment horizontal="center" vertical="center" wrapText="1"/>
    </xf>
    <xf numFmtId="0" fontId="3" fillId="0" borderId="0" xfId="0" applyFont="1" applyAlignment="1">
      <alignment horizontal="center" vertical="center" wrapText="1"/>
    </xf>
    <xf numFmtId="0" fontId="9" fillId="2" borderId="0" xfId="0" applyFont="1" applyFill="1"/>
    <xf numFmtId="0" fontId="9" fillId="3" borderId="0" xfId="0" applyFont="1" applyFill="1" applyAlignment="1">
      <alignment wrapText="1"/>
    </xf>
    <xf numFmtId="0" fontId="7" fillId="3" borderId="0" xfId="0" applyFont="1" applyFill="1" applyAlignment="1">
      <alignment wrapText="1"/>
    </xf>
    <xf numFmtId="0" fontId="0" fillId="3" borderId="0" xfId="0" applyFill="1" applyAlignment="1">
      <alignment wrapText="1"/>
    </xf>
    <xf numFmtId="0" fontId="21" fillId="5" borderId="0" xfId="0" applyFont="1" applyFill="1" applyAlignment="1">
      <alignment horizontal="center"/>
    </xf>
    <xf numFmtId="0" fontId="80" fillId="3" borderId="0" xfId="0" applyFont="1" applyFill="1" applyAlignment="1">
      <alignment horizontal="center"/>
    </xf>
    <xf numFmtId="0" fontId="80" fillId="3" borderId="0" xfId="0" applyFont="1" applyFill="1" applyAlignment="1">
      <alignment horizontal="center" wrapText="1"/>
    </xf>
  </cellXfs>
  <cellStyles count="3">
    <cellStyle name="Milliers" xfId="1" builtinId="3"/>
    <cellStyle name="Normal" xfId="0" builtinId="0"/>
    <cellStyle name="Normal 2" xfId="2" xr:uid="{4AC71BA2-1647-4B10-9205-1B5673C363B9}"/>
  </cellStyles>
  <dxfs count="128">
    <dxf>
      <font>
        <color rgb="FF0C3547"/>
      </font>
      <fill>
        <patternFill patternType="solid">
          <fgColor indexed="64"/>
          <bgColor rgb="FFD1ECF1"/>
        </patternFill>
      </fill>
    </dxf>
    <dxf>
      <font>
        <color rgb="FF856404"/>
      </font>
      <fill>
        <patternFill patternType="solid">
          <fgColor indexed="64"/>
          <bgColor rgb="FFFFF3CD"/>
        </patternFill>
      </fill>
    </dxf>
    <dxf>
      <font>
        <color rgb="FF155724"/>
      </font>
      <fill>
        <patternFill patternType="solid">
          <fgColor indexed="64"/>
          <bgColor rgb="FFD4EDDA"/>
        </patternFill>
      </fill>
    </dxf>
    <dxf>
      <font>
        <color rgb="FF721C24"/>
      </font>
      <fill>
        <patternFill patternType="solid">
          <fgColor indexed="64"/>
          <bgColor rgb="FFF8D7DA"/>
        </patternFill>
      </fill>
    </dxf>
    <dxf>
      <font>
        <color rgb="FF856404"/>
      </font>
      <fill>
        <patternFill patternType="solid">
          <fgColor indexed="64"/>
          <bgColor rgb="FFFFF3CD"/>
        </patternFill>
      </fill>
    </dxf>
    <dxf>
      <font>
        <color rgb="FF155724"/>
      </font>
      <fill>
        <patternFill patternType="solid">
          <fgColor indexed="64"/>
          <bgColor rgb="FFD4EDDA"/>
        </patternFill>
      </fill>
    </dxf>
    <dxf>
      <font>
        <color rgb="FF721C24"/>
      </font>
      <fill>
        <patternFill patternType="solid">
          <fgColor indexed="64"/>
          <bgColor rgb="FFF8D7DA"/>
        </patternFill>
      </fill>
    </dxf>
    <dxf>
      <font>
        <color rgb="FF856404"/>
      </font>
      <fill>
        <patternFill patternType="solid">
          <fgColor indexed="64"/>
          <bgColor rgb="FFFFF3CD"/>
        </patternFill>
      </fill>
    </dxf>
    <dxf>
      <font>
        <color rgb="FF155724"/>
      </font>
      <fill>
        <patternFill patternType="solid">
          <fgColor indexed="64"/>
          <bgColor rgb="FFD4EDDA"/>
        </patternFill>
      </fill>
    </dxf>
    <dxf>
      <font>
        <color rgb="FF721C24"/>
      </font>
      <fill>
        <patternFill patternType="solid">
          <fgColor indexed="64"/>
          <bgColor rgb="FFF8D7DA"/>
        </patternFill>
      </fill>
    </dxf>
    <dxf>
      <font>
        <color rgb="FF856404"/>
      </font>
      <fill>
        <patternFill patternType="solid">
          <fgColor indexed="64"/>
          <bgColor rgb="FFFFF3CD"/>
        </patternFill>
      </fill>
    </dxf>
    <dxf>
      <font>
        <color rgb="FF155724"/>
      </font>
      <fill>
        <patternFill patternType="solid">
          <fgColor indexed="64"/>
          <bgColor rgb="FFD4EDDA"/>
        </patternFill>
      </fill>
    </dxf>
    <dxf>
      <font>
        <color rgb="FF721C24"/>
      </font>
      <fill>
        <patternFill patternType="solid">
          <fgColor indexed="64"/>
          <bgColor rgb="FFF8D7DA"/>
        </patternFill>
      </fill>
    </dxf>
    <dxf>
      <font>
        <color rgb="FF856404"/>
      </font>
      <fill>
        <patternFill patternType="solid">
          <fgColor indexed="64"/>
          <bgColor rgb="FFFFF3CD"/>
        </patternFill>
      </fill>
    </dxf>
    <dxf>
      <font>
        <color rgb="FF155724"/>
      </font>
      <fill>
        <patternFill patternType="solid">
          <fgColor indexed="64"/>
          <bgColor rgb="FFD4EDDA"/>
        </patternFill>
      </fill>
    </dxf>
    <dxf>
      <font>
        <color rgb="FF9C0006"/>
      </font>
      <fill>
        <patternFill patternType="solid">
          <fgColor indexed="64"/>
          <bgColor rgb="FFFFC7CE"/>
        </patternFill>
      </fill>
    </dxf>
    <dxf>
      <font>
        <color rgb="FF9C5700"/>
      </font>
      <fill>
        <patternFill patternType="solid">
          <fgColor indexed="64"/>
          <bgColor rgb="FFFFEB9C"/>
        </patternFill>
      </fill>
    </dxf>
    <dxf>
      <font>
        <color rgb="FF006100"/>
      </font>
      <fill>
        <patternFill patternType="solid">
          <fgColor indexed="64"/>
          <bgColor rgb="FFC6EFCE"/>
        </patternFill>
      </fill>
    </dxf>
    <dxf>
      <font>
        <color rgb="FF721C24"/>
      </font>
      <fill>
        <patternFill patternType="solid">
          <fgColor indexed="64"/>
          <bgColor rgb="FFF8D7DA"/>
        </patternFill>
      </fill>
    </dxf>
    <dxf>
      <font>
        <color rgb="FF856404"/>
      </font>
      <fill>
        <patternFill patternType="solid">
          <fgColor indexed="64"/>
          <bgColor rgb="FFFFF3CD"/>
        </patternFill>
      </fill>
    </dxf>
    <dxf>
      <font>
        <color rgb="FF155724"/>
      </font>
      <fill>
        <patternFill patternType="solid">
          <fgColor indexed="64"/>
          <bgColor rgb="FFD4EDDA"/>
        </patternFill>
      </fill>
    </dxf>
    <dxf>
      <font>
        <color rgb="FF9C0006"/>
      </font>
      <fill>
        <patternFill>
          <bgColor rgb="FFFFC7CE"/>
        </patternFill>
      </fill>
    </dxf>
    <dxf>
      <font>
        <b/>
        <i val="0"/>
        <color rgb="FFC00000"/>
      </font>
    </dxf>
    <dxf>
      <font>
        <color rgb="FF9C0006"/>
      </font>
      <fill>
        <patternFill>
          <bgColor rgb="FFFFC7CE"/>
        </patternFill>
      </fill>
    </dxf>
    <dxf>
      <font>
        <b/>
        <i val="0"/>
        <color rgb="FFC00000"/>
      </font>
    </dxf>
    <dxf>
      <font>
        <color rgb="FF155724"/>
      </font>
      <fill>
        <patternFill patternType="solid">
          <fgColor indexed="64"/>
          <bgColor rgb="FFD4EDDA"/>
        </patternFill>
      </fill>
    </dxf>
    <dxf>
      <font>
        <color rgb="FF856404"/>
      </font>
      <fill>
        <patternFill patternType="solid">
          <fgColor indexed="64"/>
          <bgColor rgb="FFFFF3CD"/>
        </patternFill>
      </fill>
    </dxf>
    <dxf>
      <font>
        <b/>
        <i val="0"/>
        <color rgb="FFC00000"/>
      </font>
      <fill>
        <patternFill patternType="solid">
          <fgColor indexed="64"/>
          <bgColor rgb="FFFFC7CE"/>
        </patternFill>
      </fill>
    </dxf>
    <dxf>
      <font>
        <color rgb="FF721C24"/>
      </font>
      <fill>
        <patternFill patternType="solid">
          <fgColor indexed="64"/>
          <bgColor rgb="FFF8D7DA"/>
        </patternFill>
      </fill>
    </dxf>
    <dxf>
      <font>
        <color rgb="FF856404"/>
      </font>
      <fill>
        <patternFill patternType="solid">
          <fgColor indexed="64"/>
          <bgColor rgb="FFFFF3CD"/>
        </patternFill>
      </fill>
    </dxf>
    <dxf>
      <font>
        <color rgb="FF155724"/>
      </font>
      <fill>
        <patternFill patternType="solid">
          <fgColor indexed="64"/>
          <bgColor rgb="FFD4EDDA"/>
        </patternFill>
      </fill>
    </dxf>
    <dxf>
      <fill>
        <patternFill patternType="solid">
          <fgColor indexed="64"/>
          <bgColor rgb="FFF8D7DA"/>
        </patternFill>
      </fill>
    </dxf>
    <dxf>
      <fill>
        <patternFill patternType="solid">
          <fgColor indexed="64"/>
          <bgColor rgb="FFD4EDDA"/>
        </patternFill>
      </fill>
    </dxf>
    <dxf>
      <font>
        <b/>
        <i val="0"/>
        <color rgb="FF548235"/>
      </font>
      <fill>
        <patternFill patternType="solid">
          <fgColor indexed="64"/>
          <bgColor rgb="FFC6EFCE"/>
        </patternFill>
      </fill>
    </dxf>
    <dxf>
      <font>
        <b/>
        <i val="0"/>
        <color rgb="FFC00000"/>
      </font>
      <fill>
        <patternFill patternType="solid">
          <fgColor indexed="64"/>
          <bgColor rgb="FFFFC7CE"/>
        </patternFill>
      </fill>
    </dxf>
    <dxf>
      <font>
        <b/>
        <i val="0"/>
        <color rgb="FF548235"/>
      </font>
      <fill>
        <patternFill patternType="solid">
          <fgColor indexed="64"/>
          <bgColor rgb="FFC6EFCE"/>
        </patternFill>
      </fill>
    </dxf>
    <dxf>
      <font>
        <b/>
        <i val="0"/>
        <color rgb="FFC00000"/>
      </font>
      <fill>
        <patternFill patternType="solid">
          <fgColor indexed="64"/>
          <bgColor rgb="FFFFC7CE"/>
        </patternFill>
      </fill>
    </dxf>
    <dxf>
      <font>
        <b/>
        <i val="0"/>
        <color rgb="FF548235"/>
      </font>
      <fill>
        <patternFill patternType="solid">
          <fgColor indexed="64"/>
          <bgColor rgb="FFC6EFCE"/>
        </patternFill>
      </fill>
    </dxf>
    <dxf>
      <font>
        <b/>
        <i val="0"/>
        <color rgb="FFC00000"/>
      </font>
      <fill>
        <patternFill patternType="solid">
          <fgColor indexed="64"/>
          <bgColor rgb="FFFFC7CE"/>
        </patternFill>
      </fill>
    </dxf>
    <dxf>
      <font>
        <b/>
        <i val="0"/>
        <color rgb="FF548235"/>
      </font>
      <fill>
        <patternFill patternType="solid">
          <fgColor indexed="64"/>
          <bgColor rgb="FFC6EFCE"/>
        </patternFill>
      </fill>
    </dxf>
    <dxf>
      <font>
        <b/>
        <i val="0"/>
        <color rgb="FFC00000"/>
      </font>
      <fill>
        <patternFill patternType="solid">
          <fgColor indexed="64"/>
          <bgColor rgb="FFFFC7CE"/>
        </patternFill>
      </fill>
    </dxf>
    <dxf>
      <font>
        <b/>
        <i val="0"/>
        <color rgb="FF548235"/>
      </font>
      <fill>
        <patternFill patternType="solid">
          <fgColor indexed="64"/>
          <bgColor rgb="FFC6EFCE"/>
        </patternFill>
      </fill>
    </dxf>
    <dxf>
      <font>
        <b/>
        <i val="0"/>
        <color rgb="FFC00000"/>
      </font>
      <fill>
        <patternFill patternType="solid">
          <fgColor indexed="64"/>
          <bgColor rgb="FFFFC7CE"/>
        </patternFill>
      </fill>
    </dxf>
    <dxf>
      <font>
        <b/>
        <i val="0"/>
        <color rgb="FF548235"/>
      </font>
      <fill>
        <patternFill patternType="solid">
          <fgColor indexed="64"/>
          <bgColor rgb="FFC6EFCE"/>
        </patternFill>
      </fill>
    </dxf>
    <dxf>
      <font>
        <b/>
        <i val="0"/>
        <color rgb="FFC00000"/>
      </font>
      <fill>
        <patternFill patternType="solid">
          <fgColor indexed="64"/>
          <bgColor rgb="FFFFC7CE"/>
        </patternFill>
      </fill>
    </dxf>
    <dxf>
      <font>
        <color rgb="FF721C24"/>
      </font>
    </dxf>
    <dxf>
      <font>
        <color rgb="FF155724"/>
      </font>
    </dxf>
    <dxf>
      <font>
        <b/>
        <i val="0"/>
        <color rgb="FF00B050"/>
      </font>
      <numFmt numFmtId="0" formatCode="General"/>
    </dxf>
    <dxf>
      <font>
        <color rgb="FF9C5700"/>
      </font>
      <fill>
        <patternFill>
          <bgColor rgb="FFFFEB9C"/>
        </patternFill>
      </fill>
    </dxf>
    <dxf>
      <font>
        <color rgb="FF9C0006"/>
      </font>
      <fill>
        <patternFill>
          <bgColor rgb="FFFFC7CE"/>
        </patternFill>
      </fill>
    </dxf>
    <dxf>
      <font>
        <color rgb="FF721C24"/>
      </font>
      <fill>
        <patternFill patternType="solid">
          <fgColor indexed="64"/>
          <bgColor rgb="FFF8D7DA"/>
        </patternFill>
      </fill>
    </dxf>
    <dxf>
      <font>
        <color rgb="FF155724"/>
      </font>
      <fill>
        <patternFill patternType="solid">
          <fgColor indexed="64"/>
          <bgColor rgb="FFD4EDDA"/>
        </patternFill>
      </fill>
    </dxf>
    <dxf>
      <font>
        <color rgb="FF721C24"/>
      </font>
      <fill>
        <patternFill patternType="solid">
          <fgColor indexed="64"/>
          <bgColor rgb="FFF8D7DA"/>
        </patternFill>
      </fill>
    </dxf>
    <dxf>
      <fill>
        <patternFill patternType="solid">
          <fgColor indexed="64"/>
          <bgColor rgb="FFFFF3CD"/>
        </patternFill>
      </fill>
    </dxf>
    <dxf>
      <fill>
        <patternFill patternType="solid">
          <fgColor indexed="64"/>
          <bgColor rgb="FFE2EFDA"/>
        </patternFill>
      </fill>
    </dxf>
    <dxf>
      <fill>
        <patternFill patternType="solid">
          <fgColor indexed="64"/>
          <bgColor rgb="FF92D050"/>
        </patternFill>
      </fill>
    </dxf>
    <dxf>
      <font>
        <color rgb="FF721C24"/>
      </font>
      <fill>
        <patternFill patternType="solid">
          <fgColor indexed="64"/>
          <bgColor rgb="FFF8D7DA"/>
        </patternFill>
      </fill>
    </dxf>
    <dxf>
      <font>
        <color rgb="FF721C24"/>
      </font>
      <fill>
        <patternFill patternType="solid">
          <fgColor indexed="64"/>
          <bgColor rgb="FFF8D7DA"/>
        </patternFill>
      </fill>
    </dxf>
    <dxf>
      <font>
        <color rgb="FF856404"/>
      </font>
      <fill>
        <patternFill patternType="solid">
          <fgColor indexed="64"/>
          <bgColor rgb="FFFFF3CD"/>
        </patternFill>
      </fill>
    </dxf>
    <dxf>
      <font>
        <color rgb="FF155724"/>
      </font>
      <fill>
        <patternFill patternType="solid">
          <fgColor indexed="64"/>
          <bgColor rgb="FFD4EDDA"/>
        </patternFill>
      </fill>
    </dxf>
    <dxf>
      <font>
        <color rgb="FF9C5700"/>
      </font>
      <fill>
        <patternFill>
          <bgColor rgb="FFFFEB9C"/>
        </patternFill>
      </fill>
    </dxf>
    <dxf>
      <font>
        <color rgb="FF721C24"/>
      </font>
    </dxf>
    <dxf>
      <font>
        <color rgb="FF155724"/>
      </font>
    </dxf>
    <dxf>
      <font>
        <b/>
        <i val="0"/>
        <color rgb="FF0F2D5C"/>
      </font>
      <fill>
        <patternFill patternType="solid">
          <fgColor indexed="64"/>
          <bgColor rgb="FF9DC3E6"/>
        </patternFill>
      </fill>
    </dxf>
    <dxf>
      <font>
        <color rgb="FF721C24"/>
      </font>
      <fill>
        <patternFill patternType="solid">
          <fgColor indexed="64"/>
          <bgColor rgb="FFF8D7DA"/>
        </patternFill>
      </fill>
    </dxf>
    <dxf>
      <font>
        <color rgb="FF856404"/>
      </font>
      <fill>
        <patternFill patternType="solid">
          <fgColor indexed="64"/>
          <bgColor rgb="FFFFF3CD"/>
        </patternFill>
      </fill>
    </dxf>
    <dxf>
      <font>
        <color rgb="FF155724"/>
      </font>
      <fill>
        <patternFill patternType="solid">
          <fgColor indexed="64"/>
          <bgColor rgb="FFD4EDDA"/>
        </patternFill>
      </fill>
    </dxf>
    <dxf>
      <font>
        <b/>
        <i val="0"/>
        <color rgb="FF721C24"/>
      </font>
      <fill>
        <patternFill patternType="solid">
          <fgColor indexed="64"/>
          <bgColor rgb="FFF8D7DA"/>
        </patternFill>
      </fill>
    </dxf>
    <dxf>
      <font>
        <b/>
        <i val="0"/>
        <color rgb="FF856404"/>
      </font>
      <fill>
        <patternFill patternType="solid">
          <fgColor indexed="64"/>
          <bgColor rgb="FFFFF3CD"/>
        </patternFill>
      </fill>
    </dxf>
    <dxf>
      <font>
        <b/>
        <i val="0"/>
        <color rgb="FF155724"/>
      </font>
      <fill>
        <patternFill patternType="solid">
          <fgColor indexed="64"/>
          <bgColor rgb="FFD4EDDA"/>
        </patternFill>
      </fill>
    </dxf>
    <dxf>
      <font>
        <b/>
        <i val="0"/>
        <color rgb="FF721C24"/>
      </font>
      <fill>
        <patternFill patternType="solid">
          <fgColor indexed="64"/>
          <bgColor rgb="FFF8D7DA"/>
        </patternFill>
      </fill>
    </dxf>
    <dxf>
      <font>
        <b/>
        <i val="0"/>
        <color rgb="FF856404"/>
      </font>
      <fill>
        <patternFill patternType="solid">
          <fgColor indexed="64"/>
          <bgColor rgb="FFFFF3CD"/>
        </patternFill>
      </fill>
    </dxf>
    <dxf>
      <font>
        <b/>
        <i val="0"/>
        <color rgb="FF155724"/>
      </font>
      <fill>
        <patternFill patternType="solid">
          <fgColor indexed="64"/>
          <bgColor rgb="FFD4EDDA"/>
        </patternFill>
      </fill>
    </dxf>
    <dxf>
      <font>
        <color rgb="FFC0392B"/>
      </font>
    </dxf>
    <dxf>
      <font>
        <color rgb="FF1A7240"/>
      </font>
    </dxf>
    <dxf>
      <font>
        <color rgb="FF721C24"/>
      </font>
    </dxf>
    <dxf>
      <font>
        <color rgb="FF155724"/>
      </font>
    </dxf>
    <dxf>
      <font>
        <b/>
        <i val="0"/>
        <color rgb="FFFF0000"/>
      </font>
    </dxf>
    <dxf>
      <font>
        <color rgb="FF721C24"/>
      </font>
      <fill>
        <patternFill patternType="solid">
          <fgColor indexed="64"/>
          <bgColor rgb="FFFFF3F3"/>
        </patternFill>
      </fill>
    </dxf>
    <dxf>
      <font>
        <color rgb="FF155724"/>
      </font>
      <fill>
        <patternFill patternType="solid">
          <fgColor indexed="64"/>
          <bgColor rgb="FFE8F5E9"/>
        </patternFill>
      </fill>
    </dxf>
    <dxf>
      <font>
        <color rgb="FF721C24"/>
      </font>
      <fill>
        <patternFill patternType="solid">
          <fgColor indexed="64"/>
          <bgColor rgb="FFF8D7DA"/>
        </patternFill>
      </fill>
    </dxf>
    <dxf>
      <font>
        <color rgb="FF155724"/>
      </font>
      <fill>
        <patternFill patternType="solid">
          <fgColor indexed="64"/>
          <bgColor rgb="FFD4EDDA"/>
        </patternFill>
      </fill>
    </dxf>
    <dxf>
      <font>
        <color rgb="FF006100"/>
      </font>
      <fill>
        <patternFill patternType="solid">
          <fgColor indexed="64"/>
          <bgColor rgb="FFC6EFCE"/>
        </patternFill>
      </fill>
    </dxf>
    <dxf>
      <font>
        <b/>
        <i val="0"/>
        <strike val="0"/>
        <condense val="0"/>
        <extend val="0"/>
        <outline val="0"/>
        <shadow val="0"/>
        <u val="none"/>
        <vertAlign val="baseline"/>
        <sz val="10"/>
        <color rgb="FFC00000"/>
        <name val="Aptos Narrow"/>
        <family val="2"/>
        <scheme val="minor"/>
      </font>
      <numFmt numFmtId="30" formatCode="@"/>
      <fill>
        <patternFill patternType="solid">
          <fgColor indexed="64"/>
          <bgColor rgb="FFFFE0E0"/>
        </patternFill>
      </fill>
      <alignment horizontal="center"/>
    </dxf>
    <dxf>
      <numFmt numFmtId="184" formatCode="0.0%;\(0.0%\);\-"/>
    </dxf>
    <dxf>
      <numFmt numFmtId="164" formatCode="#,##0;\(#,##0\);\-"/>
    </dxf>
    <dxf>
      <numFmt numFmtId="164" formatCode="#,##0;\(#,##0\);\-"/>
    </dxf>
    <dxf>
      <numFmt numFmtId="164" formatCode="#,##0;\(#,##0\);\-"/>
    </dxf>
    <dxf>
      <numFmt numFmtId="30" formatCode="@"/>
    </dxf>
    <dxf>
      <numFmt numFmtId="30" formatCode="@"/>
    </dxf>
    <dxf>
      <font>
        <b/>
        <i val="0"/>
        <strike val="0"/>
        <condense val="0"/>
        <extend val="0"/>
        <outline val="0"/>
        <shadow val="0"/>
        <u val="none"/>
        <vertAlign val="baseline"/>
        <sz val="10"/>
        <color rgb="FFFFFFFF"/>
        <name val="Aptos Narrow"/>
        <family val="2"/>
        <scheme val="minor"/>
      </font>
      <fill>
        <patternFill patternType="solid">
          <fgColor indexed="64"/>
          <bgColor rgb="FF1F4E79"/>
        </patternFill>
      </fill>
      <alignment horizontal="center" vertical="bottom" textRotation="0" wrapText="0" indent="0" justifyLastLine="0" shrinkToFit="0" readingOrder="0"/>
    </dxf>
    <dxf>
      <numFmt numFmtId="164" formatCode="#,##0;\(#,##0\);\-"/>
    </dxf>
    <dxf>
      <numFmt numFmtId="3" formatCode="#,##0"/>
    </dxf>
    <dxf>
      <numFmt numFmtId="3" formatCode="#,##0"/>
    </dxf>
    <dxf>
      <numFmt numFmtId="3" formatCode="#,##0"/>
    </dxf>
    <dxf>
      <numFmt numFmtId="3" formatCode="#,##0"/>
    </dxf>
    <dxf>
      <numFmt numFmtId="30" formatCode="@"/>
    </dxf>
    <dxf>
      <numFmt numFmtId="30" formatCode="@"/>
    </dxf>
    <dxf>
      <font>
        <b/>
        <i val="0"/>
        <strike val="0"/>
        <condense val="0"/>
        <extend val="0"/>
        <outline val="0"/>
        <shadow val="0"/>
        <u val="none"/>
        <vertAlign val="baseline"/>
        <sz val="10"/>
        <color rgb="FFFFFFFF"/>
        <name val="Aptos Narrow"/>
        <family val="2"/>
        <scheme val="minor"/>
      </font>
      <fill>
        <patternFill patternType="solid">
          <fgColor indexed="64"/>
          <bgColor rgb="FF1F4E79"/>
        </patternFill>
      </fill>
      <alignment horizontal="center" vertical="bottom" textRotation="0" wrapText="0" indent="0" justifyLastLine="0" shrinkToFit="0" readingOrder="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30" formatCode="@"/>
    </dxf>
    <dxf>
      <numFmt numFmtId="30" formatCode="@"/>
    </dxf>
    <dxf>
      <numFmt numFmtId="30" formatCode="@"/>
    </dxf>
    <dxf>
      <font>
        <b/>
        <i val="0"/>
        <strike val="0"/>
        <condense val="0"/>
        <extend val="0"/>
        <outline val="0"/>
        <shadow val="0"/>
        <u val="none"/>
        <vertAlign val="baseline"/>
        <sz val="11"/>
        <color rgb="FFFFFFFF"/>
        <name val="Aptos Narrow"/>
        <family val="2"/>
        <scheme val="minor"/>
      </font>
      <fill>
        <patternFill patternType="solid">
          <fgColor indexed="64"/>
          <bgColor rgb="FF003366"/>
        </patternFill>
      </fill>
      <alignment horizontal="center" vertical="bottom" textRotation="0" wrapText="0" indent="0" justifyLastLine="0" shrinkToFit="0" readingOrder="0"/>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numFmt numFmtId="0" formatCode="General"/>
      <fill>
        <patternFill patternType="solid">
          <fgColor indexed="64"/>
          <bgColor rgb="FFF2F2F2"/>
        </patternFill>
      </fill>
    </dxf>
    <dxf>
      <font>
        <sz val="9"/>
        <color rgb="FF4472C4"/>
      </font>
      <numFmt numFmtId="0" formatCode="General"/>
      <fill>
        <patternFill patternType="solid">
          <fgColor indexed="64"/>
          <bgColor rgb="FFF2F2F2"/>
        </patternFill>
      </fill>
      <alignment horizontal="right"/>
    </dxf>
    <dxf>
      <font>
        <sz val="9"/>
      </font>
      <numFmt numFmtId="165" formatCode="0.0%"/>
      <fill>
        <patternFill patternType="solid">
          <fgColor indexed="64"/>
          <bgColor rgb="FFF2F2F2"/>
        </patternFill>
      </fill>
      <alignment horizontal="center"/>
    </dxf>
    <dxf>
      <font>
        <sz val="9"/>
      </font>
      <numFmt numFmtId="165" formatCode="0.0%"/>
      <fill>
        <patternFill patternType="solid">
          <fgColor indexed="64"/>
          <bgColor rgb="FFF2F2F2"/>
        </patternFill>
      </fill>
      <alignment horizontal="center"/>
    </dxf>
    <dxf>
      <numFmt numFmtId="3" formatCode="#,##0"/>
      <fill>
        <patternFill patternType="solid">
          <fgColor indexed="64"/>
          <bgColor rgb="FFF2F2F2"/>
        </patternFill>
      </fill>
      <border diagonalUp="0" diagonalDown="0">
        <left style="thin">
          <color auto="1"/>
        </left>
        <right/>
        <top style="thin">
          <color auto="1"/>
        </top>
        <bottom style="thin">
          <color auto="1"/>
        </bottom>
        <vertical/>
        <horizontal/>
      </border>
    </dxf>
    <dxf>
      <numFmt numFmtId="3" formatCode="#,##0"/>
      <fill>
        <patternFill patternType="solid">
          <fgColor indexed="64"/>
          <bgColor rgb="FFF2F2F2"/>
        </patternFill>
      </fill>
      <border diagonalUp="0" diagonalDown="0">
        <left style="thin">
          <color auto="1"/>
        </left>
        <right style="thin">
          <color auto="1"/>
        </right>
        <top style="thin">
          <color auto="1"/>
        </top>
        <bottom style="thin">
          <color auto="1"/>
        </bottom>
        <vertical/>
        <horizontal/>
      </border>
    </dxf>
    <dxf>
      <numFmt numFmtId="3" formatCode="#,##0"/>
      <fill>
        <patternFill patternType="solid">
          <fgColor indexed="64"/>
          <bgColor rgb="FFF2F2F2"/>
        </patternFill>
      </fill>
      <border diagonalUp="0" diagonalDown="0">
        <left style="thin">
          <color auto="1"/>
        </left>
        <right style="thin">
          <color auto="1"/>
        </right>
        <top style="thin">
          <color auto="1"/>
        </top>
        <bottom style="thin">
          <color auto="1"/>
        </bottom>
        <vertical/>
        <horizontal/>
      </border>
    </dxf>
    <dxf>
      <numFmt numFmtId="30" formatCode="@"/>
      <fill>
        <patternFill patternType="solid">
          <fgColor indexed="64"/>
          <bgColor rgb="FFF2F2F2"/>
        </patternFill>
      </fill>
      <border diagonalUp="0" diagonalDown="0">
        <left style="thin">
          <color auto="1"/>
        </left>
        <right style="thin">
          <color auto="1"/>
        </right>
        <top style="thin">
          <color auto="1"/>
        </top>
        <bottom style="thin">
          <color auto="1"/>
        </bottom>
        <vertical/>
        <horizontal/>
      </border>
    </dxf>
    <dxf>
      <numFmt numFmtId="30" formatCode="@"/>
      <fill>
        <patternFill patternType="solid">
          <fgColor indexed="64"/>
          <bgColor rgb="FFF2F2F2"/>
        </patternFill>
      </fill>
      <border diagonalUp="0" diagonalDown="0">
        <left style="thin">
          <color auto="1"/>
        </left>
        <right style="thin">
          <color auto="1"/>
        </right>
        <top style="thin">
          <color auto="1"/>
        </top>
        <bottom style="thin">
          <color auto="1"/>
        </bottom>
        <vertical/>
        <horizontal/>
      </border>
    </dxf>
    <dxf>
      <numFmt numFmtId="30" formatCode="@"/>
      <fill>
        <patternFill patternType="solid">
          <fgColor indexed="64"/>
          <bgColor rgb="FFF2F2F2"/>
        </patternFill>
      </fill>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fill>
        <patternFill patternType="solid">
          <fgColor indexed="64"/>
          <bgColor rgb="FFF2F2F2"/>
        </patternFill>
      </fill>
    </dxf>
    <dxf>
      <border outline="0">
        <bottom style="thin">
          <color auto="1"/>
        </bottom>
      </border>
    </dxf>
    <dxf>
      <font>
        <b/>
        <i val="0"/>
        <strike val="0"/>
        <condense val="0"/>
        <extend val="0"/>
        <outline val="0"/>
        <shadow val="0"/>
        <u val="none"/>
        <vertAlign val="baseline"/>
        <sz val="10"/>
        <color rgb="FFFFFFFF"/>
        <name val="Aptos Narrow"/>
        <family val="2"/>
        <scheme val="minor"/>
      </font>
      <fill>
        <patternFill patternType="solid">
          <fgColor indexed="64"/>
          <bgColor rgb="FF1F4E79"/>
        </patternFill>
      </fill>
      <alignment horizontal="center" vertical="bottom" textRotation="0" wrapText="0" indent="0" justifyLastLine="0" shrinkToFit="0" readingOrder="0"/>
      <border diagonalUp="0" diagonalDown="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Bridge Resultat Net 2025 — Budget vs Reel</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tx>
            <c:strRef>
              <c:f>'One-Pager'!$C$28:$C$29</c:f>
              <c:strCache>
                <c:ptCount val="2"/>
                <c:pt idx="0">
                  <c:v>Montant (M€)</c:v>
                </c:pt>
                <c:pt idx="1">
                  <c:v>Montant (M€)</c:v>
                </c:pt>
              </c:strCache>
            </c:strRef>
          </c:tx>
          <c:spPr>
            <a:solidFill>
              <a:schemeClr val="accent1"/>
            </a:solidFill>
            <a:ln>
              <a:noFill/>
            </a:ln>
            <a:effectLst/>
          </c:spPr>
          <c:invertIfNegative val="0"/>
          <c:cat>
            <c:strRef>
              <c:f>'One-Pager'!$B$30:$B$37</c:f>
              <c:strCache>
                <c:ptCount val="8"/>
                <c:pt idx="0">
                  <c:v>Budget Résultat Net</c:v>
                </c:pt>
                <c:pt idx="1">
                  <c:v>Écart CA (volume)</c:v>
                </c:pt>
                <c:pt idx="2">
                  <c:v>Écart Matières premières</c:v>
                </c:pt>
                <c:pt idx="3">
                  <c:v>Écart Charges personnel</c:v>
                </c:pt>
                <c:pt idx="4">
                  <c:v>Écart Charges externes</c:v>
                </c:pt>
                <c:pt idx="5">
                  <c:v>Écart Amortissements</c:v>
                </c:pt>
                <c:pt idx="6">
                  <c:v>Écart Charges financières</c:v>
                </c:pt>
                <c:pt idx="7">
                  <c:v>Écart Impôts</c:v>
                </c:pt>
              </c:strCache>
            </c:strRef>
          </c:cat>
          <c:val>
            <c:numRef>
              <c:f>'One-Pager'!$C$30:$C$37</c:f>
              <c:numCache>
                <c:formatCode>#\ ##0;\(#\ ##0\);\-</c:formatCode>
                <c:ptCount val="8"/>
                <c:pt idx="0" formatCode="#,##0">
                  <c:v>4820000</c:v>
                </c:pt>
                <c:pt idx="1">
                  <c:v>-1600000</c:v>
                </c:pt>
                <c:pt idx="2">
                  <c:v>-300000</c:v>
                </c:pt>
                <c:pt idx="3">
                  <c:v>-200000</c:v>
                </c:pt>
                <c:pt idx="4">
                  <c:v>-250000</c:v>
                </c:pt>
                <c:pt idx="5">
                  <c:v>-150000</c:v>
                </c:pt>
                <c:pt idx="6">
                  <c:v>-30000</c:v>
                </c:pt>
                <c:pt idx="7">
                  <c:v>40000</c:v>
                </c:pt>
              </c:numCache>
            </c:numRef>
          </c:val>
          <c:extLst>
            <c:ext xmlns:c16="http://schemas.microsoft.com/office/drawing/2014/chart" uri="{C3380CC4-5D6E-409C-BE32-E72D297353CC}">
              <c16:uniqueId val="{00000000-B1D8-4F8C-8FFD-81B94E79BC6D}"/>
            </c:ext>
          </c:extLst>
        </c:ser>
        <c:dLbls>
          <c:showLegendKey val="0"/>
          <c:showVal val="0"/>
          <c:showCatName val="0"/>
          <c:showSerName val="0"/>
          <c:showPercent val="0"/>
          <c:showBubbleSize val="0"/>
        </c:dLbls>
        <c:gapWidth val="182"/>
        <c:axId val="19109584"/>
        <c:axId val="19110544"/>
      </c:barChart>
      <c:catAx>
        <c:axId val="19109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110544"/>
        <c:crosses val="autoZero"/>
        <c:auto val="1"/>
        <c:lblAlgn val="ctr"/>
        <c:lblOffset val="100"/>
        <c:noMultiLvlLbl val="0"/>
      </c:catAx>
      <c:valAx>
        <c:axId val="1911054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109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Trésorerie Prévisionnelle 2025 — Flux Net &amp; Solde Cumulé</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strRef>
              <c:f>'Analyse Approfondie'!$B$42</c:f>
              <c:strCache>
                <c:ptCount val="1"/>
                <c:pt idx="0">
                  <c:v>FLUX NET MENSUEL (M€)</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'Analyse Approfondie'!$C$42:$N$42</c:f>
              <c:numCache>
                <c:formatCode>#,##0</c:formatCode>
                <c:ptCount val="12"/>
                <c:pt idx="0">
                  <c:v>-121499.99999999993</c:v>
                </c:pt>
                <c:pt idx="1">
                  <c:v>79541.666666666817</c:v>
                </c:pt>
                <c:pt idx="2">
                  <c:v>280583.33333333331</c:v>
                </c:pt>
                <c:pt idx="3">
                  <c:v>349541.6666666668</c:v>
                </c:pt>
                <c:pt idx="4">
                  <c:v>418500.00000000006</c:v>
                </c:pt>
                <c:pt idx="5">
                  <c:v>487458.33333333378</c:v>
                </c:pt>
                <c:pt idx="6">
                  <c:v>556416.66666666616</c:v>
                </c:pt>
                <c:pt idx="7">
                  <c:v>421416.66666666704</c:v>
                </c:pt>
                <c:pt idx="8">
                  <c:v>214541.6666666668</c:v>
                </c:pt>
                <c:pt idx="9">
                  <c:v>418500.00000000006</c:v>
                </c:pt>
                <c:pt idx="10">
                  <c:v>487458.33333333378</c:v>
                </c:pt>
                <c:pt idx="11">
                  <c:v>418500.00000000006</c:v>
                </c:pt>
              </c:numCache>
            </c:numRef>
          </c:val>
          <c:smooth val="0"/>
          <c:extLst>
            <c:ext xmlns:c16="http://schemas.microsoft.com/office/drawing/2014/chart" uri="{C3380CC4-5D6E-409C-BE32-E72D297353CC}">
              <c16:uniqueId val="{00000000-3975-472C-A6E6-A5E479A67A43}"/>
            </c:ext>
          </c:extLst>
        </c:ser>
        <c:ser>
          <c:idx val="1"/>
          <c:order val="1"/>
          <c:tx>
            <c:strRef>
              <c:f>'Analyse Approfondie'!$B$43</c:f>
              <c:strCache>
                <c:ptCount val="1"/>
                <c:pt idx="0">
                  <c:v>Trésorerie cumulée (M€)</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'Analyse Approfondie'!$C$43:$N$43</c:f>
              <c:numCache>
                <c:formatCode>#,##0</c:formatCode>
                <c:ptCount val="12"/>
                <c:pt idx="0">
                  <c:v>1828500</c:v>
                </c:pt>
                <c:pt idx="1">
                  <c:v>1908041.6666666667</c:v>
                </c:pt>
                <c:pt idx="2">
                  <c:v>2188625</c:v>
                </c:pt>
                <c:pt idx="3">
                  <c:v>2538166.666666667</c:v>
                </c:pt>
                <c:pt idx="4">
                  <c:v>2956666.666666667</c:v>
                </c:pt>
                <c:pt idx="5">
                  <c:v>3444125.0000000009</c:v>
                </c:pt>
                <c:pt idx="6">
                  <c:v>4000541.666666667</c:v>
                </c:pt>
                <c:pt idx="7">
                  <c:v>4421958.333333334</c:v>
                </c:pt>
                <c:pt idx="8">
                  <c:v>4636500.0000000009</c:v>
                </c:pt>
                <c:pt idx="9">
                  <c:v>5055000.0000000009</c:v>
                </c:pt>
                <c:pt idx="10">
                  <c:v>5542458.3333333349</c:v>
                </c:pt>
                <c:pt idx="11">
                  <c:v>5960958.3333333349</c:v>
                </c:pt>
              </c:numCache>
            </c:numRef>
          </c:val>
          <c:smooth val="0"/>
          <c:extLst>
            <c:ext xmlns:c16="http://schemas.microsoft.com/office/drawing/2014/chart" uri="{C3380CC4-5D6E-409C-BE32-E72D297353CC}">
              <c16:uniqueId val="{00000001-3975-472C-A6E6-A5E479A67A43}"/>
            </c:ext>
          </c:extLst>
        </c:ser>
        <c:dLbls>
          <c:showLegendKey val="0"/>
          <c:showVal val="0"/>
          <c:showCatName val="0"/>
          <c:showSerName val="0"/>
          <c:showPercent val="0"/>
          <c:showBubbleSize val="0"/>
        </c:dLbls>
        <c:marker val="1"/>
        <c:smooth val="0"/>
        <c:axId val="1620697743"/>
        <c:axId val="1620700623"/>
      </c:lineChart>
      <c:catAx>
        <c:axId val="162069774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20700623"/>
        <c:crosses val="autoZero"/>
        <c:auto val="1"/>
        <c:lblAlgn val="ctr"/>
        <c:lblOffset val="100"/>
        <c:noMultiLvlLbl val="0"/>
      </c:catAx>
      <c:valAx>
        <c:axId val="16207006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20697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r>
              <a:rPr lang="en-US"/>
              <a:t>Profil de Risque — Radar des Ratios (score /10)</a:t>
            </a:r>
          </a:p>
        </c:rich>
      </c:tx>
      <c:overlay val="0"/>
      <c:spPr>
        <a:noFill/>
        <a:ln>
          <a:noFill/>
        </a:ln>
        <a:effectLst/>
      </c:spPr>
      <c:txPr>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endParaRPr lang="fr-FR"/>
        </a:p>
      </c:txPr>
    </c:title>
    <c:autoTitleDeleted val="0"/>
    <c:plotArea>
      <c:layout/>
      <c:radarChart>
        <c:radarStyle val="marker"/>
        <c:varyColors val="0"/>
        <c:ser>
          <c:idx val="0"/>
          <c:order val="0"/>
          <c:tx>
            <c:strRef>
              <c:f>'Dashboard Interactif'!$H$21</c:f>
              <c:strCache>
                <c:ptCount val="1"/>
                <c:pt idx="0">
                  <c:v>Axe</c:v>
                </c:pt>
              </c:strCache>
            </c:strRef>
          </c:tx>
          <c:spPr>
            <a:ln w="28575" cap="rnd">
              <a:solidFill>
                <a:schemeClr val="accent1"/>
              </a:solidFill>
            </a:ln>
            <a:effectLst>
              <a:glow rad="76200">
                <a:schemeClr val="accent1">
                  <a:satMod val="175000"/>
                  <a:alpha val="34000"/>
                </a:schemeClr>
              </a:glow>
            </a:effectLst>
          </c:spPr>
          <c:marker>
            <c:symbol val="none"/>
          </c:marker>
          <c:val>
            <c:numRef>
              <c:f>'Dashboard Interactif'!$H$22:$H$28</c:f>
              <c:numCache>
                <c:formatCode>General</c:formatCode>
                <c:ptCount val="7"/>
                <c:pt idx="0">
                  <c:v>0</c:v>
                </c:pt>
                <c:pt idx="1">
                  <c:v>0</c:v>
                </c:pt>
                <c:pt idx="2">
                  <c:v>0</c:v>
                </c:pt>
                <c:pt idx="3">
                  <c:v>0</c:v>
                </c:pt>
                <c:pt idx="4">
                  <c:v>0</c:v>
                </c:pt>
                <c:pt idx="5">
                  <c:v>0</c:v>
                </c:pt>
              </c:numCache>
            </c:numRef>
          </c:val>
          <c:extLst>
            <c:ext xmlns:c16="http://schemas.microsoft.com/office/drawing/2014/chart" uri="{C3380CC4-5D6E-409C-BE32-E72D297353CC}">
              <c16:uniqueId val="{00000000-F06D-4BCA-85BA-86DD9EE24D34}"/>
            </c:ext>
          </c:extLst>
        </c:ser>
        <c:ser>
          <c:idx val="1"/>
          <c:order val="1"/>
          <c:tx>
            <c:strRef>
              <c:f>'Dashboard Interactif'!$I$21</c:f>
              <c:strCache>
                <c:ptCount val="1"/>
                <c:pt idx="0">
                  <c:v>Score /10</c:v>
                </c:pt>
              </c:strCache>
            </c:strRef>
          </c:tx>
          <c:spPr>
            <a:ln w="28575" cap="rnd">
              <a:solidFill>
                <a:schemeClr val="accent2"/>
              </a:solidFill>
            </a:ln>
            <a:effectLst>
              <a:glow rad="76200">
                <a:schemeClr val="accent2">
                  <a:satMod val="175000"/>
                  <a:alpha val="34000"/>
                </a:schemeClr>
              </a:glow>
            </a:effectLst>
          </c:spPr>
          <c:marker>
            <c:symbol val="none"/>
          </c:marker>
          <c:val>
            <c:numRef>
              <c:f>'Dashboard Interactif'!$I$22:$I$28</c:f>
              <c:numCache>
                <c:formatCode>0.0</c:formatCode>
                <c:ptCount val="7"/>
                <c:pt idx="0">
                  <c:v>10</c:v>
                </c:pt>
                <c:pt idx="1">
                  <c:v>10</c:v>
                </c:pt>
                <c:pt idx="2">
                  <c:v>7.9871601208459211</c:v>
                </c:pt>
                <c:pt idx="3">
                  <c:v>2.9633203578793843E-2</c:v>
                </c:pt>
                <c:pt idx="4">
                  <c:v>10</c:v>
                </c:pt>
                <c:pt idx="5">
                  <c:v>5.1158106747230656</c:v>
                </c:pt>
              </c:numCache>
            </c:numRef>
          </c:val>
          <c:extLst>
            <c:ext xmlns:c16="http://schemas.microsoft.com/office/drawing/2014/chart" uri="{C3380CC4-5D6E-409C-BE32-E72D297353CC}">
              <c16:uniqueId val="{00000001-F06D-4BCA-85BA-86DD9EE24D34}"/>
            </c:ext>
          </c:extLst>
        </c:ser>
        <c:dLbls>
          <c:showLegendKey val="0"/>
          <c:showVal val="0"/>
          <c:showCatName val="0"/>
          <c:showSerName val="0"/>
          <c:showPercent val="0"/>
          <c:showBubbleSize val="0"/>
        </c:dLbls>
        <c:axId val="1794180863"/>
        <c:axId val="1891606063"/>
      </c:radarChart>
      <c:catAx>
        <c:axId val="1794180863"/>
        <c:scaling>
          <c:orientation val="minMax"/>
        </c:scaling>
        <c:delete val="0"/>
        <c:axPos val="b"/>
        <c:majorGridlines>
          <c:spPr>
            <a:ln w="9525" cap="flat" cmpd="sng" algn="ctr">
              <a:solidFill>
                <a:schemeClr val="lt1">
                  <a:alpha val="20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891606063"/>
        <c:crosses val="autoZero"/>
        <c:auto val="1"/>
        <c:lblAlgn val="ctr"/>
        <c:lblOffset val="100"/>
        <c:noMultiLvlLbl val="0"/>
      </c:catAx>
      <c:valAx>
        <c:axId val="1891606063"/>
        <c:scaling>
          <c:orientation val="minMax"/>
        </c:scaling>
        <c:delete val="0"/>
        <c:axPos val="l"/>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9418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Seuil de Rentabilité (Point Mort)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fr-FR"/>
        </a:p>
      </c:txPr>
    </c:title>
    <c:autoTitleDeleted val="0"/>
    <c:plotArea>
      <c:layout/>
      <c:lineChart>
        <c:grouping val="standard"/>
        <c:varyColors val="0"/>
        <c:ser>
          <c:idx val="0"/>
          <c:order val="0"/>
          <c:tx>
            <c:strRef>
              <c:f>'Dashboard Interactif'!$H$10</c:f>
              <c:strCache>
                <c:ptCount val="1"/>
                <c:pt idx="0">
                  <c:v>CA (EUR)</c:v>
                </c:pt>
              </c:strCache>
            </c:strRef>
          </c:tx>
          <c:spPr>
            <a:ln w="31750" cap="rnd">
              <a:solidFill>
                <a:schemeClr val="accent1"/>
              </a:solidFill>
              <a:round/>
            </a:ln>
            <a:effectLst/>
          </c:spPr>
          <c:marker>
            <c:symbol val="none"/>
          </c:marker>
          <c:val>
            <c:numRef>
              <c:f>'Dashboard Interactif'!$H$11:$H$17</c:f>
              <c:numCache>
                <c:formatCode>#,##0</c:formatCode>
                <c:ptCount val="7"/>
                <c:pt idx="0">
                  <c:v>0</c:v>
                </c:pt>
                <c:pt idx="1">
                  <c:v>5000000</c:v>
                </c:pt>
                <c:pt idx="2">
                  <c:v>10000000</c:v>
                </c:pt>
                <c:pt idx="3">
                  <c:v>16000000</c:v>
                </c:pt>
                <c:pt idx="4">
                  <c:v>22000000</c:v>
                </c:pt>
                <c:pt idx="5">
                  <c:v>28000000</c:v>
                </c:pt>
                <c:pt idx="6">
                  <c:v>34000000</c:v>
                </c:pt>
              </c:numCache>
            </c:numRef>
          </c:val>
          <c:smooth val="0"/>
          <c:extLst>
            <c:ext xmlns:c16="http://schemas.microsoft.com/office/drawing/2014/chart" uri="{C3380CC4-5D6E-409C-BE32-E72D297353CC}">
              <c16:uniqueId val="{00000000-8540-4435-B9E0-EBF0DAAC4C7F}"/>
            </c:ext>
          </c:extLst>
        </c:ser>
        <c:ser>
          <c:idx val="1"/>
          <c:order val="1"/>
          <c:tx>
            <c:strRef>
              <c:f>'Dashboard Interactif'!$I$10</c:f>
              <c:strCache>
                <c:ptCount val="1"/>
                <c:pt idx="0">
                  <c:v>Coûts Var.</c:v>
                </c:pt>
              </c:strCache>
            </c:strRef>
          </c:tx>
          <c:spPr>
            <a:ln w="31750" cap="rnd">
              <a:solidFill>
                <a:schemeClr val="accent2"/>
              </a:solidFill>
              <a:round/>
            </a:ln>
            <a:effectLst/>
          </c:spPr>
          <c:marker>
            <c:symbol val="none"/>
          </c:marker>
          <c:val>
            <c:numRef>
              <c:f>'Dashboard Interactif'!$I$11:$I$17</c:f>
              <c:numCache>
                <c:formatCode>#,##0</c:formatCode>
                <c:ptCount val="7"/>
                <c:pt idx="0">
                  <c:v>0</c:v>
                </c:pt>
                <c:pt idx="1">
                  <c:v>2445987.6543209874</c:v>
                </c:pt>
                <c:pt idx="2">
                  <c:v>4891975.3086419748</c:v>
                </c:pt>
                <c:pt idx="3">
                  <c:v>7827160.4938271595</c:v>
                </c:pt>
                <c:pt idx="4">
                  <c:v>10762345.679012345</c:v>
                </c:pt>
                <c:pt idx="5">
                  <c:v>13697530.86419753</c:v>
                </c:pt>
                <c:pt idx="6">
                  <c:v>16632716.049382715</c:v>
                </c:pt>
              </c:numCache>
            </c:numRef>
          </c:val>
          <c:smooth val="0"/>
          <c:extLst>
            <c:ext xmlns:c16="http://schemas.microsoft.com/office/drawing/2014/chart" uri="{C3380CC4-5D6E-409C-BE32-E72D297353CC}">
              <c16:uniqueId val="{00000001-8540-4435-B9E0-EBF0DAAC4C7F}"/>
            </c:ext>
          </c:extLst>
        </c:ser>
        <c:ser>
          <c:idx val="2"/>
          <c:order val="2"/>
          <c:tx>
            <c:strRef>
              <c:f>'Dashboard Interactif'!$J$10</c:f>
              <c:strCache>
                <c:ptCount val="1"/>
                <c:pt idx="0">
                  <c:v>Coûts Fixes</c:v>
                </c:pt>
              </c:strCache>
            </c:strRef>
          </c:tx>
          <c:spPr>
            <a:ln w="31750" cap="rnd">
              <a:solidFill>
                <a:schemeClr val="accent3"/>
              </a:solidFill>
              <a:round/>
            </a:ln>
            <a:effectLst/>
          </c:spPr>
          <c:marker>
            <c:symbol val="none"/>
          </c:marker>
          <c:val>
            <c:numRef>
              <c:f>'Dashboard Interactif'!$J$11:$J$17</c:f>
              <c:numCache>
                <c:formatCode>#,##0</c:formatCode>
                <c:ptCount val="7"/>
                <c:pt idx="0">
                  <c:v>14010000</c:v>
                </c:pt>
                <c:pt idx="1">
                  <c:v>14010000</c:v>
                </c:pt>
                <c:pt idx="2">
                  <c:v>14010000</c:v>
                </c:pt>
                <c:pt idx="3">
                  <c:v>14010000</c:v>
                </c:pt>
                <c:pt idx="4">
                  <c:v>14010000</c:v>
                </c:pt>
                <c:pt idx="5">
                  <c:v>14010000</c:v>
                </c:pt>
                <c:pt idx="6">
                  <c:v>14010000</c:v>
                </c:pt>
              </c:numCache>
            </c:numRef>
          </c:val>
          <c:smooth val="0"/>
          <c:extLst>
            <c:ext xmlns:c16="http://schemas.microsoft.com/office/drawing/2014/chart" uri="{C3380CC4-5D6E-409C-BE32-E72D297353CC}">
              <c16:uniqueId val="{00000002-8540-4435-B9E0-EBF0DAAC4C7F}"/>
            </c:ext>
          </c:extLst>
        </c:ser>
        <c:ser>
          <c:idx val="3"/>
          <c:order val="3"/>
          <c:tx>
            <c:strRef>
              <c:f>'Dashboard Interactif'!$K$10</c:f>
              <c:strCache>
                <c:ptCount val="1"/>
                <c:pt idx="0">
                  <c:v>Coûts Totaux</c:v>
                </c:pt>
              </c:strCache>
            </c:strRef>
          </c:tx>
          <c:spPr>
            <a:ln w="31750" cap="rnd">
              <a:solidFill>
                <a:schemeClr val="accent4"/>
              </a:solidFill>
              <a:round/>
            </a:ln>
            <a:effectLst/>
          </c:spPr>
          <c:marker>
            <c:symbol val="none"/>
          </c:marker>
          <c:val>
            <c:numRef>
              <c:f>'Dashboard Interactif'!$K$11:$K$17</c:f>
              <c:numCache>
                <c:formatCode>#,##0</c:formatCode>
                <c:ptCount val="7"/>
                <c:pt idx="0">
                  <c:v>14010000</c:v>
                </c:pt>
                <c:pt idx="1">
                  <c:v>16455987.654320987</c:v>
                </c:pt>
                <c:pt idx="2">
                  <c:v>18901975.308641974</c:v>
                </c:pt>
                <c:pt idx="3">
                  <c:v>21837160.49382716</c:v>
                </c:pt>
                <c:pt idx="4">
                  <c:v>24772345.679012343</c:v>
                </c:pt>
                <c:pt idx="5">
                  <c:v>27707530.86419753</c:v>
                </c:pt>
                <c:pt idx="6">
                  <c:v>30642716.049382716</c:v>
                </c:pt>
              </c:numCache>
            </c:numRef>
          </c:val>
          <c:smooth val="0"/>
          <c:extLst>
            <c:ext xmlns:c16="http://schemas.microsoft.com/office/drawing/2014/chart" uri="{C3380CC4-5D6E-409C-BE32-E72D297353CC}">
              <c16:uniqueId val="{00000003-8540-4435-B9E0-EBF0DAAC4C7F}"/>
            </c:ext>
          </c:extLst>
        </c:ser>
        <c:ser>
          <c:idx val="4"/>
          <c:order val="4"/>
          <c:tx>
            <c:strRef>
              <c:f>'Dashboard Interactif'!$L$10</c:f>
              <c:strCache>
                <c:ptCount val="1"/>
                <c:pt idx="0">
                  <c:v>CA (droite)</c:v>
                </c:pt>
              </c:strCache>
            </c:strRef>
          </c:tx>
          <c:spPr>
            <a:ln w="31750" cap="rnd">
              <a:solidFill>
                <a:schemeClr val="accent5"/>
              </a:solidFill>
              <a:round/>
            </a:ln>
            <a:effectLst/>
          </c:spPr>
          <c:marker>
            <c:symbol val="none"/>
          </c:marker>
          <c:val>
            <c:numRef>
              <c:f>'Dashboard Interactif'!$L$11:$L$17</c:f>
              <c:numCache>
                <c:formatCode>#,##0</c:formatCode>
                <c:ptCount val="7"/>
                <c:pt idx="0">
                  <c:v>0</c:v>
                </c:pt>
                <c:pt idx="1">
                  <c:v>5000000</c:v>
                </c:pt>
                <c:pt idx="2">
                  <c:v>10000000</c:v>
                </c:pt>
                <c:pt idx="3">
                  <c:v>16000000</c:v>
                </c:pt>
                <c:pt idx="4">
                  <c:v>22000000</c:v>
                </c:pt>
                <c:pt idx="5">
                  <c:v>28000000</c:v>
                </c:pt>
                <c:pt idx="6">
                  <c:v>34000000</c:v>
                </c:pt>
              </c:numCache>
            </c:numRef>
          </c:val>
          <c:smooth val="0"/>
          <c:extLst>
            <c:ext xmlns:c16="http://schemas.microsoft.com/office/drawing/2014/chart" uri="{C3380CC4-5D6E-409C-BE32-E72D297353CC}">
              <c16:uniqueId val="{00000004-8540-4435-B9E0-EBF0DAAC4C7F}"/>
            </c:ext>
          </c:extLst>
        </c:ser>
        <c:dLbls>
          <c:showLegendKey val="0"/>
          <c:showVal val="0"/>
          <c:showCatName val="0"/>
          <c:showSerName val="0"/>
          <c:showPercent val="0"/>
          <c:showBubbleSize val="0"/>
        </c:dLbls>
        <c:smooth val="0"/>
        <c:axId val="1127714031"/>
        <c:axId val="1127711631"/>
      </c:lineChart>
      <c:catAx>
        <c:axId val="1127714031"/>
        <c:scaling>
          <c:orientation val="minMax"/>
        </c:scaling>
        <c:delete val="0"/>
        <c:axPos val="b"/>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1127711631"/>
        <c:crosses val="autoZero"/>
        <c:auto val="1"/>
        <c:lblAlgn val="ctr"/>
        <c:lblOffset val="100"/>
        <c:noMultiLvlLbl val="0"/>
      </c:catAx>
      <c:valAx>
        <c:axId val="1127711631"/>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1127714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Évolution CA · EBITDA · Résultat Net (2023–2025)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solidFill>
              <a:schemeClr val="accent1"/>
            </a:solidFill>
            <a:ln>
              <a:noFill/>
            </a:ln>
            <a:effectLst/>
          </c:spPr>
          <c:invertIfNegative val="0"/>
          <c:cat>
            <c:strRef>
              <c:f>'Dashboard Interactif'!$N$31:$Q$31</c:f>
              <c:strCache>
                <c:ptCount val="4"/>
                <c:pt idx="0">
                  <c:v>Année</c:v>
                </c:pt>
                <c:pt idx="1">
                  <c:v>CA</c:v>
                </c:pt>
                <c:pt idx="2">
                  <c:v>EBITDA</c:v>
                </c:pt>
                <c:pt idx="3">
                  <c:v>Résultat Net</c:v>
                </c:pt>
              </c:strCache>
            </c:strRef>
          </c:cat>
          <c:val>
            <c:numRef>
              <c:f>'Dashboard Interactif'!$N$32:$Q$32</c:f>
              <c:numCache>
                <c:formatCode>#,##0</c:formatCode>
                <c:ptCount val="4"/>
                <c:pt idx="0" formatCode="General">
                  <c:v>2023</c:v>
                </c:pt>
                <c:pt idx="1">
                  <c:v>28500000</c:v>
                </c:pt>
                <c:pt idx="2">
                  <c:v>3980000</c:v>
                </c:pt>
                <c:pt idx="3">
                  <c:v>1975000</c:v>
                </c:pt>
              </c:numCache>
            </c:numRef>
          </c:val>
          <c:extLst>
            <c:ext xmlns:c16="http://schemas.microsoft.com/office/drawing/2014/chart" uri="{C3380CC4-5D6E-409C-BE32-E72D297353CC}">
              <c16:uniqueId val="{00000000-A1AE-4248-A13D-87CC43B76A1B}"/>
            </c:ext>
          </c:extLst>
        </c:ser>
        <c:ser>
          <c:idx val="1"/>
          <c:order val="1"/>
          <c:spPr>
            <a:solidFill>
              <a:schemeClr val="accent2"/>
            </a:solidFill>
            <a:ln>
              <a:noFill/>
            </a:ln>
            <a:effectLst/>
          </c:spPr>
          <c:invertIfNegative val="0"/>
          <c:cat>
            <c:strRef>
              <c:f>'Dashboard Interactif'!$N$31:$Q$31</c:f>
              <c:strCache>
                <c:ptCount val="4"/>
                <c:pt idx="0">
                  <c:v>Année</c:v>
                </c:pt>
                <c:pt idx="1">
                  <c:v>CA</c:v>
                </c:pt>
                <c:pt idx="2">
                  <c:v>EBITDA</c:v>
                </c:pt>
                <c:pt idx="3">
                  <c:v>Résultat Net</c:v>
                </c:pt>
              </c:strCache>
            </c:strRef>
          </c:cat>
          <c:val>
            <c:numRef>
              <c:f>'Dashboard Interactif'!$N$33:$Q$33</c:f>
              <c:numCache>
                <c:formatCode>#,##0</c:formatCode>
                <c:ptCount val="4"/>
                <c:pt idx="0" formatCode="General">
                  <c:v>2024</c:v>
                </c:pt>
                <c:pt idx="1">
                  <c:v>29800000</c:v>
                </c:pt>
                <c:pt idx="2">
                  <c:v>4225000</c:v>
                </c:pt>
                <c:pt idx="3">
                  <c:v>2045000</c:v>
                </c:pt>
              </c:numCache>
            </c:numRef>
          </c:val>
          <c:extLst>
            <c:ext xmlns:c16="http://schemas.microsoft.com/office/drawing/2014/chart" uri="{C3380CC4-5D6E-409C-BE32-E72D297353CC}">
              <c16:uniqueId val="{00000001-A1AE-4248-A13D-87CC43B76A1B}"/>
            </c:ext>
          </c:extLst>
        </c:ser>
        <c:ser>
          <c:idx val="2"/>
          <c:order val="2"/>
          <c:spPr>
            <a:solidFill>
              <a:schemeClr val="accent3"/>
            </a:solidFill>
            <a:ln>
              <a:noFill/>
            </a:ln>
            <a:effectLst/>
          </c:spPr>
          <c:invertIfNegative val="0"/>
          <c:cat>
            <c:strRef>
              <c:f>'Dashboard Interactif'!$N$31:$Q$31</c:f>
              <c:strCache>
                <c:ptCount val="4"/>
                <c:pt idx="0">
                  <c:v>Année</c:v>
                </c:pt>
                <c:pt idx="1">
                  <c:v>CA</c:v>
                </c:pt>
                <c:pt idx="2">
                  <c:v>EBITDA</c:v>
                </c:pt>
                <c:pt idx="3">
                  <c:v>Résultat Net</c:v>
                </c:pt>
              </c:strCache>
            </c:strRef>
          </c:cat>
          <c:val>
            <c:numRef>
              <c:f>'Dashboard Interactif'!$N$34:$Q$34</c:f>
              <c:numCache>
                <c:formatCode>#,##0</c:formatCode>
                <c:ptCount val="4"/>
                <c:pt idx="0" formatCode="General">
                  <c:v>2025</c:v>
                </c:pt>
                <c:pt idx="1">
                  <c:v>32400000</c:v>
                </c:pt>
                <c:pt idx="2">
                  <c:v>4770000</c:v>
                </c:pt>
                <c:pt idx="3">
                  <c:v>2115000</c:v>
                </c:pt>
              </c:numCache>
            </c:numRef>
          </c:val>
          <c:extLst>
            <c:ext xmlns:c16="http://schemas.microsoft.com/office/drawing/2014/chart" uri="{C3380CC4-5D6E-409C-BE32-E72D297353CC}">
              <c16:uniqueId val="{00000002-A1AE-4248-A13D-87CC43B76A1B}"/>
            </c:ext>
          </c:extLst>
        </c:ser>
        <c:dLbls>
          <c:showLegendKey val="0"/>
          <c:showVal val="0"/>
          <c:showCatName val="0"/>
          <c:showSerName val="0"/>
          <c:showPercent val="0"/>
          <c:showBubbleSize val="0"/>
        </c:dLbls>
        <c:gapWidth val="219"/>
        <c:overlap val="-27"/>
        <c:axId val="1133648879"/>
        <c:axId val="1218777951"/>
      </c:barChart>
      <c:catAx>
        <c:axId val="113364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18777951"/>
        <c:crosses val="autoZero"/>
        <c:auto val="1"/>
        <c:lblAlgn val="ctr"/>
        <c:lblOffset val="100"/>
        <c:noMultiLvlLbl val="0"/>
      </c:catAx>
      <c:valAx>
        <c:axId val="1218777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336488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Cascade des Soldes Intermédiaires de Gestion 2025 (SIG)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tx>
            <c:strRef>
              <c:f>'Dashboard Interactif'!$O$37</c:f>
              <c:strCache>
                <c:ptCount val="1"/>
                <c:pt idx="0">
                  <c:v>Montant (€)</c:v>
                </c:pt>
              </c:strCache>
            </c:strRef>
          </c:tx>
          <c:spPr>
            <a:solidFill>
              <a:schemeClr val="accent1"/>
            </a:solidFill>
            <a:ln>
              <a:noFill/>
            </a:ln>
            <a:effectLst/>
          </c:spPr>
          <c:invertIfNegative val="0"/>
          <c:cat>
            <c:strRef>
              <c:f>'Dashboard Interactif'!$N$38:$N$43</c:f>
              <c:strCache>
                <c:ptCount val="6"/>
                <c:pt idx="0">
                  <c:v>CA net</c:v>
                </c:pt>
                <c:pt idx="1">
                  <c:v>Marge Brute</c:v>
                </c:pt>
                <c:pt idx="2">
                  <c:v>Valeur Ajoutée</c:v>
                </c:pt>
                <c:pt idx="3">
                  <c:v>EBE / EBITDA</c:v>
                </c:pt>
                <c:pt idx="4">
                  <c:v>EBIT</c:v>
                </c:pt>
                <c:pt idx="5">
                  <c:v>Résultat Net</c:v>
                </c:pt>
              </c:strCache>
            </c:strRef>
          </c:cat>
          <c:val>
            <c:numRef>
              <c:f>'Dashboard Interactif'!$O$38:$O$43</c:f>
              <c:numCache>
                <c:formatCode>#,##0</c:formatCode>
                <c:ptCount val="6"/>
                <c:pt idx="0" formatCode="General">
                  <c:v>32400000</c:v>
                </c:pt>
                <c:pt idx="1">
                  <c:v>16550000</c:v>
                </c:pt>
                <c:pt idx="2">
                  <c:v>11900000</c:v>
                </c:pt>
                <c:pt idx="3">
                  <c:v>4770000</c:v>
                </c:pt>
                <c:pt idx="4">
                  <c:v>2780000</c:v>
                </c:pt>
                <c:pt idx="5">
                  <c:v>2115000</c:v>
                </c:pt>
              </c:numCache>
            </c:numRef>
          </c:val>
          <c:extLst>
            <c:ext xmlns:c16="http://schemas.microsoft.com/office/drawing/2014/chart" uri="{C3380CC4-5D6E-409C-BE32-E72D297353CC}">
              <c16:uniqueId val="{00000000-D9ED-4385-B937-76AEF85273B1}"/>
            </c:ext>
          </c:extLst>
        </c:ser>
        <c:dLbls>
          <c:showLegendKey val="0"/>
          <c:showVal val="0"/>
          <c:showCatName val="0"/>
          <c:showSerName val="0"/>
          <c:showPercent val="0"/>
          <c:showBubbleSize val="0"/>
        </c:dLbls>
        <c:gapWidth val="182"/>
        <c:axId val="1533435343"/>
        <c:axId val="1533431503"/>
      </c:barChart>
      <c:catAx>
        <c:axId val="1533435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33431503"/>
        <c:crosses val="autoZero"/>
        <c:auto val="1"/>
        <c:lblAlgn val="ctr"/>
        <c:lblOffset val="100"/>
        <c:noMultiLvlLbl val="0"/>
      </c:catAx>
      <c:valAx>
        <c:axId val="15334315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33435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Budget vs Réel 2025 — Comparaison par poste</a:t>
            </a:r>
          </a:p>
        </c:rich>
      </c:tx>
      <c:layout>
        <c:manualLayout>
          <c:xMode val="edge"/>
          <c:yMode val="edge"/>
          <c:x val="9.8091327293765698E-2"/>
          <c:y val="1.99501246882793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'Dashboard Interactif'!$O$46</c:f>
              <c:strCache>
                <c:ptCount val="1"/>
                <c:pt idx="0">
                  <c:v>Budget</c:v>
                </c:pt>
              </c:strCache>
            </c:strRef>
          </c:tx>
          <c:spPr>
            <a:solidFill>
              <a:schemeClr val="accent1"/>
            </a:solidFill>
            <a:ln>
              <a:noFill/>
            </a:ln>
            <a:effectLst/>
          </c:spPr>
          <c:invertIfNegative val="0"/>
          <c:cat>
            <c:strRef>
              <c:f>'Dashboard Interactif'!$N$47:$N$52</c:f>
              <c:strCache>
                <c:ptCount val="6"/>
                <c:pt idx="0">
                  <c:v>CA</c:v>
                </c:pt>
                <c:pt idx="1">
                  <c:v>Matières</c:v>
                </c:pt>
                <c:pt idx="2">
                  <c:v>Personnel</c:v>
                </c:pt>
                <c:pt idx="3">
                  <c:v>Charges ext.</c:v>
                </c:pt>
                <c:pt idx="4">
                  <c:v>CAPEX</c:v>
                </c:pt>
                <c:pt idx="5">
                  <c:v>Résultat Net</c:v>
                </c:pt>
              </c:strCache>
            </c:strRef>
          </c:cat>
          <c:val>
            <c:numRef>
              <c:f>'Dashboard Interactif'!$O$47:$O$52</c:f>
              <c:numCache>
                <c:formatCode>#,##0</c:formatCode>
                <c:ptCount val="6"/>
                <c:pt idx="0" formatCode="General">
                  <c:v>34000000</c:v>
                </c:pt>
                <c:pt idx="1">
                  <c:v>15800000</c:v>
                </c:pt>
                <c:pt idx="2">
                  <c:v>6700000</c:v>
                </c:pt>
                <c:pt idx="3">
                  <c:v>4400000</c:v>
                </c:pt>
                <c:pt idx="4">
                  <c:v>2800000</c:v>
                </c:pt>
                <c:pt idx="5">
                  <c:v>1900000</c:v>
                </c:pt>
              </c:numCache>
            </c:numRef>
          </c:val>
          <c:extLst>
            <c:ext xmlns:c16="http://schemas.microsoft.com/office/drawing/2014/chart" uri="{C3380CC4-5D6E-409C-BE32-E72D297353CC}">
              <c16:uniqueId val="{00000000-E4C1-49CF-BC04-6C29776D5D0C}"/>
            </c:ext>
          </c:extLst>
        </c:ser>
        <c:ser>
          <c:idx val="1"/>
          <c:order val="1"/>
          <c:tx>
            <c:strRef>
              <c:f>'Dashboard Interactif'!$P$46</c:f>
              <c:strCache>
                <c:ptCount val="1"/>
                <c:pt idx="0">
                  <c:v>Réel</c:v>
                </c:pt>
              </c:strCache>
            </c:strRef>
          </c:tx>
          <c:spPr>
            <a:solidFill>
              <a:schemeClr val="accent2"/>
            </a:solidFill>
            <a:ln>
              <a:noFill/>
            </a:ln>
            <a:effectLst/>
          </c:spPr>
          <c:invertIfNegative val="0"/>
          <c:cat>
            <c:strRef>
              <c:f>'Dashboard Interactif'!$N$47:$N$52</c:f>
              <c:strCache>
                <c:ptCount val="6"/>
                <c:pt idx="0">
                  <c:v>CA</c:v>
                </c:pt>
                <c:pt idx="1">
                  <c:v>Matières</c:v>
                </c:pt>
                <c:pt idx="2">
                  <c:v>Personnel</c:v>
                </c:pt>
                <c:pt idx="3">
                  <c:v>Charges ext.</c:v>
                </c:pt>
                <c:pt idx="4">
                  <c:v>CAPEX</c:v>
                </c:pt>
                <c:pt idx="5">
                  <c:v>Résultat Net</c:v>
                </c:pt>
              </c:strCache>
            </c:strRef>
          </c:cat>
          <c:val>
            <c:numRef>
              <c:f>'Dashboard Interactif'!$P$47:$P$52</c:f>
              <c:numCache>
                <c:formatCode>#,##0</c:formatCode>
                <c:ptCount val="6"/>
                <c:pt idx="0" formatCode="General">
                  <c:v>32400000</c:v>
                </c:pt>
                <c:pt idx="1">
                  <c:v>16100000</c:v>
                </c:pt>
                <c:pt idx="2">
                  <c:v>6900000</c:v>
                </c:pt>
                <c:pt idx="3">
                  <c:v>4650000</c:v>
                </c:pt>
                <c:pt idx="4">
                  <c:v>3200000</c:v>
                </c:pt>
                <c:pt idx="5">
                  <c:v>1580000</c:v>
                </c:pt>
              </c:numCache>
            </c:numRef>
          </c:val>
          <c:extLst>
            <c:ext xmlns:c16="http://schemas.microsoft.com/office/drawing/2014/chart" uri="{C3380CC4-5D6E-409C-BE32-E72D297353CC}">
              <c16:uniqueId val="{00000001-E4C1-49CF-BC04-6C29776D5D0C}"/>
            </c:ext>
          </c:extLst>
        </c:ser>
        <c:dLbls>
          <c:showLegendKey val="0"/>
          <c:showVal val="0"/>
          <c:showCatName val="0"/>
          <c:showSerName val="0"/>
          <c:showPercent val="0"/>
          <c:showBubbleSize val="0"/>
        </c:dLbls>
        <c:gapWidth val="219"/>
        <c:overlap val="-27"/>
        <c:axId val="1533434383"/>
        <c:axId val="1533437743"/>
      </c:barChart>
      <c:catAx>
        <c:axId val="153343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33437743"/>
        <c:crosses val="autoZero"/>
        <c:auto val="1"/>
        <c:lblAlgn val="ctr"/>
        <c:lblOffset val="100"/>
        <c:noMultiLvlLbl val="0"/>
      </c:catAx>
      <c:valAx>
        <c:axId val="153343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334343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Répartition des Charges d'Exploitation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A6-48F8-865E-38588C5358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A6-48F8-865E-38588C5358D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CA6-48F8-865E-38588C5358D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CA6-48F8-865E-38588C5358D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CA6-48F8-865E-38588C5358D5}"/>
              </c:ext>
            </c:extLst>
          </c:dPt>
          <c:cat>
            <c:strRef>
              <c:f>'Dashboard Interactif'!$N$57:$N$61</c:f>
              <c:strCache>
                <c:ptCount val="5"/>
                <c:pt idx="0">
                  <c:v>Matières premières</c:v>
                </c:pt>
                <c:pt idx="1">
                  <c:v>Personnel</c:v>
                </c:pt>
                <c:pt idx="2">
                  <c:v>Charges externes</c:v>
                </c:pt>
                <c:pt idx="3">
                  <c:v>Amortissements &amp; Prov.</c:v>
                </c:pt>
                <c:pt idx="4">
                  <c:v>Autres (impôts, fin., etc.)</c:v>
                </c:pt>
              </c:strCache>
            </c:strRef>
          </c:cat>
          <c:val>
            <c:numRef>
              <c:f>'Dashboard Interactif'!$O$57:$O$61</c:f>
              <c:numCache>
                <c:formatCode>#,##0</c:formatCode>
                <c:ptCount val="5"/>
                <c:pt idx="0">
                  <c:v>15850000</c:v>
                </c:pt>
                <c:pt idx="1">
                  <c:v>6900000</c:v>
                </c:pt>
                <c:pt idx="2">
                  <c:v>4650000</c:v>
                </c:pt>
                <c:pt idx="3">
                  <c:v>1670000</c:v>
                </c:pt>
                <c:pt idx="4">
                  <c:v>1180000</c:v>
                </c:pt>
              </c:numCache>
            </c:numRef>
          </c:val>
          <c:extLst>
            <c:ext xmlns:c16="http://schemas.microsoft.com/office/drawing/2014/chart" uri="{C3380CC4-5D6E-409C-BE32-E72D297353CC}">
              <c16:uniqueId val="{00000000-F36F-471A-85F1-853A5EF9A4C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FFC000"/>
              </a:solidFill>
            </c:spPr>
            <c:extLst>
              <c:ext xmlns:c16="http://schemas.microsoft.com/office/drawing/2014/chart" uri="{C3380CC4-5D6E-409C-BE32-E72D297353CC}">
                <c16:uniqueId val="{00000001-F3CE-4064-9AAA-33FF28A38572}"/>
              </c:ext>
            </c:extLst>
          </c:dPt>
          <c:dPt>
            <c:idx val="1"/>
            <c:bubble3D val="0"/>
            <c:spPr>
              <a:solidFill>
                <a:srgbClr val="E8E8E8"/>
              </a:solidFill>
            </c:spPr>
            <c:extLst>
              <c:ext xmlns:c16="http://schemas.microsoft.com/office/drawing/2014/chart" uri="{C3380CC4-5D6E-409C-BE32-E72D297353CC}">
                <c16:uniqueId val="{00000002-F3CE-4064-9AAA-33FF28A38572}"/>
              </c:ext>
            </c:extLst>
          </c:dPt>
          <c:val>
            <c:numRef>
              <c:f>'Dashboard Interactif'!$G$6:$G$7</c:f>
              <c:numCache>
                <c:formatCode>General</c:formatCode>
                <c:ptCount val="2"/>
                <c:pt idx="0" formatCode="0.00">
                  <c:v>2.9382453126911403</c:v>
                </c:pt>
                <c:pt idx="1">
                  <c:v>5</c:v>
                </c:pt>
              </c:numCache>
            </c:numRef>
          </c:val>
          <c:extLst>
            <c:ext xmlns:c16="http://schemas.microsoft.com/office/drawing/2014/chart" uri="{C3380CC4-5D6E-409C-BE32-E72D297353CC}">
              <c16:uniqueId val="{00000000-F3CE-4064-9AAA-33FF28A38572}"/>
            </c:ext>
          </c:extLst>
        </c:ser>
        <c:dLbls>
          <c:showLegendKey val="0"/>
          <c:showVal val="0"/>
          <c:showCatName val="0"/>
          <c:showSerName val="0"/>
          <c:showPercent val="0"/>
          <c:showBubbleSize val="0"/>
          <c:showLeaderLines val="1"/>
        </c:dLbls>
        <c:firstSliceAng val="0"/>
        <c:holeSize val="65"/>
      </c:doughnutChart>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US"/>
              <a:t>Taux de Vétusté</a:t>
            </a: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doughnutChart>
        <c:varyColors val="1"/>
        <c:ser>
          <c:idx val="0"/>
          <c:order val="0"/>
          <c:dPt>
            <c:idx val="0"/>
            <c:bubble3D val="0"/>
            <c:spPr>
              <a:solidFill>
                <a:srgbClr val="70AD47"/>
              </a:solidFill>
              <a:ln w="19050">
                <a:solidFill>
                  <a:schemeClr val="lt1"/>
                </a:solidFill>
              </a:ln>
              <a:effectLst/>
            </c:spPr>
            <c:extLst>
              <c:ext xmlns:c16="http://schemas.microsoft.com/office/drawing/2014/chart" uri="{C3380CC4-5D6E-409C-BE32-E72D297353CC}">
                <c16:uniqueId val="{00000001-CDDF-4A59-A682-CE387E1FECAA}"/>
              </c:ext>
            </c:extLst>
          </c:dPt>
          <c:dPt>
            <c:idx val="1"/>
            <c:bubble3D val="0"/>
            <c:spPr>
              <a:solidFill>
                <a:srgbClr val="E8E8E8"/>
              </a:solidFill>
              <a:ln w="19050">
                <a:solidFill>
                  <a:schemeClr val="lt1"/>
                </a:solidFill>
              </a:ln>
              <a:effectLst/>
            </c:spPr>
            <c:extLst>
              <c:ext xmlns:c16="http://schemas.microsoft.com/office/drawing/2014/chart" uri="{C3380CC4-5D6E-409C-BE32-E72D297353CC}">
                <c16:uniqueId val="{00000002-CDDF-4A59-A682-CE387E1FECAA}"/>
              </c:ext>
            </c:extLst>
          </c:dPt>
          <c:dPt>
            <c:idx val="2"/>
            <c:bubble3D val="0"/>
            <c:spPr>
              <a:noFill/>
              <a:ln w="19050">
                <a:solidFill>
                  <a:schemeClr val="lt1"/>
                </a:solidFill>
              </a:ln>
              <a:effectLst/>
            </c:spPr>
            <c:extLst>
              <c:ext xmlns:c16="http://schemas.microsoft.com/office/drawing/2014/chart" uri="{C3380CC4-5D6E-409C-BE32-E72D297353CC}">
                <c16:uniqueId val="{00000003-CDDF-4A59-A682-CE387E1FECAA}"/>
              </c:ext>
            </c:extLst>
          </c:dPt>
          <c:val>
            <c:numRef>
              <c:f>'Dashboard Interactif'!$P$70:$P$72</c:f>
              <c:numCache>
                <c:formatCode>General</c:formatCode>
                <c:ptCount val="3"/>
                <c:pt idx="0">
                  <c:v>0.33136587185354693</c:v>
                </c:pt>
                <c:pt idx="1">
                  <c:v>0.66863412814645307</c:v>
                </c:pt>
                <c:pt idx="2">
                  <c:v>1</c:v>
                </c:pt>
              </c:numCache>
            </c:numRef>
          </c:val>
          <c:extLst>
            <c:ext xmlns:c16="http://schemas.microsoft.com/office/drawing/2014/chart" uri="{C3380CC4-5D6E-409C-BE32-E72D297353CC}">
              <c16:uniqueId val="{00000000-CDDF-4A59-A682-CE387E1FECAA}"/>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228600</xdr:colOff>
      <xdr:row>43</xdr:row>
      <xdr:rowOff>107950</xdr:rowOff>
    </xdr:from>
    <xdr:to>
      <xdr:col>3</xdr:col>
      <xdr:colOff>1101725</xdr:colOff>
      <xdr:row>58</xdr:row>
      <xdr:rowOff>53975</xdr:rowOff>
    </xdr:to>
    <xdr:graphicFrame macro="">
      <xdr:nvGraphicFramePr>
        <xdr:cNvPr id="2" name="Graphique 1">
          <a:extLst>
            <a:ext uri="{FF2B5EF4-FFF2-40B4-BE49-F238E27FC236}">
              <a16:creationId xmlns:a16="http://schemas.microsoft.com/office/drawing/2014/main" id="{4C64F697-0A8A-E199-9A07-0A5791C137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904875</xdr:colOff>
      <xdr:row>63</xdr:row>
      <xdr:rowOff>123825</xdr:rowOff>
    </xdr:from>
    <xdr:to>
      <xdr:col>8</xdr:col>
      <xdr:colOff>28575</xdr:colOff>
      <xdr:row>78</xdr:row>
      <xdr:rowOff>9525</xdr:rowOff>
    </xdr:to>
    <xdr:graphicFrame macro="">
      <xdr:nvGraphicFramePr>
        <xdr:cNvPr id="2" name="Graphique 1">
          <a:extLst>
            <a:ext uri="{FF2B5EF4-FFF2-40B4-BE49-F238E27FC236}">
              <a16:creationId xmlns:a16="http://schemas.microsoft.com/office/drawing/2014/main" id="{FE841D00-186B-8175-E2C3-902892165E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xdr:colOff>
      <xdr:row>22</xdr:row>
      <xdr:rowOff>161925</xdr:rowOff>
    </xdr:from>
    <xdr:to>
      <xdr:col>6</xdr:col>
      <xdr:colOff>1</xdr:colOff>
      <xdr:row>35</xdr:row>
      <xdr:rowOff>161925</xdr:rowOff>
    </xdr:to>
    <xdr:graphicFrame macro="">
      <xdr:nvGraphicFramePr>
        <xdr:cNvPr id="2" name="Graphique 1">
          <a:extLst>
            <a:ext uri="{FF2B5EF4-FFF2-40B4-BE49-F238E27FC236}">
              <a16:creationId xmlns:a16="http://schemas.microsoft.com/office/drawing/2014/main" id="{78E333FC-1782-D679-97BE-17E4B153FB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3171826</xdr:colOff>
      <xdr:row>38</xdr:row>
      <xdr:rowOff>85725</xdr:rowOff>
    </xdr:from>
    <xdr:to>
      <xdr:col>10</xdr:col>
      <xdr:colOff>104776</xdr:colOff>
      <xdr:row>51</xdr:row>
      <xdr:rowOff>85725</xdr:rowOff>
    </xdr:to>
    <xdr:graphicFrame macro="">
      <xdr:nvGraphicFramePr>
        <xdr:cNvPr id="3" name="Graphique 2">
          <a:extLst>
            <a:ext uri="{FF2B5EF4-FFF2-40B4-BE49-F238E27FC236}">
              <a16:creationId xmlns:a16="http://schemas.microsoft.com/office/drawing/2014/main" id="{96CBB9A7-551F-6BC8-B3E5-6EFEDDD2DC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0</xdr:row>
      <xdr:rowOff>0</xdr:rowOff>
    </xdr:from>
    <xdr:to>
      <xdr:col>22</xdr:col>
      <xdr:colOff>38100</xdr:colOff>
      <xdr:row>11</xdr:row>
      <xdr:rowOff>66675</xdr:rowOff>
    </xdr:to>
    <xdr:graphicFrame macro="">
      <xdr:nvGraphicFramePr>
        <xdr:cNvPr id="4" name="Graphique 3">
          <a:extLst>
            <a:ext uri="{FF2B5EF4-FFF2-40B4-BE49-F238E27FC236}">
              <a16:creationId xmlns:a16="http://schemas.microsoft.com/office/drawing/2014/main" id="{92BD8F50-A490-458D-BB70-544E704518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2266950</xdr:colOff>
      <xdr:row>66</xdr:row>
      <xdr:rowOff>38100</xdr:rowOff>
    </xdr:from>
    <xdr:to>
      <xdr:col>5</xdr:col>
      <xdr:colOff>7543800</xdr:colOff>
      <xdr:row>85</xdr:row>
      <xdr:rowOff>133350</xdr:rowOff>
    </xdr:to>
    <xdr:graphicFrame macro="">
      <xdr:nvGraphicFramePr>
        <xdr:cNvPr id="5" name="Graphique 4">
          <a:extLst>
            <a:ext uri="{FF2B5EF4-FFF2-40B4-BE49-F238E27FC236}">
              <a16:creationId xmlns:a16="http://schemas.microsoft.com/office/drawing/2014/main" id="{822120DD-F2E7-B4E1-0BE4-5846EC8322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647700</xdr:colOff>
      <xdr:row>87</xdr:row>
      <xdr:rowOff>38100</xdr:rowOff>
    </xdr:from>
    <xdr:to>
      <xdr:col>5</xdr:col>
      <xdr:colOff>1647825</xdr:colOff>
      <xdr:row>107</xdr:row>
      <xdr:rowOff>47625</xdr:rowOff>
    </xdr:to>
    <xdr:graphicFrame macro="">
      <xdr:nvGraphicFramePr>
        <xdr:cNvPr id="6" name="Graphique 5">
          <a:extLst>
            <a:ext uri="{FF2B5EF4-FFF2-40B4-BE49-F238E27FC236}">
              <a16:creationId xmlns:a16="http://schemas.microsoft.com/office/drawing/2014/main" id="{AE62FE28-A359-A22D-4B12-28FA5BFD6F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390525</xdr:colOff>
      <xdr:row>24</xdr:row>
      <xdr:rowOff>19050</xdr:rowOff>
    </xdr:from>
    <xdr:to>
      <xdr:col>2</xdr:col>
      <xdr:colOff>809625</xdr:colOff>
      <xdr:row>37</xdr:row>
      <xdr:rowOff>133350</xdr:rowOff>
    </xdr:to>
    <xdr:graphicFrame macro="">
      <xdr:nvGraphicFramePr>
        <xdr:cNvPr id="7" name="Graphique 6">
          <a:extLst>
            <a:ext uri="{FF2B5EF4-FFF2-40B4-BE49-F238E27FC236}">
              <a16:creationId xmlns:a16="http://schemas.microsoft.com/office/drawing/2014/main" id="{69C63468-CC8A-80D9-8310-14BA652B7D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0</xdr:colOff>
      <xdr:row>7</xdr:row>
      <xdr:rowOff>0</xdr:rowOff>
    </xdr:from>
    <xdr:to>
      <xdr:col>8</xdr:col>
      <xdr:colOff>0</xdr:colOff>
      <xdr:row>14</xdr:row>
      <xdr:rowOff>0</xdr:rowOff>
    </xdr:to>
    <xdr:graphicFrame macro="">
      <xdr:nvGraphicFramePr>
        <xdr:cNvPr id="8" name="Graphique 7">
          <a:extLst>
            <a:ext uri="{FF2B5EF4-FFF2-40B4-BE49-F238E27FC236}">
              <a16:creationId xmlns:a16="http://schemas.microsoft.com/office/drawing/2014/main" id="{968ED832-150D-91BA-8188-11B24ED99B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0</xdr:colOff>
      <xdr:row>42</xdr:row>
      <xdr:rowOff>1</xdr:rowOff>
    </xdr:from>
    <xdr:to>
      <xdr:col>8</xdr:col>
      <xdr:colOff>0</xdr:colOff>
      <xdr:row>52</xdr:row>
      <xdr:rowOff>1</xdr:rowOff>
    </xdr:to>
    <xdr:graphicFrame macro="">
      <xdr:nvGraphicFramePr>
        <xdr:cNvPr id="9" name="Graphique 8">
          <a:extLst>
            <a:ext uri="{FF2B5EF4-FFF2-40B4-BE49-F238E27FC236}">
              <a16:creationId xmlns:a16="http://schemas.microsoft.com/office/drawing/2014/main" id="{103D43B2-6583-5BF2-0E2E-60B8C4CDA3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70C57E-24D1-4F80-B5C9-323579C0BFFD}" name="T_Bilan" displayName="T_Bilan" ref="A1:M26" totalsRowShown="0" headerRowDxfId="127" dataDxfId="125" headerRowBorderDxfId="126" tableBorderDxfId="124" totalsRowBorderDxfId="123">
  <autoFilter ref="A1:M26" xr:uid="{C170C57E-24D1-4F80-B5C9-323579C0BFFD}"/>
  <tableColumns count="13">
    <tableColumn id="1" xr3:uid="{2D3DF120-8C98-471D-A87E-F9B75430AA9D}" name="Poste" dataDxfId="122"/>
    <tableColumn id="2" xr3:uid="{78AF6890-2468-4749-A994-7DFA5CBC9060}" name="Catégorie" dataDxfId="121"/>
    <tableColumn id="13" xr3:uid="{1920767F-2512-444D-897F-8E35134F8384}" name="2022" dataDxfId="120"/>
    <tableColumn id="3" xr3:uid="{1E3818FE-62DE-4D32-A17E-503DA9753987}" name="2023" dataDxfId="119"/>
    <tableColumn id="4" xr3:uid="{5F02D86F-CA69-4594-9551-8ED8C60A4E90}" name="2024" dataDxfId="118"/>
    <tableColumn id="5" xr3:uid="{5C0D2944-4482-40BD-AF22-6581B07AF99E}" name="2025" dataDxfId="117"/>
    <tableColumn id="6" xr3:uid="{84276D54-D0B9-4304-8B28-52A927FFA470}" name="Var. 23→24" dataDxfId="116">
      <calculatedColumnFormula>IFERROR((E2-D2)/ABS(D2),0)</calculatedColumnFormula>
    </tableColumn>
    <tableColumn id="7" xr3:uid="{1480299E-169D-4600-9782-1A16801B079C}" name="Var. 24→25" dataDxfId="115">
      <calculatedColumnFormula>IFERROR((F2-E2)/ABS(E2),0)</calculatedColumnFormula>
    </tableColumn>
    <tableColumn id="8" xr3:uid="{BDF696C1-47AA-4106-8E1E-407E502D29E0}" name="✔ Contrôle" dataDxfId="114">
      <calculatedColumnFormula>IF(ABS(F2-STOCKS!J26)&lt;1,"✅ Stock cohérent","ℹ️ Module STOCKS: "&amp;TEXT(STOCKS!J26,"#,##0")&amp;"€ (périmètre partiel)")</calculatedColumnFormula>
    </tableColumn>
    <tableColumn id="9" xr3:uid="{476FEC39-70CC-4F0B-A1A0-026521844661}" name="🏢 NOM DE L'ENTREPRISE" dataDxfId="113">
      <calculatedColumnFormula>IF(ABS(F2-PLAN_AMORT!O19)&lt;1,"✅ VNC cohérent","ℹ️ Plan amort VNC: "&amp;TEXT(PLAN_AMORT!O19,"#,##0")&amp;"€ / Bilan: "&amp;TEXT(F2,"#,##0")&amp;"€")</calculatedColumnFormula>
    </tableColumn>
    <tableColumn id="10" xr3:uid="{90DB9811-D3F9-4F5F-ADF9-678858AB33BD}" name="→" dataDxfId="112"/>
    <tableColumn id="11" xr3:uid="{833BAF0C-385F-4578-BA23-F499A55CDA83}" name="Acier Côte Ouest SAS" dataDxfId="111"/>
    <tableColumn id="12" xr3:uid="{CA9A9649-42C8-4FE4-9685-FA47F453A69D}" name="Colonne1" dataDxfId="1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C69B83-B543-40E5-8120-84A29A832291}" name="T_CPC" displayName="T_CPC" ref="A37:J56" totalsRowShown="0" headerRowDxfId="109">
  <autoFilter ref="A37:J56" xr:uid="{6FC69B83-B543-40E5-8120-84A29A832291}"/>
  <tableColumns count="10">
    <tableColumn id="1" xr3:uid="{29451290-AF50-4D7B-B46F-1281A74C39BE}" name="Poste" dataDxfId="108"/>
    <tableColumn id="2" xr3:uid="{DCF11733-E506-4F7C-AECE-55CE069F78F4}" name="Section" dataDxfId="107"/>
    <tableColumn id="10" xr3:uid="{24C200F8-EAF0-452D-BB4E-4FD16DB00448}" name="2022" dataDxfId="106"/>
    <tableColumn id="3" xr3:uid="{81265AB9-7D84-4E5F-BB5B-FE3E716ACE69}" name="2023" dataDxfId="105"/>
    <tableColumn id="4" xr3:uid="{2CE2D8AF-5A3F-4D8E-BAFA-B609DE630F08}" name="2024" dataDxfId="104"/>
    <tableColumn id="5" xr3:uid="{20EDEDAB-7A9A-46CE-A3E8-2FE60B1F3513}" name="2025" dataDxfId="103"/>
    <tableColumn id="6" xr3:uid="{B4A1EB27-DAD8-4B57-8064-520D07F7C54F}" name="Var. 23→24" dataDxfId="102"/>
    <tableColumn id="7" xr3:uid="{A9842A5B-BD45-48C8-8FAC-BBDB02846043}" name="Var. 24→25" dataDxfId="101"/>
    <tableColumn id="8" xr3:uid="{6CF4F2DF-B083-460B-A99E-BBBB552F0466}" name="Var. 24→26" dataDxfId="100"/>
    <tableColumn id="9" xr3:uid="{D6F921A9-D609-4036-8BD9-41E7459C8D23}" name="Var. 24→27" dataDxfId="99">
      <calculatedColumnFormula>IF(ABS(F38-ECARTS_BU!AB10)&lt;1,"✅ CA cohérent","ℹ️ Écarts_BU CA consol: "&amp;TEXT(ECARTS_BU!AB10,"#,##0")&amp;"€ (5 BU) vs CPC: "&amp;TEXT(F38,"#,##0")&amp;"€")</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8487D78-0C9B-4CDA-9F67-AB7F4608BF80}" name="T_Tresorerie" displayName="T_Tresorerie" ref="A60:G76" totalsRowShown="0" headerRowDxfId="98">
  <autoFilter ref="A60:G76" xr:uid="{68487D78-0C9B-4CDA-9F67-AB7F4608BF80}"/>
  <tableColumns count="7">
    <tableColumn id="1" xr3:uid="{7C2D8C80-A50B-48DB-B23B-D4F4028D709B}" name="Poste" dataDxfId="97"/>
    <tableColumn id="2" xr3:uid="{0EEA183C-37C7-44D6-8116-AEFD3E2B8780}" name="Catégorie" dataDxfId="96"/>
    <tableColumn id="3" xr3:uid="{F816ED30-C5AF-4B18-8580-A114A0B546F9}" name="2023" dataDxfId="95"/>
    <tableColumn id="4" xr3:uid="{104DF29C-A91B-4E2B-ABB2-0321D2AB590D}" name="2024" dataDxfId="94"/>
    <tableColumn id="5" xr3:uid="{FCF47C90-C918-43D8-9BF5-AD620EA1F1FC}" name="2025" dataDxfId="93"/>
    <tableColumn id="6" xr3:uid="{5652BACC-B2A8-4502-80A8-11A869710D65}" name="Sous-total 2025" dataDxfId="92">
      <calculatedColumnFormula>SUMIF($B$61:$B$75,"Financement",$E$61:$E$75)</calculatedColumnFormula>
    </tableColumn>
    <tableColumn id="7" xr3:uid="{6B427C65-1EBF-41C0-84E6-6C0FBFB9E45C}" name="Colonne1" dataDxfId="9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FDDE4EC-EB58-4A94-BA82-49BBB94F8ADD}" name="T_Budget" displayName="T_Budget" ref="A79:G88" totalsRowShown="0" headerRowDxfId="90">
  <autoFilter ref="A79:G88" xr:uid="{3FDDE4EC-EB58-4A94-BA82-49BBB94F8ADD}"/>
  <tableColumns count="7">
    <tableColumn id="1" xr3:uid="{1CDB9674-ADB6-486B-8A34-75D261843C97}" name="Poste" dataDxfId="89"/>
    <tableColumn id="2" xr3:uid="{C09E5CA2-AF04-4CA3-9D85-C2DD91E17CAD}" name="Catégorie" dataDxfId="88"/>
    <tableColumn id="3" xr3:uid="{449D61DE-9D3B-45C6-AA00-EA7A999683D9}" name="Budget 2025" dataDxfId="87"/>
    <tableColumn id="4" xr3:uid="{0F44FF56-0373-4514-A165-686EB6C226BF}" name="Réel 2025" dataDxfId="86"/>
    <tableColumn id="5" xr3:uid="{6B368DD6-7E2B-4DF2-9E44-39AB6EE0103B}" name="Écart Abs." dataDxfId="85"/>
    <tableColumn id="6" xr3:uid="{C3BDF888-3A46-452F-9321-02525174DFA4}" name="Écart %" dataDxfId="84"/>
    <tableColumn id="7" xr3:uid="{4CFEC546-CC9E-44ED-B3ED-6CF8D903F84E}" name="Statut" dataDxfId="83"/>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24865A6-DC84-4DB4-9D29-CAF81418193B}">
  <we:reference id="wa200009404" version="1.0.0.8" store="en-US" storeType="OMEX"/>
  <we:alternateReferences>
    <we:reference id="wa200009404" version="1.0.0.8" store="" storeType="OMEX"/>
  </we:alternateReferences>
  <we:properties>
    <we:property name="Office.AutoShowTaskpaneWithDocument" value="true"/>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2.vml"/><Relationship Id="rId6" Type="http://schemas.openxmlformats.org/officeDocument/2006/relationships/comments" Target="../comments2.xml"/><Relationship Id="rId5" Type="http://schemas.openxmlformats.org/officeDocument/2006/relationships/table" Target="../tables/table4.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F268B-AE7F-429A-B6B6-0589A95F3FE1}">
  <dimension ref="A1:F30"/>
  <sheetViews>
    <sheetView topLeftCell="A6" workbookViewId="0">
      <selection activeCell="E4" sqref="E4"/>
    </sheetView>
  </sheetViews>
  <sheetFormatPr baseColWidth="10" defaultColWidth="10.7109375" defaultRowHeight="15" x14ac:dyDescent="0.25"/>
  <cols>
    <col min="1" max="1" width="9.5703125" customWidth="1"/>
    <col min="2" max="2" width="15.28515625" customWidth="1"/>
    <col min="3" max="4" width="38.140625" customWidth="1"/>
    <col min="5" max="5" width="66.7109375" customWidth="1"/>
    <col min="6" max="6" width="47.5703125" customWidth="1"/>
  </cols>
  <sheetData>
    <row r="1" spans="1:6" x14ac:dyDescent="0.25">
      <c r="A1" s="508" t="s">
        <v>0</v>
      </c>
      <c r="B1" s="508" t="s">
        <v>1</v>
      </c>
      <c r="C1" s="508" t="s">
        <v>2</v>
      </c>
      <c r="D1" s="508" t="s">
        <v>3</v>
      </c>
      <c r="E1" s="508" t="s">
        <v>4</v>
      </c>
      <c r="F1" s="508" t="s">
        <v>5</v>
      </c>
    </row>
    <row r="2" spans="1:6" ht="105" x14ac:dyDescent="0.25">
      <c r="A2" s="353">
        <v>1</v>
      </c>
      <c r="B2" s="354">
        <v>46086</v>
      </c>
      <c r="C2" s="353" t="s">
        <v>6</v>
      </c>
      <c r="D2" s="353" t="s">
        <v>7</v>
      </c>
      <c r="E2" s="353" t="s">
        <v>8</v>
      </c>
      <c r="F2" s="353" t="s">
        <v>9</v>
      </c>
    </row>
    <row r="3" spans="1:6" ht="105" x14ac:dyDescent="0.25">
      <c r="A3" s="353">
        <v>2</v>
      </c>
      <c r="B3" s="354">
        <v>46086</v>
      </c>
      <c r="C3" s="353" t="s">
        <v>10</v>
      </c>
      <c r="D3" s="353" t="s">
        <v>11</v>
      </c>
      <c r="E3" s="353" t="s">
        <v>12</v>
      </c>
      <c r="F3" s="353" t="s">
        <v>13</v>
      </c>
    </row>
    <row r="4" spans="1:6" ht="90" x14ac:dyDescent="0.25">
      <c r="A4" s="353">
        <v>3</v>
      </c>
      <c r="B4" s="354">
        <v>46086</v>
      </c>
      <c r="C4" s="353" t="s">
        <v>14</v>
      </c>
      <c r="D4" s="353" t="s">
        <v>15</v>
      </c>
      <c r="E4" s="353" t="s">
        <v>16</v>
      </c>
      <c r="F4" s="353" t="s">
        <v>17</v>
      </c>
    </row>
    <row r="5" spans="1:6" ht="105" x14ac:dyDescent="0.25">
      <c r="A5" s="353">
        <v>4</v>
      </c>
      <c r="B5" s="354">
        <v>46086</v>
      </c>
      <c r="C5" s="353" t="s">
        <v>18</v>
      </c>
      <c r="D5" s="353" t="s">
        <v>19</v>
      </c>
      <c r="E5" s="353" t="s">
        <v>20</v>
      </c>
      <c r="F5" s="353" t="s">
        <v>21</v>
      </c>
    </row>
    <row r="6" spans="1:6" ht="90" x14ac:dyDescent="0.25">
      <c r="A6" s="353">
        <v>5</v>
      </c>
      <c r="B6" s="354">
        <v>46086</v>
      </c>
      <c r="C6" s="353" t="s">
        <v>22</v>
      </c>
      <c r="D6" s="353" t="s">
        <v>23</v>
      </c>
      <c r="E6" s="353" t="s">
        <v>24</v>
      </c>
      <c r="F6" s="353" t="s">
        <v>25</v>
      </c>
    </row>
    <row r="7" spans="1:6" ht="120" x14ac:dyDescent="0.25">
      <c r="A7" s="353">
        <v>6</v>
      </c>
      <c r="B7" s="354">
        <v>46086</v>
      </c>
      <c r="C7" s="353" t="s">
        <v>26</v>
      </c>
      <c r="D7" s="353" t="s">
        <v>27</v>
      </c>
      <c r="E7" s="353" t="s">
        <v>28</v>
      </c>
      <c r="F7" s="353" t="s">
        <v>29</v>
      </c>
    </row>
    <row r="8" spans="1:6" ht="90" x14ac:dyDescent="0.25">
      <c r="A8" s="353">
        <v>7</v>
      </c>
      <c r="B8" s="354">
        <v>46086</v>
      </c>
      <c r="C8" s="353" t="s">
        <v>30</v>
      </c>
      <c r="D8" s="353" t="s">
        <v>31</v>
      </c>
      <c r="E8" s="353" t="s">
        <v>32</v>
      </c>
      <c r="F8" s="353" t="s">
        <v>33</v>
      </c>
    </row>
    <row r="9" spans="1:6" ht="105" x14ac:dyDescent="0.25">
      <c r="A9" s="353">
        <v>8</v>
      </c>
      <c r="B9" s="354">
        <v>46086</v>
      </c>
      <c r="C9" s="353" t="s">
        <v>34</v>
      </c>
      <c r="D9" s="353" t="s">
        <v>35</v>
      </c>
      <c r="E9" s="353" t="s">
        <v>36</v>
      </c>
      <c r="F9" s="353" t="s">
        <v>37</v>
      </c>
    </row>
    <row r="10" spans="1:6" ht="120" x14ac:dyDescent="0.25">
      <c r="A10" s="353">
        <v>9</v>
      </c>
      <c r="B10" s="354">
        <v>46086</v>
      </c>
      <c r="C10" s="353" t="s">
        <v>38</v>
      </c>
      <c r="D10" s="353" t="s">
        <v>39</v>
      </c>
      <c r="E10" s="353" t="s">
        <v>40</v>
      </c>
      <c r="F10" s="353" t="s">
        <v>41</v>
      </c>
    </row>
    <row r="11" spans="1:6" ht="135" x14ac:dyDescent="0.25">
      <c r="A11" s="353">
        <v>10</v>
      </c>
      <c r="B11" s="357">
        <v>46086</v>
      </c>
      <c r="C11" s="353" t="s">
        <v>42</v>
      </c>
      <c r="D11" s="353" t="s">
        <v>43</v>
      </c>
      <c r="E11" s="353" t="s">
        <v>44</v>
      </c>
      <c r="F11" s="353" t="s">
        <v>45</v>
      </c>
    </row>
    <row r="12" spans="1:6" ht="90" x14ac:dyDescent="0.25">
      <c r="A12" s="353">
        <v>11</v>
      </c>
      <c r="B12" s="357">
        <v>46086</v>
      </c>
      <c r="C12" s="353" t="s">
        <v>46</v>
      </c>
      <c r="D12" s="353" t="s">
        <v>47</v>
      </c>
      <c r="E12" s="353" t="s">
        <v>48</v>
      </c>
      <c r="F12" s="353" t="s">
        <v>49</v>
      </c>
    </row>
    <row r="13" spans="1:6" ht="120" x14ac:dyDescent="0.25">
      <c r="A13" s="353">
        <v>12</v>
      </c>
      <c r="B13" s="357">
        <v>46086</v>
      </c>
      <c r="C13" s="353" t="s">
        <v>50</v>
      </c>
      <c r="D13" s="353" t="s">
        <v>51</v>
      </c>
      <c r="E13" s="353" t="s">
        <v>52</v>
      </c>
      <c r="F13" s="353" t="s">
        <v>53</v>
      </c>
    </row>
    <row r="14" spans="1:6" ht="105" x14ac:dyDescent="0.25">
      <c r="A14" s="353">
        <v>13</v>
      </c>
      <c r="B14" s="357">
        <v>46086</v>
      </c>
      <c r="C14" s="353" t="s">
        <v>54</v>
      </c>
      <c r="D14" s="353" t="s">
        <v>55</v>
      </c>
      <c r="E14" s="353" t="s">
        <v>56</v>
      </c>
      <c r="F14" s="353" t="s">
        <v>57</v>
      </c>
    </row>
    <row r="15" spans="1:6" ht="165" x14ac:dyDescent="0.25">
      <c r="A15" s="353">
        <v>15</v>
      </c>
      <c r="B15" s="357">
        <v>46086</v>
      </c>
      <c r="C15" s="353" t="s">
        <v>58</v>
      </c>
      <c r="D15" s="353" t="s">
        <v>59</v>
      </c>
      <c r="E15" s="353" t="s">
        <v>60</v>
      </c>
      <c r="F15" s="353" t="s">
        <v>61</v>
      </c>
    </row>
    <row r="16" spans="1:6" ht="150" x14ac:dyDescent="0.25">
      <c r="A16" s="353">
        <v>16</v>
      </c>
      <c r="B16" s="357">
        <v>46086</v>
      </c>
      <c r="C16" s="353" t="s">
        <v>62</v>
      </c>
      <c r="D16" s="353" t="s">
        <v>63</v>
      </c>
      <c r="E16" s="353" t="s">
        <v>64</v>
      </c>
      <c r="F16" s="353" t="s">
        <v>65</v>
      </c>
    </row>
    <row r="17" spans="1:6" ht="135" x14ac:dyDescent="0.25">
      <c r="A17" s="353">
        <v>17</v>
      </c>
      <c r="B17" s="357">
        <v>46090</v>
      </c>
      <c r="C17" s="353" t="s">
        <v>66</v>
      </c>
      <c r="D17" s="353" t="s">
        <v>67</v>
      </c>
      <c r="E17" s="353" t="s">
        <v>68</v>
      </c>
      <c r="F17" s="353" t="s">
        <v>69</v>
      </c>
    </row>
    <row r="18" spans="1:6" ht="105" x14ac:dyDescent="0.25">
      <c r="A18" s="353">
        <v>18</v>
      </c>
      <c r="B18" s="357">
        <v>46090</v>
      </c>
      <c r="C18" s="353" t="s">
        <v>70</v>
      </c>
      <c r="D18" s="353" t="s">
        <v>71</v>
      </c>
      <c r="E18" s="353" t="s">
        <v>72</v>
      </c>
      <c r="F18" s="353" t="s">
        <v>73</v>
      </c>
    </row>
    <row r="19" spans="1:6" ht="90" x14ac:dyDescent="0.25">
      <c r="A19" s="353">
        <v>19</v>
      </c>
      <c r="B19" s="357">
        <v>46091</v>
      </c>
      <c r="C19" s="353" t="s">
        <v>74</v>
      </c>
      <c r="D19" s="353" t="s">
        <v>75</v>
      </c>
      <c r="E19" s="353" t="s">
        <v>76</v>
      </c>
      <c r="F19" s="353" t="s">
        <v>77</v>
      </c>
    </row>
    <row r="20" spans="1:6" ht="120" x14ac:dyDescent="0.25">
      <c r="A20" s="353">
        <v>20</v>
      </c>
      <c r="B20" s="357">
        <v>46093</v>
      </c>
      <c r="C20" s="353" t="s">
        <v>78</v>
      </c>
      <c r="D20" s="353" t="s">
        <v>79</v>
      </c>
      <c r="E20" s="353" t="s">
        <v>80</v>
      </c>
      <c r="F20" s="353" t="s">
        <v>81</v>
      </c>
    </row>
    <row r="21" spans="1:6" ht="150" x14ac:dyDescent="0.25">
      <c r="A21" s="353">
        <v>21</v>
      </c>
      <c r="B21" s="357">
        <v>46093</v>
      </c>
      <c r="C21" s="353" t="s">
        <v>82</v>
      </c>
      <c r="D21" s="353" t="s">
        <v>83</v>
      </c>
      <c r="E21" s="353" t="s">
        <v>84</v>
      </c>
      <c r="F21" s="353" t="s">
        <v>85</v>
      </c>
    </row>
    <row r="22" spans="1:6" ht="90" x14ac:dyDescent="0.25">
      <c r="A22" s="353">
        <v>22</v>
      </c>
      <c r="B22" s="357">
        <v>46093</v>
      </c>
      <c r="C22" s="353" t="s">
        <v>1292</v>
      </c>
      <c r="D22" s="353" t="s">
        <v>1293</v>
      </c>
      <c r="E22" s="353" t="s">
        <v>1313</v>
      </c>
      <c r="F22" s="353" t="s">
        <v>1314</v>
      </c>
    </row>
    <row r="23" spans="1:6" ht="75" x14ac:dyDescent="0.25">
      <c r="A23" s="353">
        <v>23</v>
      </c>
      <c r="B23" s="357">
        <v>46093</v>
      </c>
      <c r="C23" s="353" t="s">
        <v>1600</v>
      </c>
      <c r="D23" s="353" t="s">
        <v>1601</v>
      </c>
      <c r="E23" s="353" t="s">
        <v>1602</v>
      </c>
      <c r="F23" s="353" t="s">
        <v>1603</v>
      </c>
    </row>
    <row r="24" spans="1:6" ht="75" x14ac:dyDescent="0.25">
      <c r="A24" s="353">
        <v>24</v>
      </c>
      <c r="B24" s="357">
        <v>46093</v>
      </c>
      <c r="C24" s="353" t="s">
        <v>1604</v>
      </c>
      <c r="D24" s="353" t="s">
        <v>1605</v>
      </c>
      <c r="E24" s="353" t="s">
        <v>1606</v>
      </c>
      <c r="F24" s="353" t="s">
        <v>1607</v>
      </c>
    </row>
    <row r="25" spans="1:6" ht="120" x14ac:dyDescent="0.25">
      <c r="A25" s="353">
        <v>25</v>
      </c>
      <c r="B25" s="357">
        <v>46094</v>
      </c>
      <c r="C25" s="353" t="s">
        <v>1633</v>
      </c>
      <c r="D25" s="353" t="s">
        <v>1634</v>
      </c>
      <c r="E25" s="353" t="s">
        <v>1635</v>
      </c>
      <c r="F25" s="353" t="s">
        <v>1636</v>
      </c>
    </row>
    <row r="26" spans="1:6" ht="180" x14ac:dyDescent="0.25">
      <c r="A26" s="353">
        <v>26</v>
      </c>
      <c r="B26" s="357">
        <v>46094</v>
      </c>
      <c r="C26" s="353" t="s">
        <v>1685</v>
      </c>
      <c r="D26" s="353" t="s">
        <v>1686</v>
      </c>
      <c r="E26" s="353" t="s">
        <v>1687</v>
      </c>
      <c r="F26" s="353" t="s">
        <v>1688</v>
      </c>
    </row>
    <row r="27" spans="1:6" ht="210" x14ac:dyDescent="0.25">
      <c r="A27" s="353">
        <v>27</v>
      </c>
      <c r="B27" s="357">
        <v>46094</v>
      </c>
      <c r="C27" s="353" t="s">
        <v>1734</v>
      </c>
      <c r="D27" s="353" t="s">
        <v>1735</v>
      </c>
      <c r="E27" s="353" t="s">
        <v>1736</v>
      </c>
      <c r="F27" s="353" t="s">
        <v>1737</v>
      </c>
    </row>
    <row r="28" spans="1:6" ht="165" x14ac:dyDescent="0.25">
      <c r="A28" s="353">
        <v>28</v>
      </c>
      <c r="B28" s="357">
        <v>46094</v>
      </c>
      <c r="C28" s="353" t="s">
        <v>1742</v>
      </c>
      <c r="D28" s="353" t="s">
        <v>1743</v>
      </c>
      <c r="E28" s="353" t="s">
        <v>1744</v>
      </c>
      <c r="F28" s="353" t="s">
        <v>1745</v>
      </c>
    </row>
    <row r="29" spans="1:6" ht="150" x14ac:dyDescent="0.25">
      <c r="A29" s="353">
        <v>29</v>
      </c>
      <c r="B29" s="357">
        <v>46094</v>
      </c>
      <c r="C29" s="353" t="s">
        <v>1747</v>
      </c>
      <c r="D29" s="353" t="s">
        <v>1748</v>
      </c>
      <c r="E29" s="353" t="s">
        <v>1749</v>
      </c>
      <c r="F29" s="353" t="s">
        <v>1750</v>
      </c>
    </row>
    <row r="30" spans="1:6" ht="135" x14ac:dyDescent="0.25">
      <c r="A30" s="353">
        <v>30</v>
      </c>
      <c r="B30" s="357">
        <v>46095</v>
      </c>
      <c r="C30" s="353" t="s">
        <v>1815</v>
      </c>
      <c r="D30" s="353" t="s">
        <v>1816</v>
      </c>
      <c r="E30" s="353" t="s">
        <v>1817</v>
      </c>
      <c r="F30" s="353" t="s">
        <v>1818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AD370-BA41-4402-9331-4ECE80594121}">
  <sheetPr>
    <tabColor rgb="FFFF0000"/>
  </sheetPr>
  <dimension ref="A1:G42"/>
  <sheetViews>
    <sheetView showGridLines="0" workbookViewId="0">
      <pane ySplit="3" topLeftCell="A19" activePane="bottomLeft" state="frozen"/>
      <selection pane="bottomLeft" activeCell="C13" sqref="C13"/>
    </sheetView>
  </sheetViews>
  <sheetFormatPr baseColWidth="10" defaultColWidth="10.7109375" defaultRowHeight="15" x14ac:dyDescent="0.25"/>
  <cols>
    <col min="1" max="1" width="1.5703125" customWidth="1"/>
    <col min="2" max="2" width="26.7109375" customWidth="1"/>
    <col min="3" max="4" width="24.7109375" customWidth="1"/>
    <col min="5" max="5" width="26.7109375" customWidth="1"/>
    <col min="6" max="6" width="30.42578125" customWidth="1"/>
    <col min="7" max="7" width="47.5703125" customWidth="1"/>
    <col min="8" max="8" width="2.85546875" customWidth="1"/>
  </cols>
  <sheetData>
    <row r="1" spans="1:7" ht="6" customHeight="1" thickBot="1" x14ac:dyDescent="0.3">
      <c r="A1" s="397"/>
      <c r="B1" s="397"/>
      <c r="C1" s="397"/>
      <c r="D1" s="397"/>
      <c r="E1" s="397"/>
      <c r="F1" s="397"/>
      <c r="G1" s="397"/>
    </row>
    <row r="2" spans="1:7" ht="42" customHeight="1" x14ac:dyDescent="0.3">
      <c r="A2" s="397"/>
      <c r="B2" s="1222" t="str">
        <f>'Données Brutes'!L1&amp;"  —  RAPPORT DE DIRECTION  |  Exercice 2025"</f>
        <v>Acier Côte Ouest SAS  —  RAPPORT DE DIRECTION  |  Exercice 2025</v>
      </c>
      <c r="C2" s="1223"/>
      <c r="D2" s="1223"/>
      <c r="E2" s="1223"/>
      <c r="F2" s="1223"/>
      <c r="G2" s="1224"/>
    </row>
    <row r="3" spans="1:7" ht="18" customHeight="1" thickBot="1" x14ac:dyDescent="0.3">
      <c r="A3" s="397"/>
      <c r="B3" s="1225" t="s">
        <v>86</v>
      </c>
      <c r="C3" s="1226"/>
      <c r="D3" s="1226"/>
      <c r="E3" s="1226"/>
      <c r="F3" s="1226"/>
      <c r="G3" s="1227"/>
    </row>
    <row r="4" spans="1:7" ht="20.100000000000001" customHeight="1" x14ac:dyDescent="0.25">
      <c r="A4" s="397"/>
      <c r="B4" s="1228" t="s">
        <v>87</v>
      </c>
      <c r="C4" s="1229"/>
      <c r="D4" s="1207" t="s">
        <v>88</v>
      </c>
      <c r="E4" s="1229"/>
      <c r="F4" s="1207" t="s">
        <v>89</v>
      </c>
      <c r="G4" s="1208"/>
    </row>
    <row r="5" spans="1:7" ht="36" customHeight="1" thickBot="1" x14ac:dyDescent="0.3">
      <c r="A5" s="397"/>
      <c r="B5" s="1230" t="str">
        <f>'Ratios &amp; Indicateurs'!F90&amp;" / 150"</f>
        <v>121 / 150</v>
      </c>
      <c r="C5" s="1231"/>
      <c r="D5" s="1232" t="str">
        <f>'Dashboard Interactif'!F6</f>
        <v>Santé financière solide</v>
      </c>
      <c r="E5" s="1233"/>
      <c r="F5" s="1209">
        <f>'Valorisation DCF'!C58/Accueil!F27</f>
        <v>26.199447184189701</v>
      </c>
      <c r="G5" s="1210"/>
    </row>
    <row r="6" spans="1:7" ht="15.95" customHeight="1" x14ac:dyDescent="0.25">
      <c r="A6" s="397"/>
      <c r="B6" s="1211" t="str">
        <f>TEXT('Ratios &amp; Indicateurs'!F90/150*100,"0")&amp;"% atteint"</f>
        <v>81% atteint</v>
      </c>
      <c r="C6" s="1212"/>
      <c r="D6" s="1211">
        <f>'Ratios &amp; Indicateurs'!G91</f>
        <v>0</v>
      </c>
      <c r="E6" s="1212"/>
      <c r="F6" s="1211" t="str">
        <f>Accueil!F28&amp;" — Enterprise Value DCF"</f>
        <v>M€ — Enterprise Value DCF</v>
      </c>
      <c r="G6" s="1212"/>
    </row>
    <row r="7" spans="1:7" ht="18" customHeight="1" x14ac:dyDescent="0.25">
      <c r="A7" s="397"/>
      <c r="B7" s="1220" t="str">
        <f>IF('Ratios &amp; Indicateurs'!F90/150&gt;=0.75,"✅ Santé financière solide",IF('Ratios &amp; Indicateurs'!F90/150&gt;=0.5,"⚠️ Vigilance requise","🔴 Risques élevés"))</f>
        <v>✅ Santé financière solide</v>
      </c>
      <c r="C7" s="1212"/>
      <c r="D7" s="1221" t="s">
        <v>90</v>
      </c>
      <c r="E7" s="1212"/>
      <c r="F7" s="1213" t="str">
        <f>"WACC: "&amp;TEXT('Valorisation DCF'!C22*100,"0,0")&amp;"% | g: "&amp;TEXT('Valorisation DCF'!C50*100,"0,0")&amp;"%"</f>
        <v>WACC: 6,8% | g: 2,0%</v>
      </c>
      <c r="G7" s="1212"/>
    </row>
    <row r="8" spans="1:7" ht="3.95" customHeight="1" x14ac:dyDescent="0.25">
      <c r="A8" s="397"/>
      <c r="B8" s="397"/>
      <c r="C8" s="397"/>
      <c r="D8" s="397"/>
      <c r="E8" s="397"/>
      <c r="F8" s="397"/>
      <c r="G8" s="397"/>
    </row>
    <row r="9" spans="1:7" ht="3.95" customHeight="1" thickBot="1" x14ac:dyDescent="0.3">
      <c r="A9" s="397"/>
      <c r="B9" s="397"/>
      <c r="C9" s="397"/>
      <c r="D9" s="397"/>
      <c r="E9" s="397"/>
      <c r="F9" s="397"/>
      <c r="G9" s="397"/>
    </row>
    <row r="10" spans="1:7" ht="26.1" customHeight="1" x14ac:dyDescent="0.25">
      <c r="A10" s="397"/>
      <c r="B10" s="1214" t="s">
        <v>91</v>
      </c>
      <c r="C10" s="1215"/>
      <c r="D10" s="1215"/>
      <c r="E10" s="1215"/>
      <c r="F10" s="1215"/>
      <c r="G10" s="1216"/>
    </row>
    <row r="11" spans="1:7" ht="21.95" customHeight="1" x14ac:dyDescent="0.25">
      <c r="A11" s="397"/>
      <c r="B11" s="552" t="s">
        <v>92</v>
      </c>
      <c r="C11" s="553">
        <v>2023</v>
      </c>
      <c r="D11" s="553">
        <v>2024</v>
      </c>
      <c r="E11" s="553">
        <v>2025</v>
      </c>
      <c r="F11" s="553" t="s">
        <v>93</v>
      </c>
      <c r="G11" s="554" t="s">
        <v>94</v>
      </c>
    </row>
    <row r="12" spans="1:7" ht="21.95" customHeight="1" x14ac:dyDescent="0.25">
      <c r="A12" s="397"/>
      <c r="B12" s="555" t="str">
        <f>"Chiffre d'Affaires ("&amp;Accueil!F28&amp;")"</f>
        <v>Chiffre d'Affaires (M€)</v>
      </c>
      <c r="C12" s="414">
        <f>'Données Brutes'!D38</f>
        <v>28500000</v>
      </c>
      <c r="D12" s="414">
        <f>'Données Brutes'!E38</f>
        <v>29800000</v>
      </c>
      <c r="E12" s="414">
        <f>'Données Brutes'!F38</f>
        <v>32400000</v>
      </c>
      <c r="F12" s="400" t="s">
        <v>95</v>
      </c>
      <c r="G12" s="556" t="str">
        <f>IF('Données Brutes'!F38&gt;'Données Brutes'!E38,"Hausse","Baisse")</f>
        <v>Hausse</v>
      </c>
    </row>
    <row r="13" spans="1:7" ht="21.95" customHeight="1" x14ac:dyDescent="0.25">
      <c r="A13" s="397"/>
      <c r="B13" s="557" t="str">
        <f>"EBITDA ("&amp;Accueil!F28&amp;")"</f>
        <v>EBITDA (M€)</v>
      </c>
      <c r="C13" s="415">
        <f>(SUMIF('Données Brutes'!A38:A56,"Chiffre d'affaires net",'Données Brutes'!D38:D56)+SUMIF('Données Brutes'!A38:A56,"Production stockée",'Données Brutes'!D38:D56)+SUMIF('Données Brutes'!A38:A56,"Production immobilisée",'Données Brutes'!D38:D56)+SUMIF('Données Brutes'!A38:A56,"Subventions exploitation",'Données Brutes'!D38:D56))-(SUMIF('Données Brutes'!A38:A56,"Achats matières premières",'Données Brutes'!D38:D56)+SUMIF('Données Brutes'!A38:A56,"Variation stocks MP",'Données Brutes'!D38:D56)+SUMIF('Données Brutes'!A38:A56,"Autres achats &amp; charges ext.",'Données Brutes'!D38:D56)+SUMIF('Données Brutes'!A38:A56,"Impôts &amp; taxes",'Données Brutes'!D38:D56)+SUMIF('Données Brutes'!A38:A56,"Charges de personnel",'Données Brutes'!D38:D56))</f>
        <v>3980000</v>
      </c>
      <c r="D13" s="415">
        <f>(SUMIF('Données Brutes'!A38:A56,"Chiffre d'affaires net",'Données Brutes'!E38:E56)+SUMIF('Données Brutes'!A38:A56,"Production stockée",'Données Brutes'!E38:E56)+SUMIF('Données Brutes'!A38:A56,"Production immobilisée",'Données Brutes'!E38:E56)+SUMIF('Données Brutes'!A38:A56,"Subventions exploitation",'Données Brutes'!E38:E56))-(SUMIF('Données Brutes'!A38:A56,"Achats matières premières",'Données Brutes'!E38:E56)+SUMIF('Données Brutes'!A38:A56,"Variation stocks MP",'Données Brutes'!E38:E56)+SUMIF('Données Brutes'!A38:A56,"Autres achats &amp; charges ext.",'Données Brutes'!E38:E56)+SUMIF('Données Brutes'!A38:A56,"Impôts &amp; taxes",'Données Brutes'!E38:E56)+SUMIF('Données Brutes'!A38:A56,"Charges de personnel",'Données Brutes'!E38:E56))</f>
        <v>4225000</v>
      </c>
      <c r="E13" s="415">
        <f>'Dashboard Interactif'!C4</f>
        <v>4770000</v>
      </c>
      <c r="F13" s="401" t="s">
        <v>96</v>
      </c>
      <c r="G13" s="558" t="str">
        <f>'Dashboard Interactif'!E18</f>
        <v>🔴 Critique</v>
      </c>
    </row>
    <row r="14" spans="1:7" ht="21.95" customHeight="1" x14ac:dyDescent="0.25">
      <c r="A14" s="397"/>
      <c r="B14" s="559" t="s">
        <v>97</v>
      </c>
      <c r="C14" s="403">
        <f>'Ratios &amp; Indicateurs'!D24</f>
        <v>0.13964912280701755</v>
      </c>
      <c r="D14" s="403">
        <f>'Ratios &amp; Indicateurs'!E24</f>
        <v>0.14177852348993289</v>
      </c>
      <c r="E14" s="403">
        <f>'Ratios &amp; Indicateurs'!F24</f>
        <v>0.14722222222222223</v>
      </c>
      <c r="F14" s="402" t="s">
        <v>98</v>
      </c>
      <c r="G14" s="560" t="str">
        <f>'Dashboard Interactif'!E18</f>
        <v>🔴 Critique</v>
      </c>
    </row>
    <row r="15" spans="1:7" ht="21.95" customHeight="1" x14ac:dyDescent="0.25">
      <c r="A15" s="397"/>
      <c r="B15" s="561" t="s">
        <v>99</v>
      </c>
      <c r="C15" s="404">
        <f>'Ratios &amp; Indicateurs'!D27</f>
        <v>0.16694843617920541</v>
      </c>
      <c r="D15" s="404">
        <f>'Ratios &amp; Indicateurs'!E27</f>
        <v>0.20409181636726548</v>
      </c>
      <c r="E15" s="404">
        <f>'Ratios &amp; Indicateurs'!F27</f>
        <v>0.15974320241691842</v>
      </c>
      <c r="F15" s="401" t="s">
        <v>100</v>
      </c>
      <c r="G15" s="558" t="str">
        <f>'Dashboard Interactif'!E19</f>
        <v>✅ OK</v>
      </c>
    </row>
    <row r="16" spans="1:7" ht="21.95" customHeight="1" x14ac:dyDescent="0.25">
      <c r="A16" s="397"/>
      <c r="B16" s="562" t="s">
        <v>101</v>
      </c>
      <c r="C16" s="405">
        <f>'Ratios &amp; Indicateurs'!D20</f>
        <v>2.7146526175636745</v>
      </c>
      <c r="D16" s="405">
        <f>'Ratios &amp; Indicateurs'!E20</f>
        <v>3.0062858036237063</v>
      </c>
      <c r="E16" s="405">
        <f>'Ratios &amp; Indicateurs'!F20</f>
        <v>2.9382453126911403</v>
      </c>
      <c r="F16" s="402" t="s">
        <v>102</v>
      </c>
      <c r="G16" s="560" t="str">
        <f>'Dashboard Interactif'!E16</f>
        <v>⚠️ Zone Grise</v>
      </c>
    </row>
    <row r="17" spans="1:7" ht="21.95" customHeight="1" x14ac:dyDescent="0.25">
      <c r="A17" s="397"/>
      <c r="B17" s="563" t="s">
        <v>103</v>
      </c>
      <c r="C17" s="494">
        <f>'Ratios &amp; Indicateurs'!D14</f>
        <v>0.95519864750633976</v>
      </c>
      <c r="D17" s="494">
        <f>'Ratios &amp; Indicateurs'!E14</f>
        <v>1.0888223552894212</v>
      </c>
      <c r="E17" s="416">
        <f>'Ratios &amp; Indicateurs'!F14</f>
        <v>0.93504531722054385</v>
      </c>
      <c r="F17" s="401" t="s">
        <v>104</v>
      </c>
      <c r="G17" s="558" t="str">
        <f>'Dashboard Interactif'!E15</f>
        <v>✅ OK</v>
      </c>
    </row>
    <row r="18" spans="1:7" ht="21.95" customHeight="1" x14ac:dyDescent="0.25">
      <c r="A18" s="397"/>
      <c r="B18" s="564" t="s">
        <v>105</v>
      </c>
      <c r="C18" s="495">
        <f>'Ratios &amp; Indicateurs'!D34</f>
        <v>53.78947368421052</v>
      </c>
      <c r="D18" s="495">
        <f>'Ratios &amp; Indicateurs'!E34</f>
        <v>56.34228187919463</v>
      </c>
      <c r="E18" s="417">
        <f>'Ratios &amp; Indicateurs'!F34</f>
        <v>57.453703703703702</v>
      </c>
      <c r="F18" s="402" t="s">
        <v>106</v>
      </c>
      <c r="G18" s="560" t="str">
        <f>'Dashboard Interactif'!E20</f>
        <v>⚠️ Long</v>
      </c>
    </row>
    <row r="19" spans="1:7" ht="21.95" customHeight="1" thickBot="1" x14ac:dyDescent="0.3">
      <c r="A19" s="397"/>
      <c r="B19" s="565" t="s">
        <v>107</v>
      </c>
      <c r="C19" s="566">
        <f>'Ratios &amp; Indicateurs'!D37</f>
        <v>115.52797087995421</v>
      </c>
      <c r="D19" s="566">
        <f>'Ratios &amp; Indicateurs'!E37</f>
        <v>112.16612633994298</v>
      </c>
      <c r="E19" s="567">
        <f>'Ratios &amp; Indicateurs'!F37</f>
        <v>119.64440155705448</v>
      </c>
      <c r="F19" s="568" t="s">
        <v>108</v>
      </c>
      <c r="G19" s="569" t="str">
        <f>'Dashboard Interactif'!E21</f>
        <v>🔴 Critique</v>
      </c>
    </row>
    <row r="20" spans="1:7" ht="6" customHeight="1" thickBot="1" x14ac:dyDescent="0.3">
      <c r="A20" s="397"/>
      <c r="B20" s="398"/>
      <c r="C20" s="398"/>
      <c r="D20" s="398"/>
      <c r="E20" s="398"/>
      <c r="F20" s="398"/>
      <c r="G20" s="398"/>
    </row>
    <row r="21" spans="1:7" ht="26.1" customHeight="1" thickBot="1" x14ac:dyDescent="0.3">
      <c r="A21" s="397"/>
      <c r="B21" s="1217" t="s">
        <v>109</v>
      </c>
      <c r="C21" s="1218"/>
      <c r="D21" s="1218"/>
      <c r="E21" s="1218"/>
      <c r="F21" s="1218"/>
      <c r="G21" s="1219"/>
    </row>
    <row r="22" spans="1:7" ht="20.100000000000001" customHeight="1" x14ac:dyDescent="0.25">
      <c r="A22" s="397"/>
      <c r="B22" s="407" t="s">
        <v>110</v>
      </c>
      <c r="C22" s="496" t="s">
        <v>111</v>
      </c>
      <c r="D22" s="407" t="s">
        <v>112</v>
      </c>
      <c r="E22" s="407" t="s">
        <v>113</v>
      </c>
      <c r="F22" s="407" t="s">
        <v>94</v>
      </c>
      <c r="G22" s="407" t="s">
        <v>114</v>
      </c>
    </row>
    <row r="23" spans="1:7" ht="24" customHeight="1" x14ac:dyDescent="0.25">
      <c r="A23" s="397"/>
      <c r="B23" s="427">
        <v>1</v>
      </c>
      <c r="C23" s="497" t="str">
        <f>"Point Mort depasse ("&amp;TEXT('Ratios &amp; Indicateurs'!F44,"0")&amp;" j &gt; 300 j)"</f>
        <v>Point Mort depasse (309 j &gt; 300 j)</v>
      </c>
      <c r="D23" s="419">
        <f>'Dashboard Interactif'!C22</f>
        <v>308.98187311178242</v>
      </c>
      <c r="E23" s="408" t="s">
        <v>115</v>
      </c>
      <c r="F23" s="424" t="str">
        <f>'Dashboard Interactif'!E22</f>
        <v>🔴 Critique</v>
      </c>
      <c r="G23" s="421" t="s">
        <v>116</v>
      </c>
    </row>
    <row r="24" spans="1:7" ht="24" customHeight="1" x14ac:dyDescent="0.25">
      <c r="A24" s="397"/>
      <c r="B24" s="428">
        <v>2</v>
      </c>
      <c r="C24" s="410" t="str">
        <f>"CAPEX depasse budget de +"&amp;TEXT(('Données Brutes'!D87-'Données Brutes'!C87)/'Données Brutes'!C87*100,"0")&amp;"% ("&amp;TEXT('Données Brutes'!D87/Accueil!F27,"0,0")&amp;" "&amp;Accueil!F28&amp;" vs "&amp;TEXT('Données Brutes'!C87/Accueil!F27,"0,0")&amp;" "&amp;Accueil!F28&amp;")"</f>
        <v>CAPEX depasse budget de +14% (3,2 M€ vs 2,8 M€)</v>
      </c>
      <c r="D24" s="410">
        <f>'Données Brutes'!F83</f>
        <v>5.6818181818181816E-2</v>
      </c>
      <c r="E24" s="409" t="s">
        <v>117</v>
      </c>
      <c r="F24" s="425" t="s">
        <v>118</v>
      </c>
      <c r="G24" s="422" t="s">
        <v>119</v>
      </c>
    </row>
    <row r="25" spans="1:7" ht="24" customHeight="1" thickBot="1" x14ac:dyDescent="0.3">
      <c r="A25" s="397"/>
      <c r="B25" s="429">
        <v>3</v>
      </c>
      <c r="C25" s="411" t="str">
        <f>"Marge EBITDA sous norme ("&amp;TEXT('Ratios &amp; Indicateurs'!F24*100,"0,0")&amp;"% vs 15% cible)"</f>
        <v>Marge EBITDA sous norme (14,7% vs 15% cible)</v>
      </c>
      <c r="D25" s="412">
        <f>'Ratios &amp; Indicateurs'!F24</f>
        <v>0.14722222222222223</v>
      </c>
      <c r="E25" s="411" t="s">
        <v>98</v>
      </c>
      <c r="F25" s="426" t="str">
        <f>'Dashboard Interactif'!E18</f>
        <v>🔴 Critique</v>
      </c>
      <c r="G25" s="423" t="s">
        <v>120</v>
      </c>
    </row>
    <row r="26" spans="1:7" ht="6" customHeight="1" thickBot="1" x14ac:dyDescent="0.3">
      <c r="A26" s="397"/>
      <c r="B26" s="406"/>
      <c r="C26" s="406"/>
      <c r="D26" s="406"/>
      <c r="E26" s="406"/>
      <c r="F26" s="406"/>
      <c r="G26" s="406"/>
    </row>
    <row r="27" spans="1:7" ht="26.1" customHeight="1" x14ac:dyDescent="0.25">
      <c r="A27" s="397"/>
      <c r="B27" s="1201" t="s">
        <v>121</v>
      </c>
      <c r="C27" s="1202"/>
      <c r="D27" s="1202"/>
      <c r="E27" s="1202"/>
      <c r="F27" s="1202"/>
      <c r="G27" s="1203"/>
    </row>
    <row r="28" spans="1:7" ht="20.100000000000001" customHeight="1" x14ac:dyDescent="0.25">
      <c r="A28" s="397"/>
      <c r="B28" s="529" t="s">
        <v>122</v>
      </c>
      <c r="C28" s="530" t="str">
        <f>"Montant ("&amp;Accueil!F28&amp;")"</f>
        <v>Montant (M€)</v>
      </c>
      <c r="D28" s="530" t="s">
        <v>123</v>
      </c>
      <c r="E28" s="530" t="str">
        <f>"Cumulé ("&amp;Accueil!F28&amp;")"</f>
        <v>Cumulé (M€)</v>
      </c>
      <c r="F28" s="530" t="s">
        <v>124</v>
      </c>
      <c r="G28" s="531" t="s">
        <v>125</v>
      </c>
    </row>
    <row r="29" spans="1:7" ht="20.100000000000001" customHeight="1" x14ac:dyDescent="0.25">
      <c r="A29" s="397"/>
      <c r="B29" s="532" t="str">
        <f>'Analyse Approfondie'!B22</f>
        <v>Étape de réconciliation</v>
      </c>
      <c r="C29" s="533" t="str">
        <f>'Analyse Approfondie'!C22</f>
        <v>Montant (M€)</v>
      </c>
      <c r="D29" s="533" t="str">
        <f>'Analyse Approfondie'!D22</f>
        <v>Sens</v>
      </c>
      <c r="E29" s="534" t="str">
        <f>'Analyse Approfondie'!E22</f>
        <v>Cumulé (M€)</v>
      </c>
      <c r="F29" s="535" t="str">
        <f>'Analyse Approfondie'!F22</f>
        <v>Δ %  vs Budget</v>
      </c>
      <c r="G29" s="536"/>
    </row>
    <row r="30" spans="1:7" ht="20.100000000000001" customHeight="1" x14ac:dyDescent="0.25">
      <c r="A30" s="397"/>
      <c r="B30" s="537" t="str">
        <f>'Analyse Approfondie'!B23</f>
        <v>Budget Résultat Net</v>
      </c>
      <c r="C30" s="432">
        <f>'Analyse Approfondie'!C23</f>
        <v>4820000</v>
      </c>
      <c r="D30" s="432" t="str">
        <f>'Analyse Approfondie'!D23</f>
        <v>Référence</v>
      </c>
      <c r="E30" s="418">
        <f>'Analyse Approfondie'!E23</f>
        <v>4820000</v>
      </c>
      <c r="F30" s="418" t="str">
        <f>'Analyse Approfondie'!F23</f>
        <v>—</v>
      </c>
      <c r="G30" s="538" t="s">
        <v>126</v>
      </c>
    </row>
    <row r="31" spans="1:7" ht="20.100000000000001" customHeight="1" x14ac:dyDescent="0.25">
      <c r="A31" s="397"/>
      <c r="B31" s="539" t="str">
        <f>'Analyse Approfondie'!B24</f>
        <v>Écart CA (volume)</v>
      </c>
      <c r="C31" s="433">
        <f>'Analyse Approfondie'!C24</f>
        <v>-1600000</v>
      </c>
      <c r="D31" s="430" t="str">
        <f>'Analyse Approfondie'!D24</f>
        <v>Défavorable</v>
      </c>
      <c r="E31" s="498">
        <f>'Analyse Approfondie'!E24</f>
        <v>3220000</v>
      </c>
      <c r="F31" s="435">
        <f>'Analyse Approfondie'!F24</f>
        <v>-0.33195020746887965</v>
      </c>
      <c r="G31" s="540" t="s">
        <v>127</v>
      </c>
    </row>
    <row r="32" spans="1:7" ht="20.100000000000001" customHeight="1" x14ac:dyDescent="0.25">
      <c r="A32" s="397"/>
      <c r="B32" s="541" t="str">
        <f>'Analyse Approfondie'!B25</f>
        <v>Écart Matières premières</v>
      </c>
      <c r="C32" s="434">
        <f>'Analyse Approfondie'!C25</f>
        <v>-300000</v>
      </c>
      <c r="D32" s="431" t="str">
        <f>'Analyse Approfondie'!D25</f>
        <v>Défavorable</v>
      </c>
      <c r="E32" s="499">
        <f>'Analyse Approfondie'!E25</f>
        <v>2920000</v>
      </c>
      <c r="F32" s="436">
        <f>'Analyse Approfondie'!F25</f>
        <v>-6.2240663900414939E-2</v>
      </c>
      <c r="G32" s="542" t="s">
        <v>128</v>
      </c>
    </row>
    <row r="33" spans="1:7" ht="20.100000000000001" customHeight="1" x14ac:dyDescent="0.25">
      <c r="A33" s="397"/>
      <c r="B33" s="539" t="str">
        <f>'Analyse Approfondie'!B26</f>
        <v>Écart Charges personnel</v>
      </c>
      <c r="C33" s="433">
        <f>'Analyse Approfondie'!C26</f>
        <v>-200000</v>
      </c>
      <c r="D33" s="430" t="str">
        <f>'Analyse Approfondie'!D26</f>
        <v>Défavorable</v>
      </c>
      <c r="E33" s="498">
        <f>'Analyse Approfondie'!E26</f>
        <v>2720000</v>
      </c>
      <c r="F33" s="435">
        <f>'Analyse Approfondie'!F26</f>
        <v>-4.1493775933609957E-2</v>
      </c>
      <c r="G33" s="540" t="s">
        <v>129</v>
      </c>
    </row>
    <row r="34" spans="1:7" ht="20.100000000000001" customHeight="1" x14ac:dyDescent="0.25">
      <c r="A34" s="397"/>
      <c r="B34" s="541" t="str">
        <f>'Analyse Approfondie'!B27</f>
        <v>Écart Charges externes</v>
      </c>
      <c r="C34" s="434">
        <f>'Analyse Approfondie'!C27</f>
        <v>-250000</v>
      </c>
      <c r="D34" s="431" t="str">
        <f>'Analyse Approfondie'!D27</f>
        <v>Défavorable</v>
      </c>
      <c r="E34" s="499">
        <f>'Analyse Approfondie'!E27</f>
        <v>2470000</v>
      </c>
      <c r="F34" s="436">
        <f>'Analyse Approfondie'!F27</f>
        <v>-5.1867219917012451E-2</v>
      </c>
      <c r="G34" s="542" t="s">
        <v>130</v>
      </c>
    </row>
    <row r="35" spans="1:7" ht="20.100000000000001" customHeight="1" x14ac:dyDescent="0.25">
      <c r="A35" s="397"/>
      <c r="B35" s="539" t="str">
        <f>'Analyse Approfondie'!B28</f>
        <v>Écart Amortissements</v>
      </c>
      <c r="C35" s="433">
        <f>'Analyse Approfondie'!C28</f>
        <v>-150000</v>
      </c>
      <c r="D35" s="430" t="str">
        <f>'Analyse Approfondie'!D28</f>
        <v>Défavorable</v>
      </c>
      <c r="E35" s="498">
        <f>'Analyse Approfondie'!E28</f>
        <v>2320000</v>
      </c>
      <c r="F35" s="435">
        <f>'Analyse Approfondie'!F28</f>
        <v>-3.1120331950207469E-2</v>
      </c>
      <c r="G35" s="540" t="s">
        <v>131</v>
      </c>
    </row>
    <row r="36" spans="1:7" ht="20.100000000000001" customHeight="1" x14ac:dyDescent="0.25">
      <c r="A36" s="397"/>
      <c r="B36" s="541" t="str">
        <f>'Analyse Approfondie'!B29</f>
        <v>Écart Charges financières</v>
      </c>
      <c r="C36" s="434">
        <f>'Analyse Approfondie'!C29</f>
        <v>-30000</v>
      </c>
      <c r="D36" s="431" t="str">
        <f>'Analyse Approfondie'!D29</f>
        <v>Défavorable</v>
      </c>
      <c r="E36" s="499">
        <f>'Analyse Approfondie'!E29</f>
        <v>2290000</v>
      </c>
      <c r="F36" s="436">
        <f>'Analyse Approfondie'!F29</f>
        <v>-6.2240663900414933E-3</v>
      </c>
      <c r="G36" s="542" t="s">
        <v>132</v>
      </c>
    </row>
    <row r="37" spans="1:7" ht="20.100000000000001" customHeight="1" thickBot="1" x14ac:dyDescent="0.3">
      <c r="A37" s="397"/>
      <c r="B37" s="543" t="str">
        <f>'Analyse Approfondie'!B30</f>
        <v>Écart Impôts</v>
      </c>
      <c r="C37" s="544">
        <f>'Analyse Approfondie'!C30</f>
        <v>40000</v>
      </c>
      <c r="D37" s="545" t="str">
        <f>'Analyse Approfondie'!D30</f>
        <v>Favorable</v>
      </c>
      <c r="E37" s="546">
        <f>'Analyse Approfondie'!E30</f>
        <v>2330000</v>
      </c>
      <c r="F37" s="547">
        <f>'Analyse Approfondie'!F30</f>
        <v>8.2987551867219917E-3</v>
      </c>
      <c r="G37" s="548" t="s">
        <v>133</v>
      </c>
    </row>
    <row r="38" spans="1:7" ht="6" customHeight="1" x14ac:dyDescent="0.25">
      <c r="A38" s="397"/>
      <c r="B38" s="413"/>
      <c r="C38" s="413"/>
      <c r="D38" s="413"/>
      <c r="E38" s="413"/>
      <c r="F38" s="413"/>
      <c r="G38" s="413"/>
    </row>
    <row r="39" spans="1:7" ht="6" customHeight="1" x14ac:dyDescent="0.25">
      <c r="A39" s="397"/>
      <c r="B39" s="420" t="s">
        <v>134</v>
      </c>
      <c r="C39" s="399"/>
      <c r="D39" s="399"/>
      <c r="E39" s="399"/>
      <c r="F39" s="399"/>
      <c r="G39" s="399"/>
    </row>
    <row r="40" spans="1:7" ht="3.95" customHeight="1" thickBot="1" x14ac:dyDescent="0.3">
      <c r="A40" s="397"/>
      <c r="B40" s="397"/>
      <c r="C40" s="397"/>
      <c r="D40" s="397"/>
      <c r="E40" s="397"/>
      <c r="F40" s="397"/>
      <c r="G40" s="397"/>
    </row>
    <row r="41" spans="1:7" ht="21.95" customHeight="1" x14ac:dyDescent="0.25">
      <c r="A41" s="397"/>
      <c r="B41" s="1204" t="str">
        <f>"⚠️  CONFIDENTIEL — Document de direction généré automatiquement  |  "&amp;'Données Brutes'!L1&amp;"  |  Exercice 2025"</f>
        <v>⚠️  CONFIDENTIEL — Document de direction généré automatiquement  |  Acier Côte Ouest SAS  |  Exercice 2025</v>
      </c>
      <c r="C41" s="1205"/>
      <c r="D41" s="1205"/>
      <c r="E41" s="1205"/>
      <c r="F41" s="1205"/>
      <c r="G41" s="1206"/>
    </row>
    <row r="42" spans="1:7" ht="15.95" customHeight="1" thickBot="1" x14ac:dyDescent="0.3">
      <c r="A42" s="397"/>
      <c r="B42" s="549" t="s">
        <v>135</v>
      </c>
      <c r="C42" s="550"/>
      <c r="D42" s="550"/>
      <c r="E42" s="550"/>
      <c r="F42" s="550"/>
      <c r="G42" s="551"/>
    </row>
  </sheetData>
  <mergeCells count="18">
    <mergeCell ref="B2:G2"/>
    <mergeCell ref="B3:G3"/>
    <mergeCell ref="B4:C4"/>
    <mergeCell ref="B5:C5"/>
    <mergeCell ref="B6:C6"/>
    <mergeCell ref="D4:E4"/>
    <mergeCell ref="D5:E5"/>
    <mergeCell ref="D6:E6"/>
    <mergeCell ref="B27:G27"/>
    <mergeCell ref="B41:G41"/>
    <mergeCell ref="F4:G4"/>
    <mergeCell ref="F5:G5"/>
    <mergeCell ref="F6:G6"/>
    <mergeCell ref="F7:G7"/>
    <mergeCell ref="B10:G10"/>
    <mergeCell ref="B21:G21"/>
    <mergeCell ref="B7:C7"/>
    <mergeCell ref="D7:E7"/>
  </mergeCells>
  <pageMargins left="0.7" right="0.7" top="0.75" bottom="0.75" header="0.3" footer="0.3"/>
  <pageSetup paperSize="9" scale="0" orientation="portrait" horizontalDpi="0" verticalDpi="0" copies="0"/>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E262D-EF91-488D-A513-1218721D3948}">
  <sheetPr>
    <tabColor rgb="FF003366"/>
  </sheetPr>
  <dimension ref="A1:H50"/>
  <sheetViews>
    <sheetView showGridLines="0" workbookViewId="0">
      <selection activeCell="F28" sqref="F28"/>
    </sheetView>
  </sheetViews>
  <sheetFormatPr baseColWidth="10" defaultColWidth="10.7109375" defaultRowHeight="15" x14ac:dyDescent="0.25"/>
  <cols>
    <col min="1" max="1" width="2.85546875" customWidth="1"/>
    <col min="2" max="2" width="50" bestFit="1" customWidth="1"/>
    <col min="3" max="3" width="147" customWidth="1"/>
    <col min="4" max="4" width="4.7109375" customWidth="1"/>
    <col min="5" max="5" width="30" customWidth="1"/>
    <col min="6" max="6" width="13.85546875" customWidth="1"/>
    <col min="7" max="7" width="20.5703125" customWidth="1"/>
    <col min="8" max="8" width="15.7109375" customWidth="1"/>
  </cols>
  <sheetData>
    <row r="1" spans="1:8" x14ac:dyDescent="0.25">
      <c r="A1" s="13"/>
      <c r="B1" s="13"/>
      <c r="C1" s="13"/>
      <c r="D1" s="13"/>
    </row>
    <row r="2" spans="1:8" ht="45" customHeight="1" x14ac:dyDescent="0.35">
      <c r="A2" s="13"/>
      <c r="B2" s="1234" t="s">
        <v>136</v>
      </c>
      <c r="C2" s="1235"/>
      <c r="D2" s="1235"/>
      <c r="E2" s="1235"/>
      <c r="F2" s="1235"/>
      <c r="G2" s="1235"/>
      <c r="H2" s="1235"/>
    </row>
    <row r="3" spans="1:8" ht="24.95" customHeight="1" x14ac:dyDescent="0.25">
      <c r="A3" s="13"/>
      <c r="B3" s="1236" t="str">
        <f>'Données Brutes'!L1&amp;" — Exercices 2023 · 2024 · 2025"</f>
        <v>Acier Côte Ouest SAS — Exercices 2023 · 2024 · 2025</v>
      </c>
      <c r="C3" s="1237"/>
      <c r="D3" s="1237"/>
      <c r="E3" s="1237"/>
      <c r="F3" s="1237"/>
      <c r="G3" s="1237"/>
      <c r="H3" s="1237"/>
    </row>
    <row r="4" spans="1:8" x14ac:dyDescent="0.25">
      <c r="A4" s="13"/>
      <c r="B4" s="13"/>
      <c r="C4" s="13"/>
      <c r="D4" s="13"/>
    </row>
    <row r="5" spans="1:8" ht="15.75" x14ac:dyDescent="0.25">
      <c r="A5" s="13"/>
      <c r="B5" s="320" t="s">
        <v>137</v>
      </c>
      <c r="C5" s="13"/>
      <c r="D5" s="13"/>
    </row>
    <row r="6" spans="1:8" x14ac:dyDescent="0.25">
      <c r="A6" s="13"/>
      <c r="B6" s="321"/>
      <c r="C6" s="13"/>
      <c r="D6" s="13"/>
    </row>
    <row r="7" spans="1:8" ht="21.95" customHeight="1" x14ac:dyDescent="0.25">
      <c r="A7" s="13"/>
      <c r="B7" s="312" t="s">
        <v>138</v>
      </c>
      <c r="C7" s="317" t="s">
        <v>139</v>
      </c>
      <c r="D7" s="14"/>
      <c r="E7" s="14"/>
      <c r="F7" s="14"/>
      <c r="G7" s="14"/>
      <c r="H7" s="14"/>
    </row>
    <row r="8" spans="1:8" x14ac:dyDescent="0.25">
      <c r="A8" s="13"/>
      <c r="B8" s="321"/>
      <c r="C8" s="13"/>
      <c r="D8" s="13"/>
    </row>
    <row r="9" spans="1:8" ht="21.95" customHeight="1" x14ac:dyDescent="0.25">
      <c r="A9" s="13"/>
      <c r="B9" s="312" t="s">
        <v>140</v>
      </c>
      <c r="C9" s="317" t="s">
        <v>141</v>
      </c>
      <c r="D9" s="14"/>
      <c r="E9" s="14"/>
      <c r="F9" s="14"/>
      <c r="G9" s="14"/>
      <c r="H9" s="14"/>
    </row>
    <row r="10" spans="1:8" x14ac:dyDescent="0.25">
      <c r="A10" s="13"/>
      <c r="B10" s="321"/>
      <c r="C10" s="13"/>
      <c r="D10" s="13"/>
    </row>
    <row r="11" spans="1:8" ht="21.95" customHeight="1" x14ac:dyDescent="0.25">
      <c r="A11" s="13"/>
      <c r="B11" s="312" t="s">
        <v>142</v>
      </c>
      <c r="C11" s="317" t="s">
        <v>143</v>
      </c>
      <c r="D11" s="14"/>
      <c r="E11" s="14"/>
      <c r="F11" s="14"/>
      <c r="G11" s="14"/>
      <c r="H11" s="14"/>
    </row>
    <row r="12" spans="1:8" x14ac:dyDescent="0.25">
      <c r="A12" s="13"/>
      <c r="B12" s="321"/>
      <c r="C12" s="13"/>
      <c r="D12" s="13"/>
    </row>
    <row r="13" spans="1:8" ht="21.95" customHeight="1" x14ac:dyDescent="0.25">
      <c r="A13" s="13"/>
      <c r="B13" s="322" t="s">
        <v>144</v>
      </c>
      <c r="C13" s="318" t="s">
        <v>145</v>
      </c>
      <c r="D13" s="15"/>
      <c r="E13" s="15"/>
      <c r="F13" s="15"/>
      <c r="G13" s="15"/>
      <c r="H13" s="15"/>
    </row>
    <row r="14" spans="1:8" x14ac:dyDescent="0.25">
      <c r="A14" s="13"/>
      <c r="B14" s="321"/>
      <c r="C14" s="13"/>
      <c r="D14" s="13"/>
    </row>
    <row r="15" spans="1:8" ht="21.95" customHeight="1" x14ac:dyDescent="0.25">
      <c r="A15" s="13"/>
      <c r="B15" s="322" t="s">
        <v>146</v>
      </c>
      <c r="C15" s="318" t="s">
        <v>147</v>
      </c>
      <c r="D15" s="15"/>
      <c r="E15" s="15"/>
      <c r="F15" s="15"/>
      <c r="G15" s="15"/>
      <c r="H15" s="15"/>
    </row>
    <row r="16" spans="1:8" x14ac:dyDescent="0.25">
      <c r="A16" s="13"/>
      <c r="B16" s="321"/>
      <c r="C16" s="13"/>
      <c r="D16" s="13"/>
    </row>
    <row r="17" spans="1:8" ht="21.95" customHeight="1" x14ac:dyDescent="0.25">
      <c r="A17" s="13"/>
      <c r="B17" s="323" t="s">
        <v>148</v>
      </c>
      <c r="C17" s="319" t="s">
        <v>149</v>
      </c>
      <c r="D17" s="16"/>
      <c r="E17" s="16"/>
      <c r="F17" s="16"/>
      <c r="G17" s="16"/>
      <c r="H17" s="16"/>
    </row>
    <row r="18" spans="1:8" x14ac:dyDescent="0.25">
      <c r="A18" s="13"/>
      <c r="B18" s="13"/>
      <c r="C18" s="13"/>
      <c r="D18" s="13"/>
    </row>
    <row r="19" spans="1:8" x14ac:dyDescent="0.25">
      <c r="A19" s="13"/>
      <c r="B19" s="13"/>
      <c r="C19" s="13"/>
      <c r="D19" s="13"/>
    </row>
    <row r="20" spans="1:8" x14ac:dyDescent="0.25">
      <c r="A20" s="13"/>
      <c r="B20" s="13"/>
      <c r="C20" s="13"/>
      <c r="D20" s="13"/>
    </row>
    <row r="21" spans="1:8" ht="24.95" customHeight="1" x14ac:dyDescent="0.25">
      <c r="A21" s="13"/>
      <c r="B21" s="1238" t="s">
        <v>150</v>
      </c>
      <c r="C21" s="1239"/>
      <c r="D21" s="1239"/>
      <c r="E21" s="1239"/>
      <c r="F21" s="1239"/>
      <c r="G21" s="1239"/>
      <c r="H21" s="1239"/>
    </row>
    <row r="22" spans="1:8" x14ac:dyDescent="0.25">
      <c r="A22" s="13"/>
      <c r="B22" s="13"/>
      <c r="C22" s="13"/>
      <c r="D22" s="13"/>
    </row>
    <row r="23" spans="1:8" x14ac:dyDescent="0.25">
      <c r="A23" s="13"/>
      <c r="B23" s="17" t="str">
        <f>"📅 Créé le : Sat Feb 28 2026 | Exercices : 2023-2025 | Devise : EUR (€) | Affichage : "&amp;Accueil!F26</f>
        <v>📅 Créé le : Sat Feb 28 2026 | Exercices : 2023-2025 | Devise : EUR (€) | Affichage : M€ (millions)</v>
      </c>
      <c r="C23" s="13"/>
      <c r="D23" s="13"/>
    </row>
    <row r="24" spans="1:8" ht="15.75" thickBot="1" x14ac:dyDescent="0.3">
      <c r="A24" s="13"/>
      <c r="B24" s="13"/>
      <c r="C24" s="13"/>
      <c r="D24" s="13"/>
    </row>
    <row r="25" spans="1:8" ht="24" customHeight="1" x14ac:dyDescent="0.25">
      <c r="A25" s="13"/>
      <c r="B25" s="1240" t="s">
        <v>151</v>
      </c>
      <c r="C25" s="1241"/>
      <c r="D25" s="13"/>
      <c r="E25" s="522" t="s">
        <v>152</v>
      </c>
      <c r="F25" s="517"/>
      <c r="G25" s="517"/>
      <c r="H25" s="526"/>
    </row>
    <row r="26" spans="1:8" ht="18.75" x14ac:dyDescent="0.3">
      <c r="A26" s="13"/>
      <c r="B26" s="313" t="s">
        <v>153</v>
      </c>
      <c r="C26" s="343">
        <f>'Ratios &amp; Indicateurs'!F90</f>
        <v>121</v>
      </c>
      <c r="D26" s="13"/>
      <c r="E26" s="523" t="s">
        <v>154</v>
      </c>
      <c r="F26" s="518" t="s">
        <v>155</v>
      </c>
      <c r="H26" s="527"/>
    </row>
    <row r="27" spans="1:8" x14ac:dyDescent="0.25">
      <c r="A27" s="13"/>
      <c r="B27" s="314" t="s">
        <v>156</v>
      </c>
      <c r="C27" s="315" t="str">
        <f>'Ratios &amp; Indicateurs'!F91</f>
        <v>🟢  VERT — Bonne santé financière</v>
      </c>
      <c r="D27" s="13"/>
      <c r="E27" s="524" t="s">
        <v>157</v>
      </c>
      <c r="F27" s="519">
        <f>IF(F26="€ (unités)",1,IF(F26="k€ (milliers)",1000,IF(F26="M€ (millions)",1000000,IF(F26="Mrd€ (milliards)",1000000000,1))))</f>
        <v>1000000</v>
      </c>
      <c r="H27" s="527"/>
    </row>
    <row r="28" spans="1:8" ht="15.75" x14ac:dyDescent="0.25">
      <c r="A28" s="13"/>
      <c r="B28" s="313" t="s">
        <v>158</v>
      </c>
      <c r="C28" s="344">
        <f>'Ratios &amp; Indicateurs'!F20</f>
        <v>2.9382453126911403</v>
      </c>
      <c r="D28" s="13"/>
      <c r="E28" s="524" t="s">
        <v>159</v>
      </c>
      <c r="F28" s="17" t="str">
        <f>IF(F26="€ (unités)","€",IF(F26="k€ (milliers)","k€",IF(F26="M€ (millions)","M€",IF(F26="Mrd€ (milliards)","Mrd€","€"))))</f>
        <v>M€</v>
      </c>
      <c r="H28" s="527"/>
    </row>
    <row r="29" spans="1:8" ht="15.75" x14ac:dyDescent="0.25">
      <c r="A29" s="13"/>
      <c r="B29" s="314" t="s">
        <v>160</v>
      </c>
      <c r="C29" s="345">
        <f>'Ratios &amp; Indicateurs'!F24</f>
        <v>0.14722222222222223</v>
      </c>
      <c r="D29" s="13"/>
      <c r="E29" s="524" t="s">
        <v>161</v>
      </c>
      <c r="F29" s="17">
        <f>IF(F26="€ (unités)",0,IF(F26="k€ (milliers)",0,IF(F26="M€ (millions)",1,IF(F26="Mrd€ (milliards)",2,0))))</f>
        <v>1</v>
      </c>
      <c r="H29" s="527"/>
    </row>
    <row r="30" spans="1:8" ht="16.5" thickBot="1" x14ac:dyDescent="0.3">
      <c r="A30" s="13"/>
      <c r="B30" s="316" t="s">
        <v>162</v>
      </c>
      <c r="C30" s="346">
        <f>'Ratios &amp; Indicateurs'!F27</f>
        <v>0.15974320241691842</v>
      </c>
      <c r="D30" s="13"/>
      <c r="E30" s="525" t="s">
        <v>163</v>
      </c>
      <c r="F30" s="520" t="str">
        <f>"Montants affichés en "&amp;F28</f>
        <v>Montants affichés en M€</v>
      </c>
      <c r="G30" s="521"/>
      <c r="H30" s="528"/>
    </row>
    <row r="31" spans="1:8" x14ac:dyDescent="0.25">
      <c r="A31" s="13"/>
      <c r="B31" s="13"/>
      <c r="C31" s="13"/>
      <c r="D31" s="13"/>
    </row>
    <row r="32" spans="1:8" x14ac:dyDescent="0.25">
      <c r="A32" s="13"/>
      <c r="B32" s="13"/>
      <c r="C32" s="13"/>
      <c r="D32" s="13"/>
    </row>
    <row r="33" spans="1:4" x14ac:dyDescent="0.25">
      <c r="A33" s="13"/>
      <c r="B33" s="13"/>
      <c r="C33" s="13"/>
      <c r="D33" s="13"/>
    </row>
    <row r="34" spans="1:4" x14ac:dyDescent="0.25">
      <c r="A34" s="13"/>
      <c r="B34" s="13"/>
      <c r="C34" s="13"/>
      <c r="D34" s="13"/>
    </row>
    <row r="35" spans="1:4" x14ac:dyDescent="0.25">
      <c r="A35" s="13"/>
      <c r="B35" s="13"/>
      <c r="C35" s="13"/>
      <c r="D35" s="13"/>
    </row>
    <row r="36" spans="1:4" x14ac:dyDescent="0.25">
      <c r="A36" s="13"/>
      <c r="B36" s="13"/>
      <c r="C36" s="13"/>
      <c r="D36" s="13"/>
    </row>
    <row r="37" spans="1:4" x14ac:dyDescent="0.25">
      <c r="A37" s="13"/>
      <c r="B37" s="13"/>
      <c r="C37" s="13"/>
      <c r="D37" s="13"/>
    </row>
    <row r="38" spans="1:4" x14ac:dyDescent="0.25">
      <c r="A38" s="13"/>
      <c r="B38" s="13"/>
      <c r="C38" s="13"/>
      <c r="D38" s="13"/>
    </row>
    <row r="39" spans="1:4" x14ac:dyDescent="0.25">
      <c r="A39" s="13"/>
      <c r="B39" s="13"/>
      <c r="C39" s="13"/>
      <c r="D39" s="13"/>
    </row>
    <row r="40" spans="1:4" x14ac:dyDescent="0.25">
      <c r="A40" s="13"/>
      <c r="B40" s="13"/>
      <c r="C40" s="13"/>
      <c r="D40" s="13"/>
    </row>
    <row r="41" spans="1:4" x14ac:dyDescent="0.25">
      <c r="A41" s="13"/>
      <c r="B41" s="13"/>
      <c r="C41" s="13"/>
      <c r="D41" s="13"/>
    </row>
    <row r="42" spans="1:4" x14ac:dyDescent="0.25">
      <c r="A42" s="13"/>
      <c r="B42" s="13"/>
      <c r="C42" s="13"/>
      <c r="D42" s="13"/>
    </row>
    <row r="43" spans="1:4" x14ac:dyDescent="0.25">
      <c r="A43" s="13"/>
      <c r="B43" s="13"/>
      <c r="C43" s="13"/>
      <c r="D43" s="13"/>
    </row>
    <row r="44" spans="1:4" x14ac:dyDescent="0.25">
      <c r="A44" s="13"/>
      <c r="B44" s="13"/>
      <c r="C44" s="13"/>
      <c r="D44" s="13"/>
    </row>
    <row r="45" spans="1:4" x14ac:dyDescent="0.25">
      <c r="A45" s="13"/>
      <c r="B45" s="13"/>
      <c r="C45" s="13"/>
      <c r="D45" s="13"/>
    </row>
    <row r="46" spans="1:4" x14ac:dyDescent="0.25">
      <c r="A46" s="13"/>
      <c r="B46" s="13"/>
      <c r="C46" s="13"/>
      <c r="D46" s="13"/>
    </row>
    <row r="47" spans="1:4" x14ac:dyDescent="0.25">
      <c r="A47" s="13"/>
      <c r="B47" s="13"/>
      <c r="C47" s="13"/>
      <c r="D47" s="13"/>
    </row>
    <row r="48" spans="1:4" x14ac:dyDescent="0.25">
      <c r="A48" s="13"/>
      <c r="B48" s="13"/>
      <c r="C48" s="13"/>
      <c r="D48" s="13"/>
    </row>
    <row r="49" spans="1:4" x14ac:dyDescent="0.25">
      <c r="A49" s="13"/>
      <c r="B49" s="13"/>
      <c r="C49" s="13"/>
      <c r="D49" s="13"/>
    </row>
    <row r="50" spans="1:4" x14ac:dyDescent="0.25">
      <c r="A50" s="13"/>
      <c r="B50" s="13"/>
      <c r="C50" s="13"/>
      <c r="D50" s="13"/>
    </row>
  </sheetData>
  <mergeCells count="4">
    <mergeCell ref="B2:H2"/>
    <mergeCell ref="B3:H3"/>
    <mergeCell ref="B21:H21"/>
    <mergeCell ref="B25:C25"/>
  </mergeCells>
  <conditionalFormatting sqref="C27">
    <cfRule type="containsText" dxfId="82" priority="1" operator="containsText" text="VERT">
      <formula>NOT(ISERROR(SEARCH("VERT",C27)))</formula>
    </cfRule>
  </conditionalFormatting>
  <dataValidations count="1">
    <dataValidation type="list" allowBlank="1" showInputMessage="1" showErrorMessage="1" errorTitle="Valeur non valide" error="Veuillez sélectionner : € (unités), k€ (milliers), M€ (millions) ou Mrd€ (milliards)" promptTitle="Unité d'affichage" prompt="Choisissez l'unité pour tous les montants du classeur" sqref="F26" xr:uid="{B7EB637D-3E7D-4998-8C6B-25D03277D27A}">
      <formula1>"€ (unités),k€ (milliers),M€ (millions),Mrd€ (milliards)"</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82554-AB57-4E30-8C36-B47A76738DBD}">
  <sheetPr>
    <tabColor rgb="FF808080"/>
  </sheetPr>
  <dimension ref="A1:M91"/>
  <sheetViews>
    <sheetView showGridLines="0" workbookViewId="0">
      <pane xSplit="2" ySplit="1" topLeftCell="C2" activePane="bottomRight" state="frozen"/>
      <selection pane="topRight" activeCell="C1" sqref="C1"/>
      <selection pane="bottomLeft" activeCell="A2" sqref="A2"/>
      <selection pane="bottomRight" activeCell="A29" sqref="A29:A31"/>
    </sheetView>
  </sheetViews>
  <sheetFormatPr baseColWidth="10" defaultColWidth="10.7109375" defaultRowHeight="15" x14ac:dyDescent="0.25"/>
  <cols>
    <col min="1" max="1" width="33.28515625" customWidth="1"/>
    <col min="2" max="2" width="32.85546875" customWidth="1"/>
    <col min="3" max="5" width="26.7109375" customWidth="1"/>
    <col min="6" max="6" width="17.85546875" bestFit="1" customWidth="1"/>
    <col min="7" max="7" width="70.85546875" customWidth="1"/>
    <col min="8" max="8" width="19.85546875" customWidth="1"/>
    <col min="9" max="11" width="30.42578125" customWidth="1"/>
  </cols>
  <sheetData>
    <row r="1" spans="1:13" ht="21.95" customHeight="1" x14ac:dyDescent="0.25">
      <c r="A1" s="130" t="s">
        <v>164</v>
      </c>
      <c r="B1" s="124" t="s">
        <v>165</v>
      </c>
      <c r="C1" s="124" t="s">
        <v>1746</v>
      </c>
      <c r="D1" s="124" t="s">
        <v>166</v>
      </c>
      <c r="E1" s="124" t="s">
        <v>167</v>
      </c>
      <c r="F1" s="131" t="s">
        <v>168</v>
      </c>
      <c r="G1" s="124" t="s">
        <v>169</v>
      </c>
      <c r="H1" s="124" t="s">
        <v>170</v>
      </c>
      <c r="I1" s="124" t="s">
        <v>171</v>
      </c>
      <c r="J1" s="147" t="s">
        <v>172</v>
      </c>
      <c r="K1" s="148" t="s">
        <v>173</v>
      </c>
      <c r="L1" s="149" t="s">
        <v>174</v>
      </c>
      <c r="M1" s="124" t="s">
        <v>239</v>
      </c>
    </row>
    <row r="2" spans="1:13" x14ac:dyDescent="0.25">
      <c r="A2" s="135" t="s">
        <v>175</v>
      </c>
      <c r="B2" s="136" t="s">
        <v>176</v>
      </c>
      <c r="C2" s="136">
        <v>840000</v>
      </c>
      <c r="D2" s="137">
        <v>610000</v>
      </c>
      <c r="E2" s="137">
        <v>380000</v>
      </c>
      <c r="F2" s="138">
        <v>610000</v>
      </c>
      <c r="G2" s="191">
        <f>IFERROR((E2-D2)/ABS(D2),0)</f>
        <v>-0.37704918032786883</v>
      </c>
      <c r="H2" s="191">
        <f t="shared" ref="H2" si="0">IFERROR((F2-E2)/ABS(E2),0)</f>
        <v>0.60526315789473684</v>
      </c>
      <c r="I2" s="139" t="str">
        <f>IF(ABS(F2-STOCKS!J26)&lt;1,"✅ Stock cohérent","ℹ️ Module STOCKS: "&amp;TEXT(STOCKS!J26,"#,##0")&amp;"€ (périmètre partiel)")</f>
        <v>ℹ️ Module STOCKS: 59520,0€ (périmètre partiel)</v>
      </c>
      <c r="J2" s="21" t="str">
        <f>IF(ABS(F2-PLAN_AMORT!O19)&lt;1,"✅ VNC cohérent","ℹ️ Plan amort VNC: "&amp;TEXT(PLAN_AMORT!O19,"#,##0")&amp;"€ / Bilan: "&amp;TEXT(F2,"#,##0")&amp;"€")</f>
        <v>ℹ️ Plan amort VNC: ,0€ / Bilan: 610000,0€</v>
      </c>
      <c r="K2" s="21"/>
      <c r="L2" s="150" t="s">
        <v>177</v>
      </c>
      <c r="M2" s="21"/>
    </row>
    <row r="3" spans="1:13" x14ac:dyDescent="0.25">
      <c r="A3" s="7" t="s">
        <v>178</v>
      </c>
      <c r="B3" s="5" t="s">
        <v>176</v>
      </c>
      <c r="C3" s="5">
        <v>13600000</v>
      </c>
      <c r="D3" s="6">
        <v>11400000</v>
      </c>
      <c r="E3" s="6">
        <v>9200000</v>
      </c>
      <c r="F3" s="8">
        <v>11400000</v>
      </c>
      <c r="G3" s="192">
        <f t="shared" ref="G3:G26" si="1">IFERROR((E3-D3)/ABS(D3),0)</f>
        <v>-0.19298245614035087</v>
      </c>
      <c r="H3" s="192">
        <f t="shared" ref="H3:H26" si="2">IFERROR((F3-E3)/ABS(E3),0)</f>
        <v>0.2391304347826087</v>
      </c>
      <c r="I3" s="125" t="str">
        <f>IF(ABS(F3-STOCKS!J27)&lt;1,"✅ Stock cohérent","ℹ️ Module STOCKS: "&amp;TEXT(STOCKS!J27,"#,##0")&amp;"€ (périmètre partiel)")</f>
        <v>ℹ️ Module STOCKS: 236229,892€ (périmètre partiel)</v>
      </c>
      <c r="J3" s="887" t="str">
        <f>IF(ABS(F3-PLAN_AMORT!O20)&lt;1,"✅ VNC cohérent","ℹ️ Plan amort VNC: "&amp;TEXT(PLAN_AMORT!O20,"#,##0")&amp;"€ / Bilan: "&amp;TEXT(F3,"#,##0")&amp;"€")</f>
        <v>ℹ️ Plan amort VNC: 1460965,570€ / Bilan: 11400000,0€</v>
      </c>
      <c r="K3" s="21"/>
      <c r="L3" s="21"/>
      <c r="M3" s="21"/>
    </row>
    <row r="4" spans="1:13" x14ac:dyDescent="0.25">
      <c r="A4" s="135" t="s">
        <v>179</v>
      </c>
      <c r="B4" s="136" t="s">
        <v>176</v>
      </c>
      <c r="C4" s="136">
        <v>350000</v>
      </c>
      <c r="D4" s="137">
        <v>350000</v>
      </c>
      <c r="E4" s="137">
        <v>350000</v>
      </c>
      <c r="F4" s="138">
        <v>350000</v>
      </c>
      <c r="G4" s="191">
        <f t="shared" si="1"/>
        <v>0</v>
      </c>
      <c r="H4" s="191">
        <f t="shared" si="2"/>
        <v>0</v>
      </c>
      <c r="I4" s="139" t="str">
        <f>IF(ABS(F4-STOCKS!J28)&lt;1,"✅ Stock cohérent","ℹ️ Module STOCKS: "&amp;TEXT(STOCKS!J28,"#,##0")&amp;"€ (périmètre partiel)")</f>
        <v>ℹ️ Module STOCKS: 121684,887€ (périmètre partiel)</v>
      </c>
      <c r="J4" s="21" t="str">
        <f>IF(ABS(F4-PLAN_AMORT!O21)&lt;1,"✅ VNC cohérent","ℹ️ Plan amort VNC: "&amp;TEXT(PLAN_AMORT!O21,"#,##0")&amp;"€ / Bilan: "&amp;TEXT(F4,"#,##0")&amp;"€")</f>
        <v>ℹ️ Plan amort VNC: ,0€ / Bilan: 350000,0€</v>
      </c>
      <c r="K4" s="21"/>
      <c r="L4" s="21"/>
      <c r="M4" s="21"/>
    </row>
    <row r="5" spans="1:13" x14ac:dyDescent="0.25">
      <c r="A5" s="7" t="s">
        <v>180</v>
      </c>
      <c r="B5" s="5" t="s">
        <v>181</v>
      </c>
      <c r="C5" s="5">
        <v>2500000</v>
      </c>
      <c r="D5" s="6">
        <v>2800000</v>
      </c>
      <c r="E5" s="6">
        <v>3100000</v>
      </c>
      <c r="F5" s="8">
        <v>3400000</v>
      </c>
      <c r="G5" s="192">
        <f t="shared" si="1"/>
        <v>0.10714285714285714</v>
      </c>
      <c r="H5" s="192">
        <f t="shared" si="2"/>
        <v>9.6774193548387094E-2</v>
      </c>
      <c r="I5" s="886" t="str">
        <f>IF(ABS(F5-STOCKS!J29)&lt;1,"✅ Stock cohérent","ℹ️ Module STOCKS: "&amp;TEXT(STOCKS!J29,"#,##0")&amp;"€ (périmètre partiel)")</f>
        <v>ℹ️ Module STOCKS: 5600000,0€ (périmètre partiel)</v>
      </c>
      <c r="J5" s="21" t="str">
        <f>IF(ABS(F5-PLAN_AMORT!O22)&lt;1,"✅ VNC cohérent","ℹ️ Plan amort VNC: "&amp;TEXT(PLAN_AMORT!O22,"#,##0")&amp;"€ / Bilan: "&amp;TEXT(F5,"#,##0")&amp;"€")</f>
        <v>ℹ️ Plan amort VNC: ,0€ / Bilan: 3400000,0€</v>
      </c>
      <c r="K5" s="21"/>
      <c r="L5" s="21"/>
      <c r="M5" s="21"/>
    </row>
    <row r="6" spans="1:13" x14ac:dyDescent="0.25">
      <c r="A6" s="135" t="s">
        <v>182</v>
      </c>
      <c r="B6" s="136" t="s">
        <v>181</v>
      </c>
      <c r="C6" s="136">
        <v>1350000</v>
      </c>
      <c r="D6" s="137">
        <v>1200000</v>
      </c>
      <c r="E6" s="137">
        <v>1050000</v>
      </c>
      <c r="F6" s="138">
        <v>1350000</v>
      </c>
      <c r="G6" s="191">
        <f t="shared" si="1"/>
        <v>-0.125</v>
      </c>
      <c r="H6" s="191">
        <f t="shared" si="2"/>
        <v>0.2857142857142857</v>
      </c>
      <c r="I6" s="139" t="str">
        <f>IF(ABS(F6-STOCKS!J30)&lt;1,"✅ Stock cohérent","ℹ️ Module STOCKS: "&amp;TEXT(STOCKS!J30,"#,##0")&amp;"€ (périmètre partiel)")</f>
        <v>ℹ️ Module STOCKS: ,0€ (périmètre partiel)</v>
      </c>
      <c r="J6" s="21" t="str">
        <f>IF(ABS(F6-PLAN_AMORT!O23)&lt;1,"✅ VNC cohérent","ℹ️ Plan amort VNC: "&amp;TEXT(PLAN_AMORT!O23,"#,##0")&amp;"€ / Bilan: "&amp;TEXT(F6,"#,##0")&amp;"€")</f>
        <v>ℹ️ Plan amort VNC: ,0€ / Bilan: 1350000,0€</v>
      </c>
      <c r="K6" s="21"/>
      <c r="L6" s="21"/>
      <c r="M6" s="21"/>
    </row>
    <row r="7" spans="1:13" x14ac:dyDescent="0.25">
      <c r="A7" s="637" t="s">
        <v>1294</v>
      </c>
      <c r="B7" s="639" t="s">
        <v>181</v>
      </c>
      <c r="C7" s="639">
        <v>460000</v>
      </c>
      <c r="D7" s="641">
        <v>420000</v>
      </c>
      <c r="E7" s="641">
        <v>380000</v>
      </c>
      <c r="F7" s="643">
        <v>460000</v>
      </c>
      <c r="G7" s="645">
        <f>IFERROR((E7-D7)/ABS(D7),0)</f>
        <v>-9.5238095238095233E-2</v>
      </c>
      <c r="H7" s="645">
        <f>IFERROR((F7-E7)/ABS(E7),0)</f>
        <v>0.21052631578947367</v>
      </c>
      <c r="I7" s="647" t="str">
        <f>IF(ABS(F7-STOCKS!J31)&lt;1,"✅ Stock cohérent","ℹ️ Module STOCKS: "&amp;TEXT(STOCKS!J31,"#,##0")&amp;"€ (périmètre partiel)")</f>
        <v>ℹ️ Module STOCKS: ,0€ (périmètre partiel)</v>
      </c>
      <c r="J7" s="21" t="str">
        <f>IF(ABS(F7-PLAN_AMORT!O24)&lt;1,"✅ VNC cohérent","ℹ️ Plan amort VNC: "&amp;TEXT(PLAN_AMORT!O24,"#,##0")&amp;"€ / Bilan: "&amp;TEXT(F7,"#,##0")&amp;"€")</f>
        <v>ℹ️ Plan amort VNC: ,0€ / Bilan: 460000,0€</v>
      </c>
      <c r="K7" s="21"/>
      <c r="L7" s="21"/>
      <c r="M7" s="21"/>
    </row>
    <row r="8" spans="1:13" x14ac:dyDescent="0.25">
      <c r="A8" s="636" t="s">
        <v>1295</v>
      </c>
      <c r="B8" s="638" t="s">
        <v>181</v>
      </c>
      <c r="C8" s="638">
        <v>390000</v>
      </c>
      <c r="D8" s="640">
        <v>350000</v>
      </c>
      <c r="E8" s="640">
        <v>310000</v>
      </c>
      <c r="F8" s="642">
        <v>390000</v>
      </c>
      <c r="G8" s="644">
        <f>IFERROR((E8-D8)/ABS(D8),0)</f>
        <v>-0.11428571428571428</v>
      </c>
      <c r="H8" s="644">
        <f>IFERROR((F8-E8)/ABS(E8),0)</f>
        <v>0.25806451612903225</v>
      </c>
      <c r="I8" s="646" t="str">
        <f>IF(ABS(F8-STOCKS!J32)&lt;1,"✅ Stock cohérent","ℹ️ Module STOCKS: "&amp;TEXT(STOCKS!J32,"#,##0")&amp;"€ (périmètre partiel)")</f>
        <v>ℹ️ Module STOCKS: ,0€ (périmètre partiel)</v>
      </c>
      <c r="J8" s="21" t="str">
        <f>IF(ABS(F8-PLAN_AMORT!O25)&lt;1,"✅ VNC cohérent","ℹ️ Plan amort VNC: "&amp;TEXT(PLAN_AMORT!O25,"#,##0")&amp;"€ / Bilan: "&amp;TEXT(F8,"#,##0")&amp;"€")</f>
        <v>ℹ️ Plan amort VNC: ,0€ / Bilan: 390000,0€</v>
      </c>
      <c r="K8" s="21"/>
      <c r="L8" s="21"/>
      <c r="M8" s="21"/>
    </row>
    <row r="9" spans="1:13" x14ac:dyDescent="0.25">
      <c r="A9" s="7" t="s">
        <v>183</v>
      </c>
      <c r="B9" s="5" t="s">
        <v>181</v>
      </c>
      <c r="C9" s="5">
        <v>3800000</v>
      </c>
      <c r="D9" s="6">
        <v>4200000</v>
      </c>
      <c r="E9" s="6">
        <v>4600000</v>
      </c>
      <c r="F9" s="8">
        <v>5100000</v>
      </c>
      <c r="G9" s="192">
        <f t="shared" si="1"/>
        <v>9.5238095238095233E-2</v>
      </c>
      <c r="H9" s="192">
        <f t="shared" si="2"/>
        <v>0.10869565217391304</v>
      </c>
      <c r="I9" s="125" t="str">
        <f>IF(ABS(F9-STOCKS!J33)&lt;1,"✅ Stock cohérent","ℹ️ Module STOCKS: "&amp;TEXT(STOCKS!J33,"#,##0")&amp;"€ (périmètre partiel)")</f>
        <v>ℹ️ Module STOCKS: ,0€ (périmètre partiel)</v>
      </c>
      <c r="J9" s="21" t="str">
        <f>IF(ABS(F9-PLAN_AMORT!O26)&lt;1,"✅ VNC cohérent","ℹ️ Plan amort VNC: "&amp;TEXT(PLAN_AMORT!O26,"#,##0")&amp;"€ / Bilan: "&amp;TEXT(F9,"#,##0")&amp;"€")</f>
        <v>ℹ️ Plan amort VNC: ,0€ / Bilan: 5100000,0€</v>
      </c>
      <c r="K9" s="21"/>
      <c r="L9" s="21"/>
      <c r="M9" s="21"/>
    </row>
    <row r="10" spans="1:13" x14ac:dyDescent="0.25">
      <c r="A10" s="135" t="s">
        <v>184</v>
      </c>
      <c r="B10" s="136" t="s">
        <v>181</v>
      </c>
      <c r="C10" s="136">
        <v>340000</v>
      </c>
      <c r="D10" s="137">
        <v>380000</v>
      </c>
      <c r="E10" s="137">
        <v>420000</v>
      </c>
      <c r="F10" s="138">
        <v>460000</v>
      </c>
      <c r="G10" s="191">
        <f t="shared" si="1"/>
        <v>0.10526315789473684</v>
      </c>
      <c r="H10" s="191">
        <f t="shared" si="2"/>
        <v>9.5238095238095233E-2</v>
      </c>
      <c r="I10" s="139" t="str">
        <f>IF(ABS(F10-STOCKS!J34)&lt;1,"✅ Stock cohérent","ℹ️ Module STOCKS: "&amp;TEXT(STOCKS!J34,"#,##0")&amp;"€ (périmètre partiel)")</f>
        <v>ℹ️ Module STOCKS: ,0€ (périmètre partiel)</v>
      </c>
      <c r="J10" s="21" t="str">
        <f>IF(ABS(F10-PLAN_AMORT!O27)&lt;1,"✅ VNC cohérent","ℹ️ Plan amort VNC: "&amp;TEXT(PLAN_AMORT!O27,"#,##0")&amp;"€ / Bilan: "&amp;TEXT(F10,"#,##0")&amp;"€")</f>
        <v>ℹ️ Plan amort VNC: ,0€ / Bilan: 460000,0€</v>
      </c>
      <c r="K10" s="21"/>
      <c r="L10" s="21"/>
      <c r="M10" s="21"/>
    </row>
    <row r="11" spans="1:13" x14ac:dyDescent="0.25">
      <c r="A11" s="7" t="s">
        <v>185</v>
      </c>
      <c r="B11" s="5" t="s">
        <v>181</v>
      </c>
      <c r="C11" s="5">
        <v>1350000</v>
      </c>
      <c r="D11" s="6">
        <v>1100000</v>
      </c>
      <c r="E11" s="6">
        <v>850000</v>
      </c>
      <c r="F11" s="8">
        <v>1650000</v>
      </c>
      <c r="G11" s="192">
        <f t="shared" si="1"/>
        <v>-0.22727272727272727</v>
      </c>
      <c r="H11" s="192">
        <f t="shared" si="2"/>
        <v>0.94117647058823528</v>
      </c>
      <c r="I11" s="125" t="str">
        <f>IF(ABS(F11-STOCKS!J35)&lt;1,"✅ Stock cohérent","ℹ️ Module STOCKS: "&amp;TEXT(STOCKS!J35,"#,##0")&amp;"€ (périmètre partiel)")</f>
        <v>ℹ️ Module STOCKS: ,0€ (périmètre partiel)</v>
      </c>
      <c r="J11" s="21" t="str">
        <f>IF(ABS(F11-PLAN_AMORT!O28)&lt;1,"✅ VNC cohérent","ℹ️ Plan amort VNC: "&amp;TEXT(PLAN_AMORT!O28,"#,##0")&amp;"€ / Bilan: "&amp;TEXT(F11,"#,##0")&amp;"€")</f>
        <v>ℹ️ Plan amort VNC: ,0€ / Bilan: 1650000,0€</v>
      </c>
      <c r="K11" s="21"/>
      <c r="L11" s="21"/>
      <c r="M11" s="21"/>
    </row>
    <row r="12" spans="1:13" x14ac:dyDescent="0.25">
      <c r="A12" s="135" t="s">
        <v>186</v>
      </c>
      <c r="B12" s="136" t="s">
        <v>181</v>
      </c>
      <c r="C12" s="136">
        <v>250000</v>
      </c>
      <c r="D12" s="137">
        <v>200000</v>
      </c>
      <c r="E12" s="137">
        <v>150000</v>
      </c>
      <c r="F12" s="138">
        <v>300000</v>
      </c>
      <c r="G12" s="191">
        <f t="shared" si="1"/>
        <v>-0.25</v>
      </c>
      <c r="H12" s="191">
        <f t="shared" si="2"/>
        <v>1</v>
      </c>
      <c r="I12" s="139" t="str">
        <f>IF(ABS(F12-STOCKS!J36)&lt;1,"✅ Stock cohérent","ℹ️ Module STOCKS: "&amp;TEXT(STOCKS!J36,"#,##0")&amp;"€ (périmètre partiel)")</f>
        <v>ℹ️ Module STOCKS: ,0€ (périmètre partiel)</v>
      </c>
      <c r="J12" s="21" t="str">
        <f>IF(ABS(F12-PLAN_AMORT!O29)&lt;1,"✅ VNC cohérent","ℹ️ Plan amort VNC: "&amp;TEXT(PLAN_AMORT!O29,"#,##0")&amp;"€ / Bilan: "&amp;TEXT(F12,"#,##0")&amp;"€")</f>
        <v>ℹ️ Plan amort VNC: ,0€ / Bilan: 300000,0€</v>
      </c>
      <c r="K12" s="21"/>
      <c r="L12" s="21"/>
      <c r="M12" s="21"/>
    </row>
    <row r="13" spans="1:13" x14ac:dyDescent="0.25">
      <c r="A13" s="7" t="s">
        <v>187</v>
      </c>
      <c r="B13" s="5" t="s">
        <v>181</v>
      </c>
      <c r="C13" s="5">
        <v>100000</v>
      </c>
      <c r="D13" s="6">
        <v>120000</v>
      </c>
      <c r="E13" s="6">
        <v>140000</v>
      </c>
      <c r="F13" s="8">
        <v>150000</v>
      </c>
      <c r="G13" s="192">
        <f t="shared" si="1"/>
        <v>0.16666666666666666</v>
      </c>
      <c r="H13" s="192">
        <f t="shared" si="2"/>
        <v>7.1428571428571425E-2</v>
      </c>
      <c r="I13" s="125" t="str">
        <f>IF(ABS(F13-STOCKS!J37)&lt;1,"✅ Stock cohérent","ℹ️ Module STOCKS: "&amp;TEXT(STOCKS!J37,"#,##0")&amp;"€ (périmètre partiel)")</f>
        <v>ℹ️ Module STOCKS: ,0€ (périmètre partiel)</v>
      </c>
      <c r="J13" s="21" t="str">
        <f>IF(ABS(F13-PLAN_AMORT!O30)&lt;1,"✅ VNC cohérent","ℹ️ Plan amort VNC: "&amp;TEXT(PLAN_AMORT!O30,"#,##0")&amp;"€ / Bilan: "&amp;TEXT(F13,"#,##0")&amp;"€")</f>
        <v>ℹ️ Plan amort VNC: ,0€ / Bilan: 150000,0€</v>
      </c>
      <c r="K13" s="21"/>
      <c r="L13" s="21"/>
      <c r="M13" s="21"/>
    </row>
    <row r="14" spans="1:13" x14ac:dyDescent="0.25">
      <c r="A14" s="135" t="s">
        <v>188</v>
      </c>
      <c r="B14" s="136" t="s">
        <v>189</v>
      </c>
      <c r="C14" s="136">
        <v>2000000</v>
      </c>
      <c r="D14" s="137">
        <v>2000000</v>
      </c>
      <c r="E14" s="137">
        <v>2000000</v>
      </c>
      <c r="F14" s="138">
        <v>2000000</v>
      </c>
      <c r="G14" s="191">
        <f t="shared" si="1"/>
        <v>0</v>
      </c>
      <c r="H14" s="191">
        <f t="shared" si="2"/>
        <v>0</v>
      </c>
      <c r="I14" s="139" t="str">
        <f>IF(ABS(F14-STOCKS!J38)&lt;1,"✅ Stock cohérent","ℹ️ Module STOCKS: "&amp;TEXT(STOCKS!J38,"#,##0")&amp;"€ (périmètre partiel)")</f>
        <v>ℹ️ Module STOCKS: ,0€ (périmètre partiel)</v>
      </c>
      <c r="J14" s="21" t="str">
        <f>IF(ABS(F14-PLAN_AMORT!O31)&lt;1,"✅ VNC cohérent","ℹ️ Plan amort VNC: "&amp;TEXT(PLAN_AMORT!O31,"#,##0")&amp;"€ / Bilan: "&amp;TEXT(F14,"#,##0")&amp;"€")</f>
        <v>ℹ️ Plan amort VNC: ,0€ / Bilan: 2000000,0€</v>
      </c>
      <c r="K14" s="21"/>
      <c r="L14" s="21"/>
      <c r="M14" s="21"/>
    </row>
    <row r="15" spans="1:13" x14ac:dyDescent="0.25">
      <c r="A15" s="7" t="s">
        <v>190</v>
      </c>
      <c r="B15" s="5" t="s">
        <v>189</v>
      </c>
      <c r="C15" s="5">
        <v>3300000</v>
      </c>
      <c r="D15" s="6">
        <v>4200000</v>
      </c>
      <c r="E15" s="6">
        <v>5100000</v>
      </c>
      <c r="F15" s="8">
        <v>6400000</v>
      </c>
      <c r="G15" s="192">
        <f t="shared" si="1"/>
        <v>0.21428571428571427</v>
      </c>
      <c r="H15" s="192">
        <f t="shared" si="2"/>
        <v>0.25490196078431371</v>
      </c>
      <c r="I15" s="125" t="str">
        <f>IF(ABS(F15-STOCKS!J39)&lt;1,"✅ Stock cohérent","ℹ️ Module STOCKS: "&amp;TEXT(STOCKS!J39,"#,##0")&amp;"€ (périmètre partiel)")</f>
        <v>ℹ️ Module STOCKS: ,0€ (périmètre partiel)</v>
      </c>
      <c r="J15" s="21" t="str">
        <f>IF(ABS(F15-PLAN_AMORT!O32)&lt;1,"✅ VNC cohérent","ℹ️ Plan amort VNC: "&amp;TEXT(PLAN_AMORT!O32,"#,##0")&amp;"€ / Bilan: "&amp;TEXT(F15,"#,##0")&amp;"€")</f>
        <v>ℹ️ Plan amort VNC: ,0€ / Bilan: 6400000,0€</v>
      </c>
      <c r="K15" s="21"/>
      <c r="L15" s="21"/>
      <c r="M15" s="21"/>
    </row>
    <row r="16" spans="1:13" x14ac:dyDescent="0.25">
      <c r="A16" s="7" t="s">
        <v>191</v>
      </c>
      <c r="B16" s="5" t="s">
        <v>189</v>
      </c>
      <c r="C16" s="5">
        <v>6340000</v>
      </c>
      <c r="D16" s="6">
        <f>(D2+D3+D4+D5+D6+D7+D8+D9+D10+D11+D12+D13)-(D14+D15+D17+D18+D19+D20+D21+D22+D23+D24+D25+D26)</f>
        <v>3505000</v>
      </c>
      <c r="E16" s="6">
        <f>D29-(E14+E15+E17+E18+E19+E20+E21+E22+E23+E24+E25+E26)</f>
        <v>675000</v>
      </c>
      <c r="F16" s="8">
        <f>E29-(F14+F15+F17+F18+F19+F20+F21+F22+F23+F24+F25+F26)</f>
        <v>2475000</v>
      </c>
      <c r="G16" s="192">
        <f>IFERROR((E16-D16)/ABS(D16),0)</f>
        <v>-0.80741797432239659</v>
      </c>
      <c r="H16" s="192">
        <f>IFERROR((F16-E16)/ABS(E16),0)</f>
        <v>2.6666666666666665</v>
      </c>
      <c r="I16" s="125" t="str">
        <f>IF(ABS(F16-STOCKS!J40)&lt;1,"✅ Stock cohérent","ℹ️ Module STOCKS: "&amp;TEXT(STOCKS!J40,"#,##0")&amp;"€ (périmètre partiel)")</f>
        <v>ℹ️ Module STOCKS: ,0€ (périmètre partiel)</v>
      </c>
      <c r="J16" s="21" t="str">
        <f>IF(ABS(F16-PLAN_AMORT!O33)&lt;1,"✅ VNC cohérent","ℹ️ Plan amort VNC: "&amp;TEXT(PLAN_AMORT!O33,"#,##0")&amp;"€ / Bilan: "&amp;TEXT(F16,"#,##0")&amp;"€")</f>
        <v>ℹ️ Plan amort VNC: ,0€ / Bilan: 2475000,0€</v>
      </c>
      <c r="K16" s="21"/>
      <c r="L16" s="21"/>
      <c r="M16" s="21"/>
    </row>
    <row r="17" spans="1:13" x14ac:dyDescent="0.25">
      <c r="A17" s="135" t="s">
        <v>192</v>
      </c>
      <c r="B17" s="136" t="s">
        <v>189</v>
      </c>
      <c r="C17" s="136">
        <v>1900000</v>
      </c>
      <c r="D17" s="137">
        <f>(D38+D39+D40+D41+D42+D51+D53)-(D43+D44+D45+D46+D47+D48+D49+D50+D52+D54+D55+D56)</f>
        <v>1975000</v>
      </c>
      <c r="E17" s="137">
        <f>(E38+E39+E40+E41+E42+E51+E53)-(E43+E44+E45+E46+E47+E48+E49+E50+E52+E54+E55+E56)</f>
        <v>2045000</v>
      </c>
      <c r="F17" s="138">
        <f>(F38+F39+F40+F41+F42+F51+F53)-(F43+F44+F45+F46+F47+F48+F49+F50+F52+F54+F55+F56)</f>
        <v>2115000</v>
      </c>
      <c r="G17" s="191">
        <f t="shared" si="1"/>
        <v>3.5443037974683546E-2</v>
      </c>
      <c r="H17" s="191">
        <f t="shared" si="2"/>
        <v>3.4229828850855744E-2</v>
      </c>
      <c r="I17" s="139" t="str">
        <f>IF(ABS(F17-STOCKS!J41)&lt;1,"✅ Stock cohérent","ℹ️ Module STOCKS: "&amp;TEXT(STOCKS!J41,"#,##0")&amp;"€ (périmètre partiel)")</f>
        <v>ℹ️ Module STOCKS: ,0€ (périmètre partiel)</v>
      </c>
      <c r="J17" s="21" t="str">
        <f>IF(ABS(F17-PLAN_AMORT!O34)&lt;1,"✅ VNC cohérent","ℹ️ Plan amort VNC: "&amp;TEXT(PLAN_AMORT!O34,"#,##0")&amp;"€ / Bilan: "&amp;TEXT(F17,"#,##0")&amp;"€")</f>
        <v>ℹ️ Plan amort VNC: ,0€ / Bilan: 2115000,0€</v>
      </c>
      <c r="K17" s="21"/>
      <c r="L17" s="21"/>
      <c r="M17" s="21"/>
    </row>
    <row r="18" spans="1:13" x14ac:dyDescent="0.25">
      <c r="A18" s="7" t="s">
        <v>193</v>
      </c>
      <c r="B18" s="5" t="s">
        <v>189</v>
      </c>
      <c r="C18" s="5">
        <v>100000</v>
      </c>
      <c r="D18" s="6">
        <v>150000</v>
      </c>
      <c r="E18" s="6">
        <v>200000</v>
      </c>
      <c r="F18" s="8">
        <v>250000</v>
      </c>
      <c r="G18" s="192">
        <f t="shared" si="1"/>
        <v>0.33333333333333331</v>
      </c>
      <c r="H18" s="192">
        <f t="shared" si="2"/>
        <v>0.25</v>
      </c>
      <c r="I18" s="125" t="str">
        <f>IF(ABS(F18-STOCKS!J42)&lt;1,"✅ Stock cohérent","ℹ️ Module STOCKS: "&amp;TEXT(STOCKS!J42,"#,##0")&amp;"€ (périmètre partiel)")</f>
        <v>ℹ️ Module STOCKS: ,0€ (périmètre partiel)</v>
      </c>
      <c r="J18" s="21" t="str">
        <f>IF(ABS(F18-PLAN_AMORT!O35)&lt;1,"✅ VNC cohérent","ℹ️ Plan amort VNC: "&amp;TEXT(PLAN_AMORT!O35,"#,##0")&amp;"€ / Bilan: "&amp;TEXT(F18,"#,##0")&amp;"€")</f>
        <v>ℹ️ Plan amort VNC: ,0€ / Bilan: 250000,0€</v>
      </c>
      <c r="K18" s="21"/>
      <c r="L18" s="21"/>
      <c r="M18" s="21"/>
    </row>
    <row r="19" spans="1:13" x14ac:dyDescent="0.25">
      <c r="A19" s="135" t="s">
        <v>194</v>
      </c>
      <c r="B19" s="136" t="s">
        <v>195</v>
      </c>
      <c r="C19" s="136">
        <v>1800000</v>
      </c>
      <c r="D19" s="137">
        <v>1500000</v>
      </c>
      <c r="E19" s="137">
        <v>1200000</v>
      </c>
      <c r="F19" s="138">
        <v>900000</v>
      </c>
      <c r="G19" s="191">
        <f t="shared" si="1"/>
        <v>-0.2</v>
      </c>
      <c r="H19" s="191">
        <f t="shared" si="2"/>
        <v>-0.25</v>
      </c>
      <c r="I19" s="139" t="str">
        <f>IF(ABS(F19-STOCKS!J43)&lt;1,"✅ Stock cohérent","ℹ️ Module STOCKS: "&amp;TEXT(STOCKS!J43,"#,##0")&amp;"€ (périmètre partiel)")</f>
        <v>ℹ️ Module STOCKS: ,0€ (périmètre partiel)</v>
      </c>
      <c r="J19" s="21" t="str">
        <f>IF(ABS(F19-PLAN_AMORT!O36)&lt;1,"✅ VNC cohérent","ℹ️ Plan amort VNC: "&amp;TEXT(PLAN_AMORT!O36,"#,##0")&amp;"€ / Bilan: "&amp;TEXT(F19,"#,##0")&amp;"€")</f>
        <v>ℹ️ Plan amort VNC: ,0€ / Bilan: 900000,0€</v>
      </c>
      <c r="K19" s="21"/>
      <c r="L19" s="21"/>
      <c r="M19" s="21"/>
    </row>
    <row r="20" spans="1:13" x14ac:dyDescent="0.25">
      <c r="A20" s="7" t="s">
        <v>196</v>
      </c>
      <c r="B20" s="5" t="s">
        <v>195</v>
      </c>
      <c r="C20" s="5">
        <v>4200000</v>
      </c>
      <c r="D20" s="6">
        <v>3800000</v>
      </c>
      <c r="E20" s="6">
        <v>3400000</v>
      </c>
      <c r="F20" s="8">
        <v>4800000</v>
      </c>
      <c r="G20" s="192">
        <f t="shared" si="1"/>
        <v>-0.10526315789473684</v>
      </c>
      <c r="H20" s="192">
        <f t="shared" si="2"/>
        <v>0.41176470588235292</v>
      </c>
      <c r="I20" s="125" t="str">
        <f>IF(ABS(F20-STOCKS!J44)&lt;1,"✅ Stock cohérent","ℹ️ Module STOCKS: "&amp;TEXT(STOCKS!J44,"#,##0")&amp;"€ (périmètre partiel)")</f>
        <v>ℹ️ Module STOCKS: ,0€ (périmètre partiel)</v>
      </c>
      <c r="J20" s="21" t="str">
        <f>IF(ABS(F20-PLAN_AMORT!O37)&lt;1,"✅ VNC cohérent","ℹ️ Plan amort VNC: "&amp;TEXT(PLAN_AMORT!O37,"#,##0")&amp;"€ / Bilan: "&amp;TEXT(F20,"#,##0")&amp;"€")</f>
        <v>ℹ️ Plan amort VNC: ,0€ / Bilan: 4800000,0€</v>
      </c>
      <c r="K20" s="21"/>
      <c r="L20" s="21"/>
      <c r="M20" s="21"/>
    </row>
    <row r="21" spans="1:13" x14ac:dyDescent="0.25">
      <c r="A21" s="135" t="s">
        <v>197</v>
      </c>
      <c r="B21" s="136" t="s">
        <v>195</v>
      </c>
      <c r="C21" s="136">
        <v>250000</v>
      </c>
      <c r="D21" s="137">
        <v>280000</v>
      </c>
      <c r="E21" s="137">
        <v>310000</v>
      </c>
      <c r="F21" s="138">
        <v>340000</v>
      </c>
      <c r="G21" s="191">
        <f t="shared" si="1"/>
        <v>0.10714285714285714</v>
      </c>
      <c r="H21" s="191">
        <f t="shared" si="2"/>
        <v>9.6774193548387094E-2</v>
      </c>
      <c r="I21" s="139" t="str">
        <f>IF(ABS(F21-STOCKS!J45)&lt;1,"✅ Stock cohérent","ℹ️ Module STOCKS: "&amp;TEXT(STOCKS!J45,"#,##0")&amp;"€ (périmètre partiel)")</f>
        <v>ℹ️ Module STOCKS: ,0€ (périmètre partiel)</v>
      </c>
      <c r="J21" s="21" t="str">
        <f>IF(ABS(F21-PLAN_AMORT!O38)&lt;1,"✅ VNC cohérent","ℹ️ Plan amort VNC: "&amp;TEXT(PLAN_AMORT!O38,"#,##0")&amp;"€ / Bilan: "&amp;TEXT(F21,"#,##0")&amp;"€")</f>
        <v>ℹ️ Plan amort VNC: ,0€ / Bilan: 340000,0€</v>
      </c>
      <c r="K21" s="21"/>
      <c r="L21" s="21"/>
      <c r="M21" s="21"/>
    </row>
    <row r="22" spans="1:13" x14ac:dyDescent="0.25">
      <c r="A22" s="7" t="s">
        <v>198</v>
      </c>
      <c r="B22" s="5" t="s">
        <v>199</v>
      </c>
      <c r="C22" s="5">
        <v>2800000</v>
      </c>
      <c r="D22" s="6">
        <v>3100000</v>
      </c>
      <c r="E22" s="6">
        <v>3400000</v>
      </c>
      <c r="F22" s="8">
        <v>3750000</v>
      </c>
      <c r="G22" s="192">
        <f t="shared" si="1"/>
        <v>9.6774193548387094E-2</v>
      </c>
      <c r="H22" s="192">
        <f t="shared" si="2"/>
        <v>0.10294117647058823</v>
      </c>
      <c r="I22" s="125" t="str">
        <f>IF(ABS(F22-STOCKS!J46)&lt;1,"✅ Stock cohérent","ℹ️ Module STOCKS: "&amp;TEXT(STOCKS!J46,"#,##0")&amp;"€ (périmètre partiel)")</f>
        <v>ℹ️ Module STOCKS: ,0€ (périmètre partiel)</v>
      </c>
      <c r="J22" s="21" t="str">
        <f>IF(ABS(F22-PLAN_AMORT!O39)&lt;1,"✅ VNC cohérent","ℹ️ Plan amort VNC: "&amp;TEXT(PLAN_AMORT!O39,"#,##0")&amp;"€ / Bilan: "&amp;TEXT(F22,"#,##0")&amp;"€")</f>
        <v>ℹ️ Plan amort VNC: ,0€ / Bilan: 3750000,0€</v>
      </c>
      <c r="K22" s="21"/>
      <c r="L22" s="21"/>
      <c r="M22" s="21"/>
    </row>
    <row r="23" spans="1:13" x14ac:dyDescent="0.25">
      <c r="A23" s="135" t="s">
        <v>200</v>
      </c>
      <c r="B23" s="136" t="s">
        <v>199</v>
      </c>
      <c r="C23" s="136">
        <v>1320000</v>
      </c>
      <c r="D23" s="137">
        <v>1450000</v>
      </c>
      <c r="E23" s="137">
        <v>1580000</v>
      </c>
      <c r="F23" s="138">
        <v>1720000</v>
      </c>
      <c r="G23" s="191">
        <f t="shared" si="1"/>
        <v>8.9655172413793102E-2</v>
      </c>
      <c r="H23" s="191">
        <f t="shared" si="2"/>
        <v>8.8607594936708861E-2</v>
      </c>
      <c r="I23" s="139" t="str">
        <f>IF(ABS(F23-STOCKS!J47)&lt;1,"✅ Stock cohérent","ℹ️ Module STOCKS: "&amp;TEXT(STOCKS!J47,"#,##0")&amp;"€ (périmètre partiel)")</f>
        <v>ℹ️ Module STOCKS: ,0€ (périmètre partiel)</v>
      </c>
      <c r="J23" s="21" t="str">
        <f>IF(ABS(F23-PLAN_AMORT!O40)&lt;1,"✅ VNC cohérent","ℹ️ Plan amort VNC: "&amp;TEXT(PLAN_AMORT!O40,"#,##0")&amp;"€ / Bilan: "&amp;TEXT(F23,"#,##0")&amp;"€")</f>
        <v>ℹ️ Plan amort VNC: ,0€ / Bilan: 1720000,0€</v>
      </c>
      <c r="K23" s="21"/>
      <c r="L23" s="21"/>
      <c r="M23" s="21"/>
    </row>
    <row r="24" spans="1:13" x14ac:dyDescent="0.25">
      <c r="A24" s="7" t="s">
        <v>201</v>
      </c>
      <c r="B24" s="5" t="s">
        <v>199</v>
      </c>
      <c r="C24" s="5">
        <v>1000000</v>
      </c>
      <c r="D24" s="6">
        <v>800000</v>
      </c>
      <c r="E24" s="6">
        <v>600000</v>
      </c>
      <c r="F24" s="8">
        <v>400000</v>
      </c>
      <c r="G24" s="192">
        <f t="shared" si="1"/>
        <v>-0.25</v>
      </c>
      <c r="H24" s="192">
        <f t="shared" si="2"/>
        <v>-0.33333333333333331</v>
      </c>
      <c r="I24" s="125" t="str">
        <f>IF(ABS(F24-STOCKS!J48)&lt;1,"✅ Stock cohérent","ℹ️ Module STOCKS: "&amp;TEXT(STOCKS!J48,"#,##0")&amp;"€ (périmètre partiel)")</f>
        <v>ℹ️ Module STOCKS: ,0€ (périmètre partiel)</v>
      </c>
      <c r="J24" s="21" t="str">
        <f>IF(ABS(F24-PLAN_AMORT!O41)&lt;1,"✅ VNC cohérent","ℹ️ Plan amort VNC: "&amp;TEXT(PLAN_AMORT!O41,"#,##0")&amp;"€ / Bilan: "&amp;TEXT(F24,"#,##0")&amp;"€")</f>
        <v>ℹ️ Plan amort VNC: ,0€ / Bilan: 400000,0€</v>
      </c>
      <c r="K24" s="21"/>
      <c r="L24" s="21"/>
      <c r="M24" s="21"/>
    </row>
    <row r="25" spans="1:13" x14ac:dyDescent="0.25">
      <c r="A25" s="135" t="s">
        <v>202</v>
      </c>
      <c r="B25" s="136" t="s">
        <v>199</v>
      </c>
      <c r="C25" s="136">
        <v>260000</v>
      </c>
      <c r="D25" s="137">
        <v>290000</v>
      </c>
      <c r="E25" s="137">
        <v>320000</v>
      </c>
      <c r="F25" s="138">
        <v>350000</v>
      </c>
      <c r="G25" s="191">
        <f t="shared" si="1"/>
        <v>0.10344827586206896</v>
      </c>
      <c r="H25" s="191">
        <f t="shared" si="2"/>
        <v>9.375E-2</v>
      </c>
      <c r="I25" s="139" t="str">
        <f>IF(ABS(F25-STOCKS!J49)&lt;1,"✅ Stock cohérent","ℹ️ Module STOCKS: "&amp;TEXT(STOCKS!J49,"#,##0")&amp;"€ (périmètre partiel)")</f>
        <v>ℹ️ Module STOCKS: ,0€ (périmètre partiel)</v>
      </c>
      <c r="J25" s="21" t="str">
        <f>IF(ABS(F25-PLAN_AMORT!O42)&lt;1,"✅ VNC cohérent","ℹ️ Plan amort VNC: "&amp;TEXT(PLAN_AMORT!O42,"#,##0")&amp;"€ / Bilan: "&amp;TEXT(F25,"#,##0")&amp;"€")</f>
        <v>ℹ️ Plan amort VNC: ,0€ / Bilan: 350000,0€</v>
      </c>
      <c r="K25" s="21"/>
      <c r="L25" s="21"/>
      <c r="M25" s="21"/>
    </row>
    <row r="26" spans="1:13" x14ac:dyDescent="0.25">
      <c r="A26" s="9" t="s">
        <v>203</v>
      </c>
      <c r="B26" s="10" t="s">
        <v>199</v>
      </c>
      <c r="C26" s="10">
        <v>60000</v>
      </c>
      <c r="D26" s="11">
        <v>80000</v>
      </c>
      <c r="E26" s="11">
        <v>100000</v>
      </c>
      <c r="F26" s="12">
        <v>120000</v>
      </c>
      <c r="G26" s="192">
        <f t="shared" si="1"/>
        <v>0.25</v>
      </c>
      <c r="H26" s="192">
        <f t="shared" si="2"/>
        <v>0.2</v>
      </c>
      <c r="I26" s="125" t="str">
        <f>IF(ABS(F26-STOCKS!J50)&lt;1,"✅ Stock cohérent","ℹ️ Module STOCKS: "&amp;TEXT(STOCKS!J50,"#,##0")&amp;"€ (périmètre partiel)")</f>
        <v>ℹ️ Module STOCKS: ,0€ (périmètre partiel)</v>
      </c>
      <c r="J26" s="21" t="str">
        <f>IF(ABS(F26-PLAN_AMORT!O43)&lt;1,"✅ VNC cohérent","ℹ️ Plan amort VNC: "&amp;TEXT(PLAN_AMORT!O43,"#,##0")&amp;"€ / Bilan: "&amp;TEXT(F26,"#,##0")&amp;"€")</f>
        <v>ℹ️ Plan amort VNC: ,0€ / Bilan: 120000,0€</v>
      </c>
      <c r="K26" s="21"/>
      <c r="L26" s="21"/>
      <c r="M26" s="21"/>
    </row>
    <row r="28" spans="1:13" ht="18" customHeight="1" thickBot="1" x14ac:dyDescent="0.3">
      <c r="A28" s="1245" t="s">
        <v>204</v>
      </c>
      <c r="B28" s="1246"/>
      <c r="C28" s="132"/>
      <c r="D28" s="132"/>
      <c r="E28" s="132"/>
      <c r="F28" s="132"/>
      <c r="G28" s="132"/>
      <c r="H28" s="132"/>
    </row>
    <row r="29" spans="1:13" ht="18" customHeight="1" thickBot="1" x14ac:dyDescent="0.3">
      <c r="A29" s="896" t="s">
        <v>205</v>
      </c>
      <c r="B29" s="126"/>
      <c r="C29" s="437">
        <f>SUMIF(B2:B26,"Actif Non Courant",C2:C26)+SUMIF(B2:B26,"Actif Courant",C2:C26)</f>
        <v>25330000</v>
      </c>
      <c r="D29" s="438">
        <f>SUMIF(B2:B26,"Actif Non Courant",E2:E26)+SUMIF(B2:B26,"Actif Courant",E2:E26)</f>
        <v>20930000</v>
      </c>
      <c r="E29" s="438">
        <f>SUMIF(B2:B26,"Actif Non Courant",F2:F26)+SUMIF(B2:B26,"Actif Courant",F2:F26)</f>
        <v>25620000</v>
      </c>
      <c r="F29" s="350"/>
      <c r="G29" s="47"/>
      <c r="H29" s="47"/>
    </row>
    <row r="30" spans="1:13" ht="18" customHeight="1" thickBot="1" x14ac:dyDescent="0.3">
      <c r="A30" s="897" t="s">
        <v>206</v>
      </c>
      <c r="B30" s="349"/>
      <c r="C30" s="439">
        <f>SUMIF(B2:B26,"Capitaux Propres",C2:C26)+SUMIF(B2:B26,"Dettes Non Courantes",C2:C26)+SUMIF(B2:B26,"Dettes Courantes",C2:C26)</f>
        <v>25330000</v>
      </c>
      <c r="D30" s="440">
        <f>SUMIF(B2:B26,"Capitaux Propres",E2:E26)+SUMIF(B2:B26,"Dettes Non Courantes",E2:E26)+SUMIF(B2:B26,"Dettes Courantes",E2:E26)</f>
        <v>20930000</v>
      </c>
      <c r="E30" s="441">
        <f>SUMIF(B2:B26,"Capitaux Propres",F2:F26)+SUMIF(B2:B26,"Dettes Non Courantes",F2:F26)+SUMIF(B2:B26,"Dettes Courantes",F2:F26)</f>
        <v>25620000</v>
      </c>
      <c r="F30" s="351"/>
      <c r="G30" s="47"/>
      <c r="H30" s="47"/>
    </row>
    <row r="31" spans="1:13" ht="18" customHeight="1" thickBot="1" x14ac:dyDescent="0.3">
      <c r="A31" s="898" t="s">
        <v>207</v>
      </c>
      <c r="B31" s="348"/>
      <c r="C31" s="442">
        <f>C29-C30</f>
        <v>0</v>
      </c>
      <c r="D31" s="443">
        <f>D29-D30</f>
        <v>0</v>
      </c>
      <c r="E31" s="443">
        <f>E29-E30</f>
        <v>0</v>
      </c>
      <c r="F31" s="351"/>
      <c r="G31" s="47"/>
      <c r="H31" s="47"/>
    </row>
    <row r="32" spans="1:13" x14ac:dyDescent="0.25">
      <c r="B32" s="347"/>
      <c r="D32" s="352"/>
      <c r="E32" s="352"/>
    </row>
    <row r="33" spans="1:10" x14ac:dyDescent="0.25">
      <c r="A33" s="389" t="s">
        <v>208</v>
      </c>
      <c r="C33" s="505"/>
      <c r="D33" s="505"/>
      <c r="E33" s="505"/>
    </row>
    <row r="34" spans="1:10" x14ac:dyDescent="0.25">
      <c r="A34" s="505" t="s">
        <v>209</v>
      </c>
      <c r="C34" s="390">
        <f>(D38+D39+D40+D41+D42+D51+D53)-(D43+D44+D45+D46+D47+D48+D49+D50+D52+D54+D55+D56)</f>
        <v>1975000</v>
      </c>
      <c r="D34" s="390">
        <f>(E38+E39+E40+E41+E42+E51+E53)-(E43+E44+E45+E46+E47+E48+E49+E50+E52+E54+E55+E56)</f>
        <v>2045000</v>
      </c>
      <c r="E34" s="390">
        <f>(F38+F39+F40+F41+F42+F51+F53)-(F43+F44+F45+F46+F47+F48+F49+F50+F52+F54+F55+F56)</f>
        <v>2115000</v>
      </c>
    </row>
    <row r="35" spans="1:10" x14ac:dyDescent="0.25">
      <c r="A35" s="505" t="s">
        <v>210</v>
      </c>
      <c r="C35" s="390">
        <f>C34-D17</f>
        <v>0</v>
      </c>
      <c r="D35" s="390">
        <f>D34-E17</f>
        <v>0</v>
      </c>
      <c r="E35" s="390">
        <f>E34-F17</f>
        <v>0</v>
      </c>
    </row>
    <row r="36" spans="1:10" ht="15.75" x14ac:dyDescent="0.25">
      <c r="A36" s="1242" t="s">
        <v>211</v>
      </c>
      <c r="B36" s="1242"/>
      <c r="C36" s="1243"/>
      <c r="D36" s="1243"/>
      <c r="E36" s="1243"/>
    </row>
    <row r="37" spans="1:10" x14ac:dyDescent="0.25">
      <c r="A37" s="134" t="s">
        <v>164</v>
      </c>
      <c r="B37" s="2" t="s">
        <v>212</v>
      </c>
      <c r="C37" s="2" t="s">
        <v>1746</v>
      </c>
      <c r="D37" s="2" t="s">
        <v>166</v>
      </c>
      <c r="E37" s="2" t="s">
        <v>167</v>
      </c>
      <c r="F37" s="2" t="s">
        <v>168</v>
      </c>
      <c r="G37" s="46" t="s">
        <v>169</v>
      </c>
      <c r="H37" s="46" t="s">
        <v>170</v>
      </c>
      <c r="I37" s="2" t="s">
        <v>1649</v>
      </c>
      <c r="J37" s="2" t="s">
        <v>1651</v>
      </c>
    </row>
    <row r="38" spans="1:10" ht="21.95" customHeight="1" x14ac:dyDescent="0.25">
      <c r="A38" s="133" t="s">
        <v>213</v>
      </c>
      <c r="B38" s="133" t="s">
        <v>214</v>
      </c>
      <c r="C38" s="133">
        <v>27200000</v>
      </c>
      <c r="D38" s="189">
        <v>28500000</v>
      </c>
      <c r="E38" s="189">
        <v>29800000</v>
      </c>
      <c r="F38" s="189">
        <v>32400000</v>
      </c>
      <c r="G38" s="193">
        <f t="shared" ref="G38:G56" si="3">IFERROR((E38-D38)/ABS(D38),0)</f>
        <v>4.5614035087719301E-2</v>
      </c>
      <c r="H38" s="194">
        <f>IFERROR((F38-E38)/ABS(E38),0)</f>
        <v>8.7248322147651006E-2</v>
      </c>
      <c r="I38" s="884" t="s">
        <v>1650</v>
      </c>
      <c r="J38" s="888" t="str">
        <f>IF(ABS(F38-ECARTS_BU!AB10)&lt;1,"✅ CA cohérent","ℹ️ Écarts_BU CA consol: "&amp;TEXT(ECARTS_BU!AB10,"#,##0")&amp;"€ (5 BU) vs CPC: "&amp;TEXT(F38,"#,##0")&amp;"€")</f>
        <v>ℹ️ Écarts_BU CA consol: 13100000,0€ (5 BU) vs CPC: 32400000,0€</v>
      </c>
    </row>
    <row r="39" spans="1:10" x14ac:dyDescent="0.25">
      <c r="A39" s="4" t="s">
        <v>215</v>
      </c>
      <c r="B39" s="4" t="s">
        <v>214</v>
      </c>
      <c r="C39" s="4">
        <v>260000</v>
      </c>
      <c r="D39" s="190">
        <v>220000</v>
      </c>
      <c r="E39" s="190">
        <v>180000</v>
      </c>
      <c r="F39" s="190">
        <v>250000</v>
      </c>
      <c r="G39" s="193">
        <f>IFERROR((E39-D39)/ABS(D39),0)</f>
        <v>-0.18181818181818182</v>
      </c>
      <c r="H39" s="193">
        <f t="shared" ref="H39:H56" si="4">IFERROR((F39-E39)/ABS(E39),0)</f>
        <v>0.3888888888888889</v>
      </c>
      <c r="I39" s="883"/>
      <c r="J39" s="883" t="str">
        <f>IF(ABS(F39-ECARTS_BU!AB11)&lt;1,"✅ CA cohérent","ℹ️ Écarts_BU CA consol: "&amp;TEXT(ECARTS_BU!AB11,"#,##0")&amp;"€ (5 BU) vs CPC: "&amp;TEXT(F39,"#,##0")&amp;"€")</f>
        <v>ℹ️ Écarts_BU CA consol: 35800,0€ (5 BU) vs CPC: 250000,0€</v>
      </c>
    </row>
    <row r="40" spans="1:10" x14ac:dyDescent="0.25">
      <c r="A40" s="3" t="s">
        <v>216</v>
      </c>
      <c r="B40" s="3" t="s">
        <v>214</v>
      </c>
      <c r="C40" s="3">
        <v>60000</v>
      </c>
      <c r="D40" s="172">
        <v>80000</v>
      </c>
      <c r="E40" s="172">
        <v>95000</v>
      </c>
      <c r="F40" s="172">
        <v>110000</v>
      </c>
      <c r="G40" s="193">
        <f t="shared" si="3"/>
        <v>0.1875</v>
      </c>
      <c r="H40" s="193">
        <f t="shared" si="4"/>
        <v>0.15789473684210525</v>
      </c>
      <c r="I40" s="883"/>
      <c r="J40" s="883" t="str">
        <f>IF(ABS(F40-ECARTS_BU!AB12)&lt;1,"✅ CA cohérent","ℹ️ Écarts_BU CA consol: "&amp;TEXT(ECARTS_BU!AB12,"#,##0")&amp;"€ (5 BU) vs CPC: "&amp;TEXT(F40,"#,##0")&amp;"€")</f>
        <v>ℹ️ Écarts_BU CA consol: 2200,0€ (5 BU) vs CPC: 110000,0€</v>
      </c>
    </row>
    <row r="41" spans="1:10" x14ac:dyDescent="0.25">
      <c r="A41" s="4" t="s">
        <v>217</v>
      </c>
      <c r="B41" s="4" t="s">
        <v>214</v>
      </c>
      <c r="C41" s="4">
        <v>140000</v>
      </c>
      <c r="D41" s="190">
        <v>120000</v>
      </c>
      <c r="E41" s="190">
        <v>100000</v>
      </c>
      <c r="F41" s="190">
        <v>90000</v>
      </c>
      <c r="G41" s="193">
        <f t="shared" si="3"/>
        <v>-0.16666666666666666</v>
      </c>
      <c r="H41" s="193">
        <f t="shared" si="4"/>
        <v>-0.1</v>
      </c>
      <c r="I41" s="883"/>
      <c r="J41" s="883" t="str">
        <f>IF(ABS(F41-ECARTS_BU!AB13)&lt;1,"✅ CA cohérent","ℹ️ Écarts_BU CA consol: "&amp;TEXT(ECARTS_BU!AB13,"#,##0")&amp;"€ (5 BU) vs CPC: "&amp;TEXT(F41,"#,##0")&amp;"€")</f>
        <v>ℹ️ Écarts_BU CA consol: -3656500,0€ (5 BU) vs CPC: 90000,0€</v>
      </c>
    </row>
    <row r="42" spans="1:10" x14ac:dyDescent="0.25">
      <c r="A42" s="3" t="s">
        <v>218</v>
      </c>
      <c r="B42" s="3" t="s">
        <v>214</v>
      </c>
      <c r="C42" s="3">
        <v>150000</v>
      </c>
      <c r="D42" s="172">
        <v>180000</v>
      </c>
      <c r="E42" s="172">
        <v>210000</v>
      </c>
      <c r="F42" s="172">
        <v>240000</v>
      </c>
      <c r="G42" s="193">
        <f t="shared" si="3"/>
        <v>0.16666666666666666</v>
      </c>
      <c r="H42" s="193">
        <f t="shared" si="4"/>
        <v>0.14285714285714285</v>
      </c>
      <c r="I42" s="883"/>
      <c r="J42" s="883" t="str">
        <f>IF(ABS(F42-ECARTS_BU!AB14)&lt;1,"✅ CA cohérent","ℹ️ Écarts_BU CA consol: "&amp;TEXT(ECARTS_BU!AB14,"#,##0")&amp;"€ (5 BU) vs CPC: "&amp;TEXT(F42,"#,##0")&amp;"€")</f>
        <v>ℹ️ Écarts_BU CA consol: -2379720,0€ (5 BU) vs CPC: 240000,0€</v>
      </c>
    </row>
    <row r="43" spans="1:10" x14ac:dyDescent="0.25">
      <c r="A43" s="4" t="s">
        <v>219</v>
      </c>
      <c r="B43" s="4" t="s">
        <v>220</v>
      </c>
      <c r="C43" s="4">
        <v>13600000</v>
      </c>
      <c r="D43" s="190">
        <v>14200000</v>
      </c>
      <c r="E43" s="190">
        <v>14800000</v>
      </c>
      <c r="F43" s="190">
        <v>16100000</v>
      </c>
      <c r="G43" s="193">
        <f t="shared" si="3"/>
        <v>4.2253521126760563E-2</v>
      </c>
      <c r="H43" s="193">
        <f t="shared" si="4"/>
        <v>8.7837837837837843E-2</v>
      </c>
      <c r="I43" s="883"/>
      <c r="J43" s="883" t="str">
        <f>IF(ABS(F43-ECARTS_BU!AB15)&lt;1,"✅ CA cohérent","ℹ️ Écarts_BU CA consol: "&amp;TEXT(ECARTS_BU!AB15,"#,##0")&amp;"€ (5 BU) vs CPC: "&amp;TEXT(F43,"#,##0")&amp;"€")</f>
        <v>ℹ️ Écarts_BU CA consol: -655000,0€ (5 BU) vs CPC: 16100000,0€</v>
      </c>
    </row>
    <row r="44" spans="1:10" x14ac:dyDescent="0.25">
      <c r="A44" s="3" t="s">
        <v>221</v>
      </c>
      <c r="B44" s="3" t="s">
        <v>220</v>
      </c>
      <c r="C44" s="3">
        <v>-60000</v>
      </c>
      <c r="D44" s="172">
        <v>-180000</v>
      </c>
      <c r="E44" s="172">
        <v>-300000</v>
      </c>
      <c r="F44" s="172">
        <v>-250000</v>
      </c>
      <c r="G44" s="193">
        <f t="shared" si="3"/>
        <v>-0.66666666666666663</v>
      </c>
      <c r="H44" s="193">
        <f t="shared" si="4"/>
        <v>0.16666666666666666</v>
      </c>
      <c r="I44" s="883"/>
      <c r="J44" s="883" t="str">
        <f>IF(ABS(F44-ECARTS_BU!AB16)&lt;1,"✅ CA cohérent","ℹ️ Écarts_BU CA consol: "&amp;TEXT(ECARTS_BU!AB16,"#,##0")&amp;"€ (5 BU) vs CPC: "&amp;TEXT(F44,"#,##0")&amp;"€")</f>
        <v>ℹ️ Écarts_BU CA consol: 6408780,0€ (5 BU) vs CPC: -250000,0€</v>
      </c>
    </row>
    <row r="45" spans="1:10" x14ac:dyDescent="0.25">
      <c r="A45" s="4" t="s">
        <v>222</v>
      </c>
      <c r="B45" s="4" t="s">
        <v>220</v>
      </c>
      <c r="C45" s="4">
        <v>3900000</v>
      </c>
      <c r="D45" s="190">
        <v>4100000</v>
      </c>
      <c r="E45" s="190">
        <v>4300000</v>
      </c>
      <c r="F45" s="190">
        <v>4650000</v>
      </c>
      <c r="G45" s="193">
        <f t="shared" si="3"/>
        <v>4.878048780487805E-2</v>
      </c>
      <c r="H45" s="193">
        <f t="shared" si="4"/>
        <v>8.1395348837209308E-2</v>
      </c>
      <c r="I45" s="883"/>
      <c r="J45" s="883" t="str">
        <f>IF(ABS(F45-ECARTS_BU!AB17)&lt;1,"✅ CA cohérent","ℹ️ Écarts_BU CA consol: "&amp;TEXT(ECARTS_BU!AB17,"#,##0")&amp;"€ (5 BU) vs CPC: "&amp;TEXT(F45,"#,##0")&amp;"€")</f>
        <v>ℹ️ Écarts_BU CA consol: -1283000,0€ (5 BU) vs CPC: 4650000,0€</v>
      </c>
    </row>
    <row r="46" spans="1:10" x14ac:dyDescent="0.25">
      <c r="A46" s="3" t="s">
        <v>223</v>
      </c>
      <c r="B46" s="3" t="s">
        <v>220</v>
      </c>
      <c r="C46" s="3">
        <v>590000</v>
      </c>
      <c r="D46" s="172">
        <v>620000</v>
      </c>
      <c r="E46" s="172">
        <v>650000</v>
      </c>
      <c r="F46" s="172">
        <v>680000</v>
      </c>
      <c r="G46" s="193">
        <f t="shared" si="3"/>
        <v>4.8387096774193547E-2</v>
      </c>
      <c r="H46" s="193">
        <f t="shared" si="4"/>
        <v>4.6153846153846156E-2</v>
      </c>
      <c r="I46" s="883"/>
      <c r="J46" s="883" t="str">
        <f>IF(ABS(F46-ECARTS_BU!AB18)&lt;1,"✅ CA cohérent","ℹ️ Écarts_BU CA consol: "&amp;TEXT(ECARTS_BU!AB18,"#,##0")&amp;"€ (5 BU) vs CPC: "&amp;TEXT(F46,"#,##0")&amp;"€")</f>
        <v>ℹ️ Écarts_BU CA consol: 5125780,0€ (5 BU) vs CPC: 680000,0€</v>
      </c>
    </row>
    <row r="47" spans="1:10" x14ac:dyDescent="0.25">
      <c r="A47" s="4" t="s">
        <v>224</v>
      </c>
      <c r="B47" s="4" t="s">
        <v>220</v>
      </c>
      <c r="C47" s="4">
        <v>5900000</v>
      </c>
      <c r="D47" s="190">
        <v>6200000</v>
      </c>
      <c r="E47" s="190">
        <v>6500000</v>
      </c>
      <c r="F47" s="190">
        <v>6900000</v>
      </c>
      <c r="G47" s="193">
        <f t="shared" si="3"/>
        <v>4.8387096774193547E-2</v>
      </c>
      <c r="H47" s="193">
        <f t="shared" si="4"/>
        <v>6.1538461538461542E-2</v>
      </c>
      <c r="I47" s="883"/>
      <c r="J47" s="883" t="str">
        <f>IF(ABS(F47-ECARTS_BU!AB19)&lt;1,"✅ CA cohérent","ℹ️ Écarts_BU CA consol: "&amp;TEXT(ECARTS_BU!AB19,"#,##0")&amp;"€ (5 BU) vs CPC: "&amp;TEXT(F47,"#,##0")&amp;"€")</f>
        <v>ℹ️ Écarts_BU CA consol: -1004000,0€ (5 BU) vs CPC: 6900000,0€</v>
      </c>
    </row>
    <row r="48" spans="1:10" x14ac:dyDescent="0.25">
      <c r="A48" s="3" t="s">
        <v>225</v>
      </c>
      <c r="B48" s="3" t="s">
        <v>220</v>
      </c>
      <c r="C48" s="3">
        <v>1000000</v>
      </c>
      <c r="D48" s="172">
        <v>1100000</v>
      </c>
      <c r="E48" s="172">
        <v>1200000</v>
      </c>
      <c r="F48" s="172">
        <v>1450000</v>
      </c>
      <c r="G48" s="193">
        <f t="shared" si="3"/>
        <v>9.0909090909090912E-2</v>
      </c>
      <c r="H48" s="193">
        <f t="shared" si="4"/>
        <v>0.20833333333333334</v>
      </c>
      <c r="I48" s="885" t="str">
        <f>IF(ABS(F48-PLAN_AMORT!N20)&lt;1,"✅ D&amp;A cohérent","ℹ️ Plan amort partiel: "&amp;TEXT(PLAN_AMORT!N20,"#,##0")&amp;"€ / "&amp;TEXT(F48,"#,##0")&amp;"€ CPC")</f>
        <v>ℹ️ Plan amort partiel: 301688,680€ / 1450000,0€ CPC</v>
      </c>
      <c r="J48" s="883" t="str">
        <f>IF(ABS(F48-ECARTS_BU!AB20)&lt;1,"✅ CA cohérent","ℹ️ Écarts_BU CA consol: "&amp;TEXT(ECARTS_BU!AB20,"#,##0")&amp;"€ (5 BU) vs CPC: "&amp;TEXT(F48,"#,##0")&amp;"€")</f>
        <v>ℹ️ Écarts_BU CA consol: -598000,0€ (5 BU) vs CPC: 1450000,0€</v>
      </c>
    </row>
    <row r="49" spans="1:10" x14ac:dyDescent="0.25">
      <c r="A49" s="4" t="s">
        <v>226</v>
      </c>
      <c r="B49" s="4" t="s">
        <v>220</v>
      </c>
      <c r="C49" s="4">
        <v>160000</v>
      </c>
      <c r="D49" s="190">
        <v>180000</v>
      </c>
      <c r="E49" s="190">
        <v>200000</v>
      </c>
      <c r="F49" s="190">
        <v>220000</v>
      </c>
      <c r="G49" s="193">
        <f t="shared" si="3"/>
        <v>0.1111111111111111</v>
      </c>
      <c r="H49" s="193">
        <f t="shared" si="4"/>
        <v>0.1</v>
      </c>
      <c r="I49" s="883"/>
      <c r="J49" s="883" t="str">
        <f>IF(ABS(F49-ECARTS_BU!AB21)&lt;1,"✅ CA cohérent","ℹ️ Écarts_BU CA consol: "&amp;TEXT(ECARTS_BU!AB21,"#,##0")&amp;"€ (5 BU) vs CPC: "&amp;TEXT(F49,"#,##0")&amp;"€")</f>
        <v>ℹ️ Écarts_BU CA consol: 3523780,0€ (5 BU) vs CPC: 220000,0€</v>
      </c>
    </row>
    <row r="50" spans="1:10" x14ac:dyDescent="0.25">
      <c r="A50" s="3" t="s">
        <v>227</v>
      </c>
      <c r="B50" s="3" t="s">
        <v>220</v>
      </c>
      <c r="C50" s="3">
        <v>80000</v>
      </c>
      <c r="D50" s="172">
        <v>90000</v>
      </c>
      <c r="E50" s="172">
        <v>100000</v>
      </c>
      <c r="F50" s="172">
        <v>110000</v>
      </c>
      <c r="G50" s="193">
        <f t="shared" si="3"/>
        <v>0.1111111111111111</v>
      </c>
      <c r="H50" s="193">
        <f t="shared" si="4"/>
        <v>0.1</v>
      </c>
      <c r="I50" s="883"/>
      <c r="J50" s="883" t="str">
        <f>IF(ABS(F50-ECARTS_BU!AB22)&lt;1,"✅ CA cohérent","ℹ️ Écarts_BU CA consol: "&amp;TEXT(ECARTS_BU!AB22,"#,##0")&amp;"€ (5 BU) vs CPC: "&amp;TEXT(F50,"#,##0")&amp;"€")</f>
        <v>ℹ️ Écarts_BU CA consol: ,269€ (5 BU) vs CPC: 110000,0€</v>
      </c>
    </row>
    <row r="51" spans="1:10" x14ac:dyDescent="0.25">
      <c r="A51" s="4" t="s">
        <v>228</v>
      </c>
      <c r="B51" s="4" t="s">
        <v>229</v>
      </c>
      <c r="C51" s="4">
        <v>40000</v>
      </c>
      <c r="D51" s="190">
        <v>45000</v>
      </c>
      <c r="E51" s="190">
        <v>50000</v>
      </c>
      <c r="F51" s="190">
        <v>65000</v>
      </c>
      <c r="G51" s="193">
        <f t="shared" si="3"/>
        <v>0.1111111111111111</v>
      </c>
      <c r="H51" s="193">
        <f t="shared" si="4"/>
        <v>0.3</v>
      </c>
      <c r="I51" s="883"/>
      <c r="J51" s="883" t="str">
        <f>IF(ABS(F51-ECARTS_BU!AB23)&lt;1,"✅ CA cohérent","ℹ️ Écarts_BU CA consol: "&amp;TEXT(ECARTS_BU!AB23,"#,##0")&amp;"€ (5 BU) vs CPC: "&amp;TEXT(F51,"#,##0")&amp;"€")</f>
        <v>ℹ️ Écarts_BU CA consol: ,0€ (5 BU) vs CPC: 65000,0€</v>
      </c>
    </row>
    <row r="52" spans="1:10" x14ac:dyDescent="0.25">
      <c r="A52" s="3" t="s">
        <v>230</v>
      </c>
      <c r="B52" s="3" t="s">
        <v>229</v>
      </c>
      <c r="C52" s="3">
        <v>420000</v>
      </c>
      <c r="D52" s="172">
        <v>380000</v>
      </c>
      <c r="E52" s="172">
        <v>340000</v>
      </c>
      <c r="F52" s="172">
        <v>390000</v>
      </c>
      <c r="G52" s="193">
        <f t="shared" si="3"/>
        <v>-0.10526315789473684</v>
      </c>
      <c r="H52" s="193">
        <f t="shared" si="4"/>
        <v>0.14705882352941177</v>
      </c>
      <c r="I52" s="883"/>
      <c r="J52" s="883" t="str">
        <f>IF(ABS(F52-ECARTS_BU!AB24)&lt;1,"✅ CA cohérent","ℹ️ Écarts_BU CA consol: "&amp;TEXT(ECARTS_BU!AB24,"#,##0")&amp;"€ (5 BU) vs CPC: "&amp;TEXT(F52,"#,##0")&amp;"€")</f>
        <v>ℹ️ Écarts_BU CA consol: ,0€ (5 BU) vs CPC: 390000,0€</v>
      </c>
    </row>
    <row r="53" spans="1:10" x14ac:dyDescent="0.25">
      <c r="A53" s="4" t="s">
        <v>231</v>
      </c>
      <c r="B53" s="4" t="s">
        <v>232</v>
      </c>
      <c r="C53" s="4">
        <v>25000</v>
      </c>
      <c r="D53" s="190">
        <v>30000</v>
      </c>
      <c r="E53" s="190">
        <v>120000</v>
      </c>
      <c r="F53" s="190">
        <v>40000</v>
      </c>
      <c r="G53" s="193">
        <f t="shared" si="3"/>
        <v>3</v>
      </c>
      <c r="H53" s="193">
        <f t="shared" si="4"/>
        <v>-0.66666666666666663</v>
      </c>
      <c r="I53" s="883"/>
      <c r="J53" s="883" t="str">
        <f>IF(ABS(F53-ECARTS_BU!AB25)&lt;1,"✅ CA cohérent","ℹ️ Écarts_BU CA consol: "&amp;TEXT(ECARTS_BU!AB25,"#,##0")&amp;"€ (5 BU) vs CPC: "&amp;TEXT(F53,"#,##0")&amp;"€")</f>
        <v>ℹ️ Écarts_BU CA consol: ,0€ (5 BU) vs CPC: 40000,0€</v>
      </c>
    </row>
    <row r="54" spans="1:10" x14ac:dyDescent="0.25">
      <c r="A54" s="3" t="s">
        <v>233</v>
      </c>
      <c r="B54" s="3" t="s">
        <v>232</v>
      </c>
      <c r="C54" s="3">
        <v>20000</v>
      </c>
      <c r="D54" s="172">
        <v>50000</v>
      </c>
      <c r="E54" s="172">
        <v>80000</v>
      </c>
      <c r="F54" s="172">
        <v>60000</v>
      </c>
      <c r="G54" s="193">
        <f t="shared" si="3"/>
        <v>0.6</v>
      </c>
      <c r="H54" s="193">
        <f t="shared" si="4"/>
        <v>-0.25</v>
      </c>
      <c r="I54" s="883"/>
      <c r="J54" s="883" t="str">
        <f>IF(ABS(F54-ECARTS_BU!AB26)&lt;1,"✅ CA cohérent","ℹ️ Écarts_BU CA consol: "&amp;TEXT(ECARTS_BU!AB26,"#,##0")&amp;"€ (5 BU) vs CPC: "&amp;TEXT(F54,"#,##0")&amp;"€")</f>
        <v>ℹ️ Écarts_BU CA consol: ,0€ (5 BU) vs CPC: 60000,0€</v>
      </c>
    </row>
    <row r="55" spans="1:10" x14ac:dyDescent="0.25">
      <c r="A55" s="4" t="s">
        <v>234</v>
      </c>
      <c r="B55" s="4" t="s">
        <v>235</v>
      </c>
      <c r="C55" s="4">
        <v>120000</v>
      </c>
      <c r="D55" s="190">
        <v>140000</v>
      </c>
      <c r="E55" s="190">
        <v>160000</v>
      </c>
      <c r="F55" s="190">
        <v>190000</v>
      </c>
      <c r="G55" s="193">
        <f t="shared" si="3"/>
        <v>0.14285714285714285</v>
      </c>
      <c r="H55" s="193">
        <f t="shared" si="4"/>
        <v>0.1875</v>
      </c>
      <c r="I55" s="883"/>
      <c r="J55" s="883" t="str">
        <f>IF(ABS(F55-ECARTS_BU!AB27)&lt;1,"✅ CA cohérent","ℹ️ Écarts_BU CA consol: "&amp;TEXT(ECARTS_BU!AB27,"#,##0")&amp;"€ (5 BU) vs CPC: "&amp;TEXT(F55,"#,##0")&amp;"€")</f>
        <v>ℹ️ Écarts_BU CA consol: ,0€ (5 BU) vs CPC: 190000,0€</v>
      </c>
    </row>
    <row r="56" spans="1:10" x14ac:dyDescent="0.25">
      <c r="A56" s="3" t="s">
        <v>236</v>
      </c>
      <c r="B56" s="3" t="s">
        <v>235</v>
      </c>
      <c r="C56" s="3">
        <v>160000</v>
      </c>
      <c r="D56" s="172">
        <v>320000</v>
      </c>
      <c r="E56" s="172">
        <v>480000</v>
      </c>
      <c r="F56" s="172">
        <v>580000</v>
      </c>
      <c r="G56" s="193">
        <f t="shared" si="3"/>
        <v>0.5</v>
      </c>
      <c r="H56" s="193">
        <f t="shared" si="4"/>
        <v>0.20833333333333334</v>
      </c>
      <c r="I56" s="883"/>
      <c r="J56" s="883" t="str">
        <f>IF(ABS(F56-ECARTS_BU!AB28)&lt;1,"✅ CA cohérent","ℹ️ Écarts_BU CA consol: "&amp;TEXT(ECARTS_BU!AB28,"#,##0")&amp;"€ (5 BU) vs CPC: "&amp;TEXT(F56,"#,##0")&amp;"€")</f>
        <v>ℹ️ Écarts_BU CA consol: ,0€ (5 BU) vs CPC: 580000,0€</v>
      </c>
    </row>
    <row r="57" spans="1:10" x14ac:dyDescent="0.25">
      <c r="C57" s="172"/>
      <c r="D57" s="172"/>
      <c r="E57" s="172"/>
      <c r="F57" s="195"/>
      <c r="G57" s="195"/>
    </row>
    <row r="59" spans="1:10" ht="15.75" x14ac:dyDescent="0.25">
      <c r="A59" s="1244" t="s">
        <v>237</v>
      </c>
      <c r="B59" s="1242"/>
      <c r="C59" s="1242"/>
      <c r="D59" s="1242"/>
      <c r="E59" s="1242"/>
    </row>
    <row r="60" spans="1:10" ht="21.95" customHeight="1" x14ac:dyDescent="0.25">
      <c r="A60" s="46" t="s">
        <v>164</v>
      </c>
      <c r="B60" s="46" t="s">
        <v>165</v>
      </c>
      <c r="C60" s="444" t="s">
        <v>166</v>
      </c>
      <c r="D60" s="444" t="s">
        <v>167</v>
      </c>
      <c r="E60" s="444" t="s">
        <v>168</v>
      </c>
      <c r="F60" s="444" t="s">
        <v>238</v>
      </c>
      <c r="G60" t="s">
        <v>239</v>
      </c>
    </row>
    <row r="61" spans="1:10" x14ac:dyDescent="0.25">
      <c r="A61" s="3" t="s">
        <v>192</v>
      </c>
      <c r="B61" s="3" t="s">
        <v>240</v>
      </c>
      <c r="C61" s="172">
        <v>900000</v>
      </c>
      <c r="D61" s="172">
        <v>1300000</v>
      </c>
      <c r="E61" s="172">
        <v>1580000</v>
      </c>
      <c r="F61" s="447">
        <f>SUMIF($B$61:$B$75,"Exploitation",$E$61:$E$75)</f>
        <v>2700000</v>
      </c>
      <c r="G61" s="127" t="s">
        <v>240</v>
      </c>
    </row>
    <row r="62" spans="1:10" x14ac:dyDescent="0.25">
      <c r="A62" s="4" t="s">
        <v>225</v>
      </c>
      <c r="B62" s="4" t="s">
        <v>240</v>
      </c>
      <c r="C62" s="190">
        <v>1100000</v>
      </c>
      <c r="D62" s="190">
        <v>1200000</v>
      </c>
      <c r="E62" s="190">
        <v>1450000</v>
      </c>
      <c r="F62" s="448"/>
      <c r="G62" s="127"/>
    </row>
    <row r="63" spans="1:10" x14ac:dyDescent="0.25">
      <c r="A63" s="3" t="s">
        <v>241</v>
      </c>
      <c r="B63" s="3" t="s">
        <v>240</v>
      </c>
      <c r="C63" s="172">
        <v>180000</v>
      </c>
      <c r="D63" s="172">
        <v>200000</v>
      </c>
      <c r="E63" s="172">
        <v>220000</v>
      </c>
      <c r="F63" s="448"/>
      <c r="G63" s="127"/>
    </row>
    <row r="64" spans="1:10" x14ac:dyDescent="0.25">
      <c r="A64" s="4" t="s">
        <v>242</v>
      </c>
      <c r="B64" s="4" t="s">
        <v>240</v>
      </c>
      <c r="C64" s="190">
        <v>-20000</v>
      </c>
      <c r="D64" s="190">
        <v>80000</v>
      </c>
      <c r="E64" s="190">
        <v>-30000</v>
      </c>
      <c r="F64" s="448"/>
      <c r="G64" s="127"/>
    </row>
    <row r="65" spans="1:7" x14ac:dyDescent="0.25">
      <c r="A65" s="3" t="s">
        <v>243</v>
      </c>
      <c r="B65" s="3" t="s">
        <v>240</v>
      </c>
      <c r="C65" s="172">
        <v>-250000</v>
      </c>
      <c r="D65" s="172">
        <v>-300000</v>
      </c>
      <c r="E65" s="172">
        <v>-300000</v>
      </c>
      <c r="F65" s="448"/>
      <c r="G65" s="127"/>
    </row>
    <row r="66" spans="1:7" x14ac:dyDescent="0.25">
      <c r="A66" s="4" t="s">
        <v>244</v>
      </c>
      <c r="B66" s="4" t="s">
        <v>240</v>
      </c>
      <c r="C66" s="190">
        <v>-350000</v>
      </c>
      <c r="D66" s="190">
        <v>-400000</v>
      </c>
      <c r="E66" s="190">
        <v>-500000</v>
      </c>
      <c r="F66" s="448"/>
      <c r="G66" s="127"/>
    </row>
    <row r="67" spans="1:7" x14ac:dyDescent="0.25">
      <c r="A67" s="3" t="s">
        <v>245</v>
      </c>
      <c r="B67" s="3" t="s">
        <v>240</v>
      </c>
      <c r="C67" s="172">
        <v>200000</v>
      </c>
      <c r="D67" s="172">
        <v>300000</v>
      </c>
      <c r="E67" s="172">
        <v>350000</v>
      </c>
      <c r="F67" s="448"/>
      <c r="G67" s="127"/>
    </row>
    <row r="68" spans="1:7" x14ac:dyDescent="0.25">
      <c r="A68" s="4" t="s">
        <v>246</v>
      </c>
      <c r="B68" s="4" t="s">
        <v>240</v>
      </c>
      <c r="C68" s="190">
        <v>-80000</v>
      </c>
      <c r="D68" s="190">
        <v>-60000</v>
      </c>
      <c r="E68" s="190">
        <v>-70000</v>
      </c>
      <c r="F68" s="448"/>
      <c r="G68" s="127"/>
    </row>
    <row r="69" spans="1:7" x14ac:dyDescent="0.25">
      <c r="A69" s="3" t="s">
        <v>247</v>
      </c>
      <c r="B69" s="3" t="s">
        <v>248</v>
      </c>
      <c r="C69" s="172">
        <v>-1800000</v>
      </c>
      <c r="D69" s="172">
        <v>-2100000</v>
      </c>
      <c r="E69" s="172">
        <v>-3200000</v>
      </c>
      <c r="F69" s="447">
        <f>SUMIF($B$61:$B$75,"Investissement",$E$61:$E$75)</f>
        <v>-3190000</v>
      </c>
      <c r="G69" s="127" t="s">
        <v>248</v>
      </c>
    </row>
    <row r="70" spans="1:7" x14ac:dyDescent="0.25">
      <c r="A70" s="4" t="s">
        <v>249</v>
      </c>
      <c r="B70" s="4" t="s">
        <v>248</v>
      </c>
      <c r="C70" s="190">
        <v>80000</v>
      </c>
      <c r="D70" s="190">
        <v>150000</v>
      </c>
      <c r="E70" s="190">
        <v>60000</v>
      </c>
      <c r="F70" s="448"/>
      <c r="G70" s="127"/>
    </row>
    <row r="71" spans="1:7" x14ac:dyDescent="0.25">
      <c r="A71" s="3" t="s">
        <v>250</v>
      </c>
      <c r="B71" s="3" t="s">
        <v>248</v>
      </c>
      <c r="C71" s="172">
        <v>-100000</v>
      </c>
      <c r="D71" s="172">
        <v>-50000</v>
      </c>
      <c r="E71" s="172">
        <v>-50000</v>
      </c>
      <c r="F71" s="448"/>
      <c r="G71" s="127"/>
    </row>
    <row r="72" spans="1:7" x14ac:dyDescent="0.25">
      <c r="A72" s="4" t="s">
        <v>251</v>
      </c>
      <c r="B72" s="4" t="s">
        <v>252</v>
      </c>
      <c r="C72" s="190">
        <v>0</v>
      </c>
      <c r="D72" s="190">
        <v>0</v>
      </c>
      <c r="E72" s="190">
        <v>0</v>
      </c>
      <c r="F72" s="447">
        <f>SUMIF($B$61:$B$75,"Financement",$E$61:$E$75)</f>
        <v>800000</v>
      </c>
      <c r="G72" s="127" t="s">
        <v>252</v>
      </c>
    </row>
    <row r="73" spans="1:7" x14ac:dyDescent="0.25">
      <c r="A73" s="3" t="s">
        <v>253</v>
      </c>
      <c r="B73" s="3" t="s">
        <v>252</v>
      </c>
      <c r="C73" s="172">
        <v>800000</v>
      </c>
      <c r="D73" s="172">
        <v>0</v>
      </c>
      <c r="E73" s="172">
        <v>1800000</v>
      </c>
      <c r="F73" s="448"/>
      <c r="G73" s="127"/>
    </row>
    <row r="74" spans="1:7" x14ac:dyDescent="0.25">
      <c r="A74" s="4" t="s">
        <v>254</v>
      </c>
      <c r="B74" s="4" t="s">
        <v>252</v>
      </c>
      <c r="C74" s="190">
        <v>-500000</v>
      </c>
      <c r="D74" s="190">
        <v>-600000</v>
      </c>
      <c r="E74" s="190">
        <v>-700000</v>
      </c>
      <c r="F74" s="448"/>
      <c r="G74" s="127"/>
    </row>
    <row r="75" spans="1:7" x14ac:dyDescent="0.25">
      <c r="A75" s="3" t="s">
        <v>255</v>
      </c>
      <c r="B75" s="3" t="s">
        <v>252</v>
      </c>
      <c r="C75" s="172">
        <v>-200000</v>
      </c>
      <c r="D75" s="172">
        <v>-250000</v>
      </c>
      <c r="E75" s="172">
        <v>-300000</v>
      </c>
      <c r="F75" s="448"/>
      <c r="G75" s="127"/>
    </row>
    <row r="76" spans="1:7" ht="21.95" customHeight="1" x14ac:dyDescent="0.25">
      <c r="A76" s="128" t="s">
        <v>256</v>
      </c>
      <c r="B76" s="93"/>
      <c r="C76" s="445"/>
      <c r="D76" s="445"/>
      <c r="E76" s="446">
        <f>F61+F69+F72</f>
        <v>310000</v>
      </c>
      <c r="F76" s="445">
        <f>F61+F69+F72</f>
        <v>310000</v>
      </c>
      <c r="G76" s="129"/>
    </row>
    <row r="77" spans="1:7" x14ac:dyDescent="0.25">
      <c r="C77" s="172"/>
      <c r="D77" s="172"/>
      <c r="E77" s="172"/>
      <c r="F77" s="172"/>
    </row>
    <row r="78" spans="1:7" ht="15.75" x14ac:dyDescent="0.25">
      <c r="A78" s="1244" t="s">
        <v>257</v>
      </c>
      <c r="B78" s="1242"/>
      <c r="C78" s="1243"/>
      <c r="D78" s="1243"/>
      <c r="E78" s="1243"/>
      <c r="F78" s="1243"/>
      <c r="G78" s="1242"/>
    </row>
    <row r="79" spans="1:7" ht="21.95" customHeight="1" x14ac:dyDescent="0.25">
      <c r="A79" s="46" t="s">
        <v>164</v>
      </c>
      <c r="B79" s="46" t="s">
        <v>165</v>
      </c>
      <c r="C79" s="46" t="s">
        <v>258</v>
      </c>
      <c r="D79" s="46" t="s">
        <v>259</v>
      </c>
      <c r="E79" s="46" t="s">
        <v>260</v>
      </c>
      <c r="F79" s="46" t="s">
        <v>261</v>
      </c>
      <c r="G79" s="46" t="s">
        <v>94</v>
      </c>
    </row>
    <row r="80" spans="1:7" x14ac:dyDescent="0.25">
      <c r="A80" s="3" t="s">
        <v>262</v>
      </c>
      <c r="B80" s="3" t="s">
        <v>263</v>
      </c>
      <c r="C80" s="172">
        <v>34000000</v>
      </c>
      <c r="D80" s="172">
        <v>32400000</v>
      </c>
      <c r="E80" s="172">
        <f>D80-C80</f>
        <v>-1600000</v>
      </c>
      <c r="F80" s="195">
        <f t="shared" ref="F80:F88" si="5">IFERROR((D80-C80)/ABS(C80),0)</f>
        <v>-4.7058823529411764E-2</v>
      </c>
      <c r="G80" t="str">
        <f>IF(E80&gt;0,"✅ Favorable",IF(E80&lt;0,"⚠️ Défavorable","— Neutre"))</f>
        <v>⚠️ Défavorable</v>
      </c>
    </row>
    <row r="81" spans="1:7" x14ac:dyDescent="0.25">
      <c r="A81" s="4" t="s">
        <v>264</v>
      </c>
      <c r="B81" s="4" t="s">
        <v>265</v>
      </c>
      <c r="C81" s="190">
        <v>15800000</v>
      </c>
      <c r="D81" s="190">
        <v>16100000</v>
      </c>
      <c r="E81" s="190">
        <f t="shared" ref="E81:E88" si="6">D81-C81</f>
        <v>300000</v>
      </c>
      <c r="F81" s="196">
        <f t="shared" si="5"/>
        <v>1.8987341772151899E-2</v>
      </c>
      <c r="G81" t="str">
        <f t="shared" ref="G81:G87" si="7">IF(E81&lt;0,"✅ Favorable",IF(E81&gt;0,"⚠️ Défavorable","— Neutre"))</f>
        <v>⚠️ Défavorable</v>
      </c>
    </row>
    <row r="82" spans="1:7" x14ac:dyDescent="0.25">
      <c r="A82" s="3" t="s">
        <v>224</v>
      </c>
      <c r="B82" s="3" t="s">
        <v>266</v>
      </c>
      <c r="C82" s="172">
        <v>6700000</v>
      </c>
      <c r="D82" s="172">
        <v>6900000</v>
      </c>
      <c r="E82" s="172">
        <f t="shared" si="6"/>
        <v>200000</v>
      </c>
      <c r="F82" s="195">
        <f t="shared" si="5"/>
        <v>2.9850746268656716E-2</v>
      </c>
      <c r="G82" t="str">
        <f t="shared" si="7"/>
        <v>⚠️ Défavorable</v>
      </c>
    </row>
    <row r="83" spans="1:7" x14ac:dyDescent="0.25">
      <c r="A83" s="4" t="s">
        <v>267</v>
      </c>
      <c r="B83" s="4" t="s">
        <v>266</v>
      </c>
      <c r="C83" s="190">
        <v>4400000</v>
      </c>
      <c r="D83" s="190">
        <v>4650000</v>
      </c>
      <c r="E83" s="190">
        <f t="shared" si="6"/>
        <v>250000</v>
      </c>
      <c r="F83" s="196">
        <f t="shared" si="5"/>
        <v>5.6818181818181816E-2</v>
      </c>
      <c r="G83" t="str">
        <f t="shared" si="7"/>
        <v>⚠️ Défavorable</v>
      </c>
    </row>
    <row r="84" spans="1:7" x14ac:dyDescent="0.25">
      <c r="A84" s="3" t="s">
        <v>268</v>
      </c>
      <c r="B84" s="3" t="s">
        <v>266</v>
      </c>
      <c r="C84" s="172">
        <v>1300000</v>
      </c>
      <c r="D84" s="172">
        <v>1450000</v>
      </c>
      <c r="E84" s="172">
        <f t="shared" si="6"/>
        <v>150000</v>
      </c>
      <c r="F84" s="195">
        <f t="shared" si="5"/>
        <v>0.11538461538461539</v>
      </c>
      <c r="G84" t="str">
        <f t="shared" si="7"/>
        <v>⚠️ Défavorable</v>
      </c>
    </row>
    <row r="85" spans="1:7" x14ac:dyDescent="0.25">
      <c r="A85" s="4" t="s">
        <v>230</v>
      </c>
      <c r="B85" s="4" t="s">
        <v>269</v>
      </c>
      <c r="C85" s="190">
        <v>360000</v>
      </c>
      <c r="D85" s="190">
        <v>390000</v>
      </c>
      <c r="E85" s="190">
        <f t="shared" si="6"/>
        <v>30000</v>
      </c>
      <c r="F85" s="196">
        <f t="shared" si="5"/>
        <v>8.3333333333333329E-2</v>
      </c>
      <c r="G85" t="str">
        <f t="shared" si="7"/>
        <v>⚠️ Défavorable</v>
      </c>
    </row>
    <row r="86" spans="1:7" x14ac:dyDescent="0.25">
      <c r="A86" s="3" t="s">
        <v>270</v>
      </c>
      <c r="B86" s="3" t="s">
        <v>271</v>
      </c>
      <c r="C86" s="172">
        <v>620000</v>
      </c>
      <c r="D86" s="172">
        <v>580000</v>
      </c>
      <c r="E86" s="172">
        <f t="shared" si="6"/>
        <v>-40000</v>
      </c>
      <c r="F86" s="195">
        <f t="shared" si="5"/>
        <v>-6.4516129032258063E-2</v>
      </c>
      <c r="G86" t="str">
        <f>IF(E86&lt;0,"✅ Favorable",IF(E86&gt;0,"⚠️ Défavorable","— Neutre"))</f>
        <v>✅ Favorable</v>
      </c>
    </row>
    <row r="87" spans="1:7" x14ac:dyDescent="0.25">
      <c r="A87" s="4" t="s">
        <v>272</v>
      </c>
      <c r="B87" s="4" t="s">
        <v>273</v>
      </c>
      <c r="C87" s="190">
        <v>2800000</v>
      </c>
      <c r="D87" s="190">
        <v>3200000</v>
      </c>
      <c r="E87" s="190">
        <f t="shared" si="6"/>
        <v>400000</v>
      </c>
      <c r="F87" s="196">
        <f t="shared" si="5"/>
        <v>0.14285714285714285</v>
      </c>
      <c r="G87" t="str">
        <f t="shared" si="7"/>
        <v>⚠️ Défavorable</v>
      </c>
    </row>
    <row r="88" spans="1:7" x14ac:dyDescent="0.25">
      <c r="A88" s="3" t="s">
        <v>192</v>
      </c>
      <c r="B88" s="3" t="s">
        <v>274</v>
      </c>
      <c r="C88" s="172">
        <v>1900000</v>
      </c>
      <c r="D88" s="172">
        <v>1580000</v>
      </c>
      <c r="E88" s="172">
        <f t="shared" si="6"/>
        <v>-320000</v>
      </c>
      <c r="F88" s="195">
        <f t="shared" si="5"/>
        <v>-0.16842105263157894</v>
      </c>
      <c r="G88" t="str">
        <f>IF(E88&gt;0,"✅ Favorable",IF(E88&lt;0,"⚠️ Défavorable","— Neutre"))</f>
        <v>⚠️ Défavorable</v>
      </c>
    </row>
    <row r="89" spans="1:7" x14ac:dyDescent="0.25">
      <c r="C89" s="172"/>
      <c r="D89" s="172"/>
      <c r="E89" s="172"/>
      <c r="F89" s="195"/>
    </row>
    <row r="90" spans="1:7" x14ac:dyDescent="0.25">
      <c r="C90" s="172"/>
      <c r="D90" s="172"/>
      <c r="E90" s="172"/>
      <c r="F90" s="195"/>
    </row>
    <row r="91" spans="1:7" x14ac:dyDescent="0.25">
      <c r="C91" s="172"/>
      <c r="D91" s="172"/>
      <c r="E91" s="172"/>
      <c r="F91" s="195"/>
    </row>
  </sheetData>
  <mergeCells count="4">
    <mergeCell ref="A36:E36"/>
    <mergeCell ref="A59:E59"/>
    <mergeCell ref="A78:G78"/>
    <mergeCell ref="A28:B28"/>
  </mergeCells>
  <phoneticPr fontId="79" type="noConversion"/>
  <conditionalFormatting sqref="D31:E31">
    <cfRule type="cellIs" dxfId="81" priority="2" operator="equal">
      <formula>0</formula>
    </cfRule>
    <cfRule type="cellIs" dxfId="80" priority="3" operator="notEqual">
      <formula>0</formula>
    </cfRule>
  </conditionalFormatting>
  <conditionalFormatting sqref="E80:E88">
    <cfRule type="cellIs" dxfId="79" priority="4" operator="lessThan">
      <formula>0</formula>
    </cfRule>
    <cfRule type="cellIs" dxfId="78" priority="5" operator="greaterThan">
      <formula>0</formula>
    </cfRule>
  </conditionalFormatting>
  <conditionalFormatting sqref="G80:G88">
    <cfRule type="containsText" dxfId="77" priority="1" operator="containsText" text="⚠️ Défavorable">
      <formula>NOT(ISERROR(SEARCH("⚠️ Défavorable",G80)))</formula>
    </cfRule>
  </conditionalFormatting>
  <pageMargins left="0.7" right="0.7" top="0.75" bottom="0.75" header="0.3" footer="0.3"/>
  <legacyDrawing r:id="rId1"/>
  <tableParts count="4">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6BC84-91B4-48B9-AD0A-63189139E895}">
  <sheetPr>
    <tabColor rgb="FF4472C4"/>
  </sheetPr>
  <dimension ref="B1:I115"/>
  <sheetViews>
    <sheetView showGridLines="0" workbookViewId="0">
      <pane xSplit="2" ySplit="5" topLeftCell="C6" activePane="bottomRight" state="frozen"/>
      <selection pane="topRight" activeCell="C1" sqref="C1"/>
      <selection pane="bottomLeft" activeCell="A6" sqref="A6"/>
      <selection pane="bottomRight" activeCell="A30" sqref="A30:XFD30"/>
    </sheetView>
  </sheetViews>
  <sheetFormatPr baseColWidth="10" defaultColWidth="10.7109375" defaultRowHeight="15" x14ac:dyDescent="0.25"/>
  <cols>
    <col min="1" max="1" width="0.7109375" customWidth="1"/>
    <col min="2" max="2" width="32.28515625" customWidth="1"/>
    <col min="3" max="3" width="52.140625" bestFit="1" customWidth="1"/>
    <col min="4" max="6" width="24.7109375" customWidth="1"/>
    <col min="7" max="7" width="13.7109375" customWidth="1"/>
    <col min="8" max="8" width="31" customWidth="1"/>
    <col min="9" max="9" width="22.28515625" customWidth="1"/>
    <col min="10" max="10" width="16.5703125" customWidth="1"/>
  </cols>
  <sheetData>
    <row r="1" spans="2:9" ht="36" customHeight="1" x14ac:dyDescent="0.3">
      <c r="B1" s="1273" t="s">
        <v>275</v>
      </c>
      <c r="C1" s="1274"/>
      <c r="D1" s="1274"/>
      <c r="E1" s="1274"/>
      <c r="F1" s="1274"/>
      <c r="G1" s="1274"/>
      <c r="H1" s="1274"/>
      <c r="I1" s="1274"/>
    </row>
    <row r="2" spans="2:9" ht="18" customHeight="1" x14ac:dyDescent="0.25">
      <c r="B2" s="1275" t="str">
        <f>'Données Brutes'!L1&amp;"  ·  Exercices 2023 — 2024 — 2025  ·  Calculs automatiques depuis onglet Données Brutes"</f>
        <v>Acier Côte Ouest SAS  ·  Exercices 2023 — 2024 — 2025  ·  Calculs automatiques depuis onglet Données Brutes</v>
      </c>
      <c r="C2" s="1276"/>
      <c r="D2" s="1276"/>
      <c r="E2" s="1276"/>
      <c r="F2" s="1276"/>
      <c r="G2" s="1276"/>
      <c r="H2" s="1276"/>
      <c r="I2" s="1276"/>
    </row>
    <row r="3" spans="2:9" ht="8.1" customHeight="1" x14ac:dyDescent="0.25">
      <c r="B3" s="1287"/>
      <c r="C3" s="1288"/>
      <c r="D3" s="1288"/>
      <c r="E3" s="1288"/>
      <c r="F3" s="1288"/>
      <c r="G3" s="1288"/>
      <c r="H3" s="1288"/>
      <c r="I3" s="13"/>
    </row>
    <row r="4" spans="2:9" ht="24" customHeight="1" x14ac:dyDescent="0.25">
      <c r="B4" s="45" t="s">
        <v>276</v>
      </c>
      <c r="C4" s="1051" t="s">
        <v>92</v>
      </c>
      <c r="D4" s="1048">
        <v>2023</v>
      </c>
      <c r="E4" s="1049">
        <v>2024</v>
      </c>
      <c r="F4" s="1050">
        <v>2025</v>
      </c>
      <c r="G4" s="1050" t="s">
        <v>93</v>
      </c>
      <c r="H4" s="1050" t="s">
        <v>170</v>
      </c>
      <c r="I4" s="1050" t="s">
        <v>94</v>
      </c>
    </row>
    <row r="5" spans="2:9" ht="20.100000000000001" customHeight="1" x14ac:dyDescent="0.25">
      <c r="B5" s="1300" t="s">
        <v>277</v>
      </c>
      <c r="C5" s="1301"/>
      <c r="D5" s="1301"/>
      <c r="E5" s="1301"/>
      <c r="F5" s="1301"/>
      <c r="G5" s="1301"/>
      <c r="H5" s="1301"/>
      <c r="I5" s="1301"/>
    </row>
    <row r="6" spans="2:9" ht="18.95" customHeight="1" x14ac:dyDescent="0.25">
      <c r="B6" s="51">
        <v>1</v>
      </c>
      <c r="C6" s="56" t="s">
        <v>278</v>
      </c>
      <c r="D6" s="197">
        <f>IFERROR(SUMIF('Données Brutes'!B2:B26,"Actif Courant",'Données Brutes'!D2:D26)/SUMIF('Données Brutes'!B2:B26,"Dettes Courantes",'Données Brutes'!D2:D26),0)</f>
        <v>1.8828671328671329</v>
      </c>
      <c r="E6" s="198">
        <f>IFERROR(SUMIF('Données Brutes'!B2:B26,"Actif Courant",'Données Brutes'!E2:E26)/SUMIF('Données Brutes'!B2:B26,"Dettes Courantes",'Données Brutes'!E2:E26),0)</f>
        <v>1.8333333333333333</v>
      </c>
      <c r="F6" s="199">
        <f>IFERROR(SUMIF('Données Brutes'!B2:B26,"Actif Courant",'Données Brutes'!F2:F26)/SUMIF('Données Brutes'!B2:B26,"Dettes Courantes",'Données Brutes'!F2:F26),0)</f>
        <v>2.0914826498422712</v>
      </c>
      <c r="G6" s="160" t="s">
        <v>279</v>
      </c>
      <c r="H6" s="449">
        <f t="shared" ref="H6:H11" si="0">IFERROR((F6-E6)/ABS(E6),0)</f>
        <v>0.14080871809578432</v>
      </c>
      <c r="I6" s="48" t="str">
        <f>IF(F6&gt;=1.5,"✅ Conforme",IF(F6&gt;=1,"⚠️ Attention","🔴 Critique"))</f>
        <v>✅ Conforme</v>
      </c>
    </row>
    <row r="7" spans="2:9" ht="18.95" customHeight="1" x14ac:dyDescent="0.25">
      <c r="B7" s="52">
        <v>2</v>
      </c>
      <c r="C7" s="57" t="s">
        <v>280</v>
      </c>
      <c r="D7" s="200">
        <f>IFERROR((SUMIF('Données Brutes'!B2:B26,"Actif Courant",'Données Brutes'!D2:D26)-(SUMIF('Données Brutes'!A2:A26,"Stocks matières premières",'Données Brutes'!D2:D26)+SUMIF('Données Brutes'!A2:A26,"Stocks produits finis",'Données Brutes'!D2:D26)+SUMIF('Données Brutes'!A2:A26,"Stocks en-cours de production",'Données Brutes'!D2:D26)+SUMIF('Données Brutes'!A2:A26,"Stocks marchandises",'Données Brutes'!D2:D26)))/SUMIF('Données Brutes'!B2:B26,"Dettes Courantes",'Données Brutes'!D2:D26),0)</f>
        <v>1.048951048951049</v>
      </c>
      <c r="E7" s="201">
        <f>IFERROR((SUMIF('Données Brutes'!B2:B26,"Actif Courant",'Données Brutes'!E2:E26)-(SUMIF('Données Brutes'!A2:A26,"Stocks matières premières",'Données Brutes'!E2:E26)+SUMIF('Données Brutes'!A2:A26,"Stocks produits finis",'Données Brutes'!E2:E26)+SUMIF('Données Brutes'!A2:A26,"Stocks en-cours de production",'Données Brutes'!E2:E26)+SUMIF('Données Brutes'!A2:A26,"Stocks marchandises",'Données Brutes'!E2:E26)))/SUMIF('Données Brutes'!B2:B26,"Dettes Courantes",'Données Brutes'!E2:E26),0)</f>
        <v>1.0266666666666666</v>
      </c>
      <c r="F7" s="202">
        <f>IFERROR((SUMIF('Données Brutes'!B2:B26,"Actif Courant",'Données Brutes'!F2:F26)-(SUMIF('Données Brutes'!A2:A26,"Stocks matières premières",'Données Brutes'!F2:F26)+SUMIF('Données Brutes'!A2:A26,"Stocks produits finis",'Données Brutes'!F2:F26)+SUMIF('Données Brutes'!A2:A26,"Stocks en-cours de production",'Données Brutes'!F2:F26)+SUMIF('Données Brutes'!A2:A26,"Stocks marchandises",'Données Brutes'!F2:F26)))/SUMIF('Données Brutes'!B2:B26,"Dettes Courantes",'Données Brutes'!F2:F26),0)</f>
        <v>1.2082018927444795</v>
      </c>
      <c r="G7" s="161" t="s">
        <v>281</v>
      </c>
      <c r="H7" s="450">
        <f t="shared" si="0"/>
        <v>0.17682002540046712</v>
      </c>
      <c r="I7" s="49" t="str">
        <f>IF(F7&gt;=1,"✅ Conforme",IF(F7&gt;=0.7,"⚠️ Attention","🔴 Critique"))</f>
        <v>✅ Conforme</v>
      </c>
    </row>
    <row r="8" spans="2:9" ht="18.95" customHeight="1" x14ac:dyDescent="0.25">
      <c r="B8" s="51">
        <v>3</v>
      </c>
      <c r="C8" s="56" t="s">
        <v>282</v>
      </c>
      <c r="D8" s="197">
        <f>IFERROR((SUMIF('Données Brutes'!A2:A26,"Trésorerie active",'Données Brutes'!D2:D26)+SUMIF('Données Brutes'!A2:A26,"VMP",'Données Brutes'!D2:D26))/SUMIF('Données Brutes'!B2:B26,"Dettes Courantes",'Données Brutes'!D2:D26),0)</f>
        <v>0.22727272727272727</v>
      </c>
      <c r="E8" s="198">
        <f>IFERROR((SUMIF('Données Brutes'!A2:A26,"Trésorerie active",'Données Brutes'!E2:E26)+SUMIF('Données Brutes'!A2:A26,"VMP",'Données Brutes'!E2:E26))/SUMIF('Données Brutes'!B2:B26,"Dettes Courantes",'Données Brutes'!E2:E26),0)</f>
        <v>0.16666666666666666</v>
      </c>
      <c r="F8" s="199">
        <f>IFERROR((SUMIF('Données Brutes'!A2:A26,"Trésorerie active",'Données Brutes'!F2:F26)+SUMIF('Données Brutes'!A2:A26,"VMP",'Données Brutes'!F2:F26))/SUMIF('Données Brutes'!B2:B26,"Dettes Courantes",'Données Brutes'!F2:F26),0)</f>
        <v>0.30757097791798105</v>
      </c>
      <c r="G8" s="160" t="s">
        <v>283</v>
      </c>
      <c r="H8" s="449">
        <f t="shared" si="0"/>
        <v>0.8454258675078864</v>
      </c>
      <c r="I8" s="48" t="str">
        <f>IF(F8&gt;=0.3,"✅ Conforme",IF(F8&gt;=0.2,"⚠️ Attention","🔴 Critique"))</f>
        <v>✅ Conforme</v>
      </c>
    </row>
    <row r="9" spans="2:9" ht="18.95" customHeight="1" x14ac:dyDescent="0.25">
      <c r="B9" s="52">
        <v>4</v>
      </c>
      <c r="C9" s="58" t="s">
        <v>284</v>
      </c>
      <c r="D9" s="203">
        <f>IFERROR(SUMIF('Données Brutes'!B2:B26,"Capitaux Propres",'Données Brutes'!D2:D26)+SUMIF('Données Brutes'!B2:B26,"Dettes Non Courantes",'Données Brutes'!D2:D26)-SUMIF('Données Brutes'!B2:B26,"Actif Non Courant",'Données Brutes'!D2:D26),0)</f>
        <v>5050000</v>
      </c>
      <c r="E9" s="204">
        <f>IFERROR(SUMIF('Données Brutes'!B2:B26,"Capitaux Propres",'Données Brutes'!E2:E26)+SUMIF('Données Brutes'!B2:B26,"Dettes Non Courantes",'Données Brutes'!E2:E26)-SUMIF('Données Brutes'!B2:B26,"Actif Non Courant",'Données Brutes'!E2:E26),0)</f>
        <v>5000000</v>
      </c>
      <c r="F9" s="205">
        <f>IFERROR(SUMIF('Données Brutes'!B2:B26,"Capitaux Propres",'Données Brutes'!F2:F26)+SUMIF('Données Brutes'!B2:B26,"Dettes Non Courantes",'Données Brutes'!F2:F26)-SUMIF('Données Brutes'!B2:B26,"Actif Non Courant",'Données Brutes'!F2:F26),0)</f>
        <v>6920000</v>
      </c>
      <c r="G9" s="161" t="s">
        <v>285</v>
      </c>
      <c r="H9" s="450">
        <f t="shared" si="0"/>
        <v>0.38400000000000001</v>
      </c>
      <c r="I9" s="49" t="str">
        <f>IF(F9&gt;0,"✅ Conforme","🔴 Critique")</f>
        <v>✅ Conforme</v>
      </c>
    </row>
    <row r="10" spans="2:9" ht="18.95" customHeight="1" x14ac:dyDescent="0.25">
      <c r="B10" s="51">
        <v>5</v>
      </c>
      <c r="C10" s="59" t="s">
        <v>286</v>
      </c>
      <c r="D10" s="206">
        <f>IFERROR((SUMIF('Données Brutes'!A2:A26,"Stocks matières premières",'Données Brutes'!D2:D26)+SUMIF('Données Brutes'!A2:A26,"Stocks produits finis",'Données Brutes'!D2:D26)+SUMIF('Données Brutes'!A2:A26,"Stocks en-cours de production",'Données Brutes'!D2:D26)+SUMIF('Données Brutes'!A2:A26,"Stocks marchandises",'Données Brutes'!D2:D26))+SUMIF('Données Brutes'!A2:A26,"Créances clients",'Données Brutes'!D2:D26)+SUMIF('Données Brutes'!A2:A26,"Autres créances",'Données Brutes'!D2:D26)-SUMIF('Données Brutes'!A2:A26,"Dettes fournisseurs",'Données Brutes'!D2:D26)-SUMIF('Données Brutes'!A2:A26,"Dettes fiscales &amp; sociales",'Données Brutes'!D2:D26)-SUMIF('Données Brutes'!A2:A26,"Autres dettes courantes",'Données Brutes'!D2:D26),0)</f>
        <v>4510000</v>
      </c>
      <c r="E10" s="207">
        <f>IFERROR((SUMIF('Données Brutes'!A2:A26,"Stocks matières premières",'Données Brutes'!E2:E26)+SUMIF('Données Brutes'!A2:A26,"Stocks produits finis",'Données Brutes'!E2:E26)+SUMIF('Données Brutes'!A2:A26,"Stocks en-cours de production",'Données Brutes'!E2:E26)+SUMIF('Données Brutes'!A2:A26,"Stocks marchandises",'Données Brutes'!E2:E26))+SUMIF('Données Brutes'!A2:A26,"Créances clients",'Données Brutes'!E2:E26)+SUMIF('Données Brutes'!A2:A26,"Autres créances",'Données Brutes'!E2:E26)-SUMIF('Données Brutes'!A2:A26,"Dettes fournisseurs",'Données Brutes'!E2:E26)-SUMIF('Données Brutes'!A2:A26,"Dettes fiscales &amp; sociales",'Données Brutes'!E2:E26)-SUMIF('Données Brutes'!A2:A26,"Autres dettes courantes",'Données Brutes'!E2:E26),0)</f>
        <v>4560000</v>
      </c>
      <c r="F10" s="208">
        <f>IFERROR((SUMIF('Données Brutes'!A2:A26,"Stocks matières premières",'Données Brutes'!F2:F26)+SUMIF('Données Brutes'!A2:A26,"Stocks produits finis",'Données Brutes'!F2:F26)+SUMIF('Données Brutes'!A2:A26,"Stocks en-cours de production",'Données Brutes'!F2:F26)+SUMIF('Données Brutes'!A2:A26,"Stocks marchandises",'Données Brutes'!F2:F26))+SUMIF('Données Brutes'!A2:A26,"Créances clients",'Données Brutes'!F2:F26)+SUMIF('Données Brutes'!A2:A26,"Autres créances",'Données Brutes'!F2:F26)-SUMIF('Données Brutes'!A2:A26,"Dettes fournisseurs",'Données Brutes'!F2:F26)-SUMIF('Données Brutes'!A2:A26,"Dettes fiscales &amp; sociales",'Données Brutes'!F2:F26)-SUMIF('Données Brutes'!A2:A26,"Autres dettes courantes",'Données Brutes'!F2:F26),0)</f>
        <v>5340000</v>
      </c>
      <c r="G10" s="160" t="s">
        <v>287</v>
      </c>
      <c r="H10" s="449">
        <f t="shared" si="0"/>
        <v>0.17105263157894737</v>
      </c>
      <c r="I10" s="48" t="str">
        <f>IF(F10&gt;0,"✅ Structurel positif","⚠️ BFR négatif")</f>
        <v>✅ Structurel positif</v>
      </c>
    </row>
    <row r="11" spans="2:9" ht="18.95" customHeight="1" x14ac:dyDescent="0.25">
      <c r="B11" s="52" t="s">
        <v>288</v>
      </c>
      <c r="C11" s="57" t="s">
        <v>289</v>
      </c>
      <c r="D11" s="209">
        <f>IFERROR(D10/SUMIF('Données Brutes'!A38:A56,"Chiffre d'affaires net",'Données Brutes'!D38:D56)*365,0)</f>
        <v>57.759649122807019</v>
      </c>
      <c r="E11" s="210">
        <f>IFERROR(E10/SUMIF('Données Brutes'!A38:A56,"Chiffre d'affaires net",'Données Brutes'!E38:E56)*365,0)</f>
        <v>55.852348993288587</v>
      </c>
      <c r="F11" s="211">
        <f>IFERROR(F10/SUMIF('Données Brutes'!A38:A56,"Chiffre d'affaires net",'Données Brutes'!F38:F56)*365,0)</f>
        <v>60.157407407407405</v>
      </c>
      <c r="G11" s="161" t="s">
        <v>290</v>
      </c>
      <c r="H11" s="450">
        <f t="shared" si="0"/>
        <v>7.7079272254710882E-2</v>
      </c>
      <c r="I11" s="49" t="str">
        <f>IF(F11&lt;45,"✅ Conforme",IF(F11&lt;60,"⚠️ Attention","🔴 Critique"))</f>
        <v>🔴 Critique</v>
      </c>
    </row>
    <row r="12" spans="2:9" ht="6" customHeight="1" x14ac:dyDescent="0.25">
      <c r="B12" s="63"/>
      <c r="C12" s="64"/>
      <c r="D12" s="65"/>
      <c r="E12" s="66"/>
      <c r="F12" s="67"/>
      <c r="G12" s="67"/>
      <c r="H12" s="451"/>
      <c r="I12" s="67"/>
    </row>
    <row r="13" spans="2:9" ht="20.100000000000001" customHeight="1" x14ac:dyDescent="0.25">
      <c r="B13" s="1277" t="s">
        <v>291</v>
      </c>
      <c r="C13" s="1278"/>
      <c r="D13" s="1279"/>
      <c r="E13" s="1279"/>
      <c r="F13" s="1279"/>
      <c r="G13" s="1279"/>
      <c r="H13" s="1280"/>
      <c r="I13" s="1279"/>
    </row>
    <row r="14" spans="2:9" ht="18.95" customHeight="1" x14ac:dyDescent="0.25">
      <c r="B14" s="51">
        <v>7</v>
      </c>
      <c r="C14" s="56" t="s">
        <v>292</v>
      </c>
      <c r="D14" s="197">
        <f>IFERROR(((SUMIF('Données Brutes'!B2:B26,"Actif Non Courant",'Données Brutes'!D2:D26)+SUMIF('Données Brutes'!B2:B26,"Actif Courant",'Données Brutes'!D2:D26))-SUMIF('Données Brutes'!B2:B26,"Capitaux Propres",'Données Brutes'!D2:D26))/SUMIF('Données Brutes'!B2:B26,"Capitaux Propres",'Données Brutes'!D2:D26),0)</f>
        <v>0.95519864750633976</v>
      </c>
      <c r="E14" s="198">
        <f>IFERROR(((SUMIF('Données Brutes'!B2:B26,"Actif Non Courant",'Données Brutes'!E2:E26)+SUMIF('Données Brutes'!B2:B26,"Actif Courant",'Données Brutes'!E2:E26))-SUMIF('Données Brutes'!B2:B26,"Capitaux Propres",'Données Brutes'!E2:E26))/SUMIF('Données Brutes'!B2:B26,"Capitaux Propres",'Données Brutes'!E2:E26),0)</f>
        <v>1.0888223552894212</v>
      </c>
      <c r="F14" s="199">
        <f>IFERROR(((SUMIF('Données Brutes'!B2:B26,"Actif Non Courant",'Données Brutes'!F2:F26)+SUMIF('Données Brutes'!B2:B26,"Actif Courant",'Données Brutes'!F2:F26))-SUMIF('Données Brutes'!B2:B26,"Capitaux Propres",'Données Brutes'!F2:F26))/SUMIF('Données Brutes'!B2:B26,"Capitaux Propres",'Données Brutes'!F2:F26),0)</f>
        <v>0.93504531722054385</v>
      </c>
      <c r="G14" s="160" t="s">
        <v>293</v>
      </c>
      <c r="H14" s="449">
        <f t="shared" ref="H14:H20" si="1">IFERROR((F14-E14)/ABS(E14),0)</f>
        <v>-0.1412324400962558</v>
      </c>
      <c r="I14" s="48" t="str">
        <f>IF(F14&lt;1,"✅ Conforme",IF(F14&lt;2,"⚠️ Attention","🔴 Critique"))</f>
        <v>✅ Conforme</v>
      </c>
    </row>
    <row r="15" spans="2:9" ht="18.95" customHeight="1" x14ac:dyDescent="0.25">
      <c r="B15" s="52">
        <v>8</v>
      </c>
      <c r="C15" s="58" t="s">
        <v>294</v>
      </c>
      <c r="D15" s="212">
        <f>IFERROR(SUMIF('Données Brutes'!B2:B26,"Capitaux Propres",'Données Brutes'!D2:D26)/(SUMIF('Données Brutes'!B2:B26,"Actif Non Courant",'Données Brutes'!D2:D26)+SUMIF('Données Brutes'!B2:B26,"Actif Courant",'Données Brutes'!D2:D26)),0)</f>
        <v>0.51145698227410286</v>
      </c>
      <c r="E15" s="213">
        <f>IFERROR(SUMIF('Données Brutes'!B2:B26,"Capitaux Propres",'Données Brutes'!E2:E26)/(SUMIF('Données Brutes'!B2:B26,"Actif Non Courant",'Données Brutes'!E2:E26)+SUMIF('Données Brutes'!B2:B26,"Actif Courant",'Données Brutes'!E2:E26)),0)</f>
        <v>0.47873865265169613</v>
      </c>
      <c r="F15" s="504">
        <f>IFERROR(SUMIF('Données Brutes'!B2:B26,"Capitaux Propres",'Données Brutes'!F2:F26)/(SUMIF('Données Brutes'!B2:B26,"Actif Non Courant",'Données Brutes'!F2:F26)+SUMIF('Données Brutes'!B2:B26,"Actif Courant",'Données Brutes'!F2:F26)),0)</f>
        <v>0.51678376268540205</v>
      </c>
      <c r="G15" s="161" t="s">
        <v>295</v>
      </c>
      <c r="H15" s="450">
        <f t="shared" si="1"/>
        <v>7.9469476347850787E-2</v>
      </c>
      <c r="I15" s="49" t="str">
        <f>IF(F15&gt;=0.4,"✅ Conforme",IF(F15&gt;=0.33,"⚠️ Attention","🔴 Critique"))</f>
        <v>✅ Conforme</v>
      </c>
    </row>
    <row r="16" spans="2:9" ht="18.95" customHeight="1" x14ac:dyDescent="0.25">
      <c r="B16" s="51">
        <v>9</v>
      </c>
      <c r="C16" s="56" t="s">
        <v>296</v>
      </c>
      <c r="D16" s="197">
        <f>IFERROR((((SUMIF('Données Brutes'!B2:B26,"Actif Non Courant",'Données Brutes'!D2:D26)+SUMIF('Données Brutes'!B2:B26,"Actif Courant",'Données Brutes'!D2:D26))-SUMIF('Données Brutes'!B2:B26,"Capitaux Propres",'Données Brutes'!D2:D26))-(SUMIF('Données Brutes'!A2:A26,"Trésorerie active",'Données Brutes'!D2:D26)+SUMIF('Données Brutes'!A2:A26,"VMP",'Données Brutes'!D2:D26)))/SUMIF('Données Brutes'!B2:B26,"Capitaux Propres",'Données Brutes'!D2:D26),0)</f>
        <v>0.84530853761622993</v>
      </c>
      <c r="E16" s="198">
        <f>IFERROR((((SUMIF('Données Brutes'!B2:B26,"Actif Non Courant",'Données Brutes'!E2:E26)+SUMIF('Données Brutes'!B2:B26,"Actif Courant",'Données Brutes'!E2:E26))-SUMIF('Données Brutes'!B2:B26,"Capitaux Propres",'Données Brutes'!E2:E26))-(SUMIF('Données Brutes'!A2:A26,"Trésorerie active",'Données Brutes'!E2:E26)+SUMIF('Données Brutes'!A2:A26,"VMP",'Données Brutes'!E2:E26)))/SUMIF('Données Brutes'!B2:B26,"Capitaux Propres",'Données Brutes'!E2:E26),0)</f>
        <v>0.98902195608782439</v>
      </c>
      <c r="F16" s="199">
        <f>IFERROR((((SUMIF('Données Brutes'!B2:B26,"Actif Non Courant",'Données Brutes'!F2:F26)+SUMIF('Données Brutes'!B2:B26,"Actif Courant",'Données Brutes'!F2:F26))-SUMIF('Données Brutes'!B2:B26,"Capitaux Propres",'Données Brutes'!F2:F26))-(SUMIF('Données Brutes'!A2:A26,"Trésorerie active",'Données Brutes'!F2:F26)+SUMIF('Données Brutes'!A2:A26,"VMP",'Données Brutes'!F2:F26)))/SUMIF('Données Brutes'!B2:B26,"Capitaux Propres",'Données Brutes'!F2:F26),0)</f>
        <v>0.78776435045317217</v>
      </c>
      <c r="G16" s="160" t="s">
        <v>297</v>
      </c>
      <c r="H16" s="449">
        <f t="shared" si="1"/>
        <v>-0.20349154474865946</v>
      </c>
      <c r="I16" s="48" t="str">
        <f>IF(F16&lt;0.5,"✅ Conforme",IF(F16&lt;1,"⚠️ Attention","🔴 Critique"))</f>
        <v>⚠️ Attention</v>
      </c>
    </row>
    <row r="17" spans="2:9" ht="18.95" customHeight="1" x14ac:dyDescent="0.25">
      <c r="B17" s="52">
        <v>10</v>
      </c>
      <c r="C17" s="58" t="s">
        <v>298</v>
      </c>
      <c r="D17" s="200">
        <f>IFERROR((((SUMIF('Données Brutes'!B2:B26,"Actif Non Courant",'Données Brutes'!D2:D26)+SUMIF('Données Brutes'!B2:B26,"Actif Courant",'Données Brutes'!D2:D26))-SUMIF('Données Brutes'!B2:B26,"Capitaux Propres",'Données Brutes'!D2:D26))-(SUMIF('Données Brutes'!A2:A26,"Trésorerie active",'Données Brutes'!D2:D26)+SUMIF('Données Brutes'!A2:A26,"VMP",'Données Brutes'!D2:D26)))/(SUMIF('Données Brutes'!A2:A26,"Résultat net",'Données Brutes'!D2:D26)+SUMIF('Données Brutes'!A38:A56,"Dotations amortissements",'Données Brutes'!D38:D56)+SUMIF('Données Brutes'!A38:A56,"Dotations provisions exploit.",'Données Brutes'!D38:D56)),0)</f>
        <v>3.0721966205837172</v>
      </c>
      <c r="E17" s="201">
        <f>IFERROR((((SUMIF('Données Brutes'!B2:B26,"Actif Non Courant",'Données Brutes'!E2:E26)+SUMIF('Données Brutes'!B2:B26,"Actif Courant",'Données Brutes'!E2:E26))-SUMIF('Données Brutes'!B2:B26,"Capitaux Propres",'Données Brutes'!E2:E26))-(SUMIF('Données Brutes'!A2:A26,"Trésorerie active",'Données Brutes'!E2:E26)+SUMIF('Données Brutes'!A2:A26,"VMP",'Données Brutes'!E2:E26)))/(SUMIF('Données Brutes'!A2:A26,"Résultat net",'Données Brutes'!E2:E26)+SUMIF('Données Brutes'!A38:A56,"Dotations amortissements",'Données Brutes'!E38:E56)+SUMIF('Données Brutes'!A38:A56,"Dotations provisions exploit.",'Données Brutes'!E38:E56)),0)</f>
        <v>2.8766328011611031</v>
      </c>
      <c r="F17" s="202">
        <f>IFERROR((((SUMIF('Données Brutes'!B2:B26,"Actif Non Courant",'Données Brutes'!F2:F26)+SUMIF('Données Brutes'!B2:B26,"Actif Courant",'Données Brutes'!F2:F26))-SUMIF('Données Brutes'!B2:B26,"Capitaux Propres",'Données Brutes'!F2:F26))-(SUMIF('Données Brutes'!A2:A26,"Trésorerie active",'Données Brutes'!F2:F26)+SUMIF('Données Brutes'!A2:A26,"VMP",'Données Brutes'!F2:F26)))/(SUMIF('Données Brutes'!A2:A26,"Résultat net",'Données Brutes'!F2:F26)+SUMIF('Données Brutes'!A38:A56,"Dotations amortissements",'Données Brutes'!F38:F56)+SUMIF('Données Brutes'!A38:A56,"Dotations provisions exploit.",'Données Brutes'!F38:F56)),0)</f>
        <v>2.7556142668428003</v>
      </c>
      <c r="G17" s="161" t="s">
        <v>299</v>
      </c>
      <c r="H17" s="450">
        <f t="shared" si="1"/>
        <v>-4.2069510668673371E-2</v>
      </c>
      <c r="I17" s="49" t="str">
        <f>IF(F17&lt;2,"✅ Conforme",IF(F17&lt;3,"⚠️ Attention","🔴 Critique"))</f>
        <v>⚠️ Attention</v>
      </c>
    </row>
    <row r="18" spans="2:9" ht="18.95" customHeight="1" x14ac:dyDescent="0.25">
      <c r="B18" s="51">
        <v>11</v>
      </c>
      <c r="C18" s="56" t="s">
        <v>300</v>
      </c>
      <c r="D18" s="197">
        <f>IFERROR((SUMIF('Données Brutes'!A38:A56,"Chiffre d'affaires net",'Données Brutes'!D38:D56)+SUMIF('Données Brutes'!A38:A56,"Production stockée",'Données Brutes'!D38:D56)+SUMIF('Données Brutes'!A38:A56,"Production immobilisée",'Données Brutes'!D38:D56)+SUMIF('Données Brutes'!A38:A56,"Subventions exploitation",'Données Brutes'!D38:D56)-SUMIF('Données Brutes'!A38:A56,"Achats matières premières",'Données Brutes'!D38:D56)-SUMIF('Données Brutes'!A38:A56,"Variation stocks MP",'Données Brutes'!D38:D56)-SUMIF('Données Brutes'!A38:A56,"Autres achats &amp; charges ext.",'Données Brutes'!D38:D56)-SUMIF('Données Brutes'!A38:A56,"Impôts &amp; taxes",'Données Brutes'!D38:D56)-SUMIF('Données Brutes'!A38:A56,"Charges de personnel",'Données Brutes'!D38:D56))/SUMIF('Données Brutes'!A38:A56,"Charges financières",'Données Brutes'!D38:D56),0)</f>
        <v>10.473684210526315</v>
      </c>
      <c r="E18" s="198">
        <f>IFERROR((SUMIF('Données Brutes'!A38:A56,"Chiffre d'affaires net",'Données Brutes'!E38:E56)+SUMIF('Données Brutes'!A38:A56,"Production stockée",'Données Brutes'!E38:E56)+SUMIF('Données Brutes'!A38:A56,"Production immobilisée",'Données Brutes'!E38:E56)+SUMIF('Données Brutes'!A38:A56,"Subventions exploitation",'Données Brutes'!E38:E56)-SUMIF('Données Brutes'!A38:A56,"Achats matières premières",'Données Brutes'!E38:E56)-SUMIF('Données Brutes'!A38:A56,"Variation stocks MP",'Données Brutes'!E38:E56)-SUMIF('Données Brutes'!A38:A56,"Autres achats &amp; charges ext.",'Données Brutes'!E38:E56)-SUMIF('Données Brutes'!A38:A56,"Impôts &amp; taxes",'Données Brutes'!E38:E56)-SUMIF('Données Brutes'!A38:A56,"Charges de personnel",'Données Brutes'!E38:E56))/SUMIF('Données Brutes'!A38:A56,"Charges financières",'Données Brutes'!E38:E56),0)</f>
        <v>12.426470588235293</v>
      </c>
      <c r="F18" s="199">
        <f>IFERROR((SUMIF('Données Brutes'!A38:A56,"Chiffre d'affaires net",'Données Brutes'!F38:F56)+SUMIF('Données Brutes'!A38:A56,"Production stockée",'Données Brutes'!F38:F56)+SUMIF('Données Brutes'!A38:A56,"Production immobilisée",'Données Brutes'!F38:F56)+SUMIF('Données Brutes'!A38:A56,"Subventions exploitation",'Données Brutes'!F38:F56)-SUMIF('Données Brutes'!A38:A56,"Achats matières premières",'Données Brutes'!F38:F56)-SUMIF('Données Brutes'!A38:A56,"Variation stocks MP",'Données Brutes'!F38:F56)-SUMIF('Données Brutes'!A38:A56,"Autres achats &amp; charges ext.",'Données Brutes'!F38:F56)-SUMIF('Données Brutes'!A38:A56,"Impôts &amp; taxes",'Données Brutes'!F38:F56)-SUMIF('Données Brutes'!A38:A56,"Charges de personnel",'Données Brutes'!F38:F56))/SUMIF('Données Brutes'!A38:A56,"Charges financières",'Données Brutes'!F38:F56),0)</f>
        <v>12.23076923076923</v>
      </c>
      <c r="G18" s="160" t="s">
        <v>301</v>
      </c>
      <c r="H18" s="449">
        <f t="shared" si="1"/>
        <v>-1.5748748293127009E-2</v>
      </c>
      <c r="I18" s="48" t="str">
        <f>IF(F18&gt;=5,"✅ Conforme",IF(F18&gt;=3,"⚠️ Attention","🔴 Critique"))</f>
        <v>✅ Conforme</v>
      </c>
    </row>
    <row r="19" spans="2:9" ht="18.95" customHeight="1" x14ac:dyDescent="0.25">
      <c r="B19" s="52">
        <v>12</v>
      </c>
      <c r="C19" s="57" t="s">
        <v>302</v>
      </c>
      <c r="D19" s="484">
        <f>IFERROR(SUMIF('Données Brutes'!B2:B26,"Dettes Non Courantes",'Données Brutes'!D2:D26)/(SUMIF('Données Brutes'!B2:B26,"Capitaux Propres",'Données Brutes'!D2:D26)+SUMIF('Données Brutes'!B2:B26,"Dettes Non Courantes",'Données Brutes'!D2:D26)),0)</f>
        <v>0.32050545663411834</v>
      </c>
      <c r="E19" s="201">
        <f>IFERROR(SUMIF('Données Brutes'!B2:B26,"Dettes Non Courantes",'Données Brutes'!E2:E26)/(SUMIF('Données Brutes'!B2:B26,"Capitaux Propres",'Données Brutes'!E2:E26)+SUMIF('Données Brutes'!B2:B26,"Dettes Non Courantes",'Données Brutes'!E2:E26)),0)</f>
        <v>0.32886805090421967</v>
      </c>
      <c r="F19" s="202">
        <f>IFERROR(SUMIF('Données Brutes'!B2:B26,"Dettes Non Courantes",'Données Brutes'!F2:F26)/(SUMIF('Données Brutes'!B2:B26,"Capitaux Propres",'Données Brutes'!F2:F26)+SUMIF('Données Brutes'!B2:B26,"Dettes Non Courantes",'Données Brutes'!F2:F26)),0)</f>
        <v>0.31327800829875518</v>
      </c>
      <c r="G19" s="161" t="s">
        <v>303</v>
      </c>
      <c r="H19" s="450">
        <f>IFERROR((F19-E19)/ABS(E19),0)</f>
        <v>-4.7405160101748417E-2</v>
      </c>
      <c r="I19" s="49" t="str">
        <f>IF(F19&lt;0.4,"✅ Conforme",IF(F19&lt;0.5,"⚠️ Attention","🔴 Critique"))</f>
        <v>✅ Conforme</v>
      </c>
    </row>
    <row r="20" spans="2:9" ht="18.95" customHeight="1" x14ac:dyDescent="0.25">
      <c r="B20" s="51">
        <v>13</v>
      </c>
      <c r="C20" s="56" t="s">
        <v>304</v>
      </c>
      <c r="D20" s="197">
        <f>IFERROR(1.2*(SUMIF('Données Brutes'!B2:B26,"Capitaux Propres",'Données Brutes'!D2:D26)+SUMIF('Données Brutes'!B2:B26,"Dettes Non Courantes",'Données Brutes'!D2:D26)-SUMIF('Données Brutes'!B2:B26,"Actif Non Courant",'Données Brutes'!D2:D26))/(SUMIF('Données Brutes'!B2:B26,"Actif Non Courant",'Données Brutes'!D2:D26)+SUMIF('Données Brutes'!B2:B26,"Actif Courant",'Données Brutes'!D2:D26))+1.4*SUMIF('Données Brutes'!A2:A26,"Réserves",'Données Brutes'!D2:D26)/(SUMIF('Données Brutes'!B2:B26,"Actif Non Courant",'Données Brutes'!D2:D26)+SUMIF('Données Brutes'!B2:B26,"Actif Courant",'Données Brutes'!D2:D26))+3.3*((SUMIF('Données Brutes'!A38:A56,"Chiffre d'affaires net",'Données Brutes'!D38:D56)-SUMIF('Données Brutes'!A38:A56,"Achats matières premières",'Données Brutes'!D38:D56)-SUMIF('Données Brutes'!A38:A56,"Variation stocks MP",'Données Brutes'!D38:D56)-SUMIF('Données Brutes'!A38:A56,"Autres achats &amp; charges ext.",'Données Brutes'!D38:D56)-SUMIF('Données Brutes'!A38:A56,"Impôts &amp; taxes",'Données Brutes'!D38:D56)-SUMIF('Données Brutes'!A38:A56,"Charges de personnel",'Données Brutes'!D38:D56))-SUMIF('Données Brutes'!A38:A56,"Dotations amortissements",'Données Brutes'!D38:D56)-SUMIF('Données Brutes'!A38:A56,"Dotations provisions exploit.",'Données Brutes'!D38:D56)-SUMIF('Données Brutes'!A38:A56,"Autres charges exploitation",'Données Brutes'!D38:D56)+SUMIF('Données Brutes'!A38:A56,"Autres produits exploitation",'Données Brutes'!D38:D56))/(SUMIF('Données Brutes'!B2:B26,"Actif Non Courant",'Données Brutes'!D2:D26)+SUMIF('Données Brutes'!B2:B26,"Actif Courant",'Données Brutes'!D2:D26))+0.6*SUMIF('Données Brutes'!B2:B26,"Capitaux Propres",'Données Brutes'!D2:D26)/((SUMIF('Données Brutes'!B2:B26,"Actif Non Courant",'Données Brutes'!D2:D26)+SUMIF('Données Brutes'!B2:B26,"Actif Courant",'Données Brutes'!D2:D26))-SUMIF('Données Brutes'!B2:B26,"Capitaux Propres",'Données Brutes'!D2:D26))+1*SUMIF('Données Brutes'!A38:A56,"Chiffre d'affaires net",'Données Brutes'!D38:D56)/(SUMIF('Données Brutes'!B2:B26,"Actif Non Courant",'Données Brutes'!D2:D26)+SUMIF('Données Brutes'!B2:B26,"Actif Courant",'Données Brutes'!D2:D26)),0)</f>
        <v>2.7146526175636745</v>
      </c>
      <c r="E20" s="198">
        <f>IFERROR(1.2*(SUMIF('Données Brutes'!B2:B26,"Capitaux Propres",'Données Brutes'!E2:E26)+SUMIF('Données Brutes'!B2:B26,"Dettes Non Courantes",'Données Brutes'!E2:E26)-SUMIF('Données Brutes'!B2:B26,"Actif Non Courant",'Données Brutes'!E2:E26))/(SUMIF('Données Brutes'!B2:B26,"Actif Non Courant",'Données Brutes'!E2:E26)+SUMIF('Données Brutes'!B2:B26,"Actif Courant",'Données Brutes'!E2:E26))+1.4*SUMIF('Données Brutes'!A2:A26,"Réserves",'Données Brutes'!E2:E26)/(SUMIF('Données Brutes'!B2:B26,"Actif Non Courant",'Données Brutes'!E2:E26)+SUMIF('Données Brutes'!B2:B26,"Actif Courant",'Données Brutes'!E2:E26))+3.3*((SUMIF('Données Brutes'!A38:A56,"Chiffre d'affaires net",'Données Brutes'!E38:E56)-SUMIF('Données Brutes'!A38:A56,"Achats matières premières",'Données Brutes'!E38:E56)-SUMIF('Données Brutes'!A38:A56,"Variation stocks MP",'Données Brutes'!E38:E56)-SUMIF('Données Brutes'!A38:A56,"Autres achats &amp; charges ext.",'Données Brutes'!E38:E56)-SUMIF('Données Brutes'!A38:A56,"Impôts &amp; taxes",'Données Brutes'!E38:E56)-SUMIF('Données Brutes'!A38:A56,"Charges de personnel",'Données Brutes'!E38:E56))-SUMIF('Données Brutes'!A38:A56,"Dotations amortissements",'Données Brutes'!E38:E56)-SUMIF('Données Brutes'!A38:A56,"Dotations provisions exploit.",'Données Brutes'!E38:E56)-SUMIF('Données Brutes'!A38:A56,"Autres charges exploitation",'Données Brutes'!E38:E56)+SUMIF('Données Brutes'!A38:A56,"Autres produits exploitation",'Données Brutes'!E38:E56))/(SUMIF('Données Brutes'!B2:B26,"Actif Non Courant",'Données Brutes'!E2:E26)+SUMIF('Données Brutes'!B2:B26,"Actif Courant",'Données Brutes'!E2:E26))+0.6*SUMIF('Données Brutes'!B2:B26,"Capitaux Propres",'Données Brutes'!E2:E26)/((SUMIF('Données Brutes'!B2:B26,"Actif Non Courant",'Données Brutes'!E2:E26)+SUMIF('Données Brutes'!B2:B26,"Actif Courant",'Données Brutes'!E2:E26))-SUMIF('Données Brutes'!B2:B26,"Capitaux Propres",'Données Brutes'!E2:E26))+1*SUMIF('Données Brutes'!A38:A56,"Chiffre d'affaires net",'Données Brutes'!E38:E56)/(SUMIF('Données Brutes'!B2:B26,"Actif Non Courant",'Données Brutes'!E2:E26)+SUMIF('Données Brutes'!B2:B26,"Actif Courant",'Données Brutes'!E2:E26)),0)</f>
        <v>3.0062858036237063</v>
      </c>
      <c r="F20" s="199">
        <f>IFERROR(1.2*(SUMIF('Données Brutes'!B2:B26,"Capitaux Propres",'Données Brutes'!F2:F26)+SUMIF('Données Brutes'!B2:B26,"Dettes Non Courantes",'Données Brutes'!F2:F26)-SUMIF('Données Brutes'!B2:B26,"Actif Non Courant",'Données Brutes'!F2:F26))/(SUMIF('Données Brutes'!B2:B26,"Actif Non Courant",'Données Brutes'!F2:F26)+SUMIF('Données Brutes'!B2:B26,"Actif Courant",'Données Brutes'!F2:F26))+1.4*SUMIF('Données Brutes'!A2:A26,"Réserves",'Données Brutes'!F2:F26)/(SUMIF('Données Brutes'!B2:B26,"Actif Non Courant",'Données Brutes'!F2:F26)+SUMIF('Données Brutes'!B2:B26,"Actif Courant",'Données Brutes'!F2:F26))+3.3*((SUMIF('Données Brutes'!A38:A56,"Chiffre d'affaires net",'Données Brutes'!F38:F56)-SUMIF('Données Brutes'!A38:A56,"Achats matières premières",'Données Brutes'!F38:F56)-SUMIF('Données Brutes'!A38:A56,"Variation stocks MP",'Données Brutes'!F38:F56)-SUMIF('Données Brutes'!A38:A56,"Autres achats &amp; charges ext.",'Données Brutes'!F38:F56)-SUMIF('Données Brutes'!A38:A56,"Impôts &amp; taxes",'Données Brutes'!F38:F56)-SUMIF('Données Brutes'!A38:A56,"Charges de personnel",'Données Brutes'!F38:F56))-SUMIF('Données Brutes'!A38:A56,"Dotations amortissements",'Données Brutes'!F38:F56)-SUMIF('Données Brutes'!A38:A56,"Dotations provisions exploit.",'Données Brutes'!F38:F56)-SUMIF('Données Brutes'!A38:A56,"Autres charges exploitation",'Données Brutes'!F38:F56)+SUMIF('Données Brutes'!A38:A56,"Autres produits exploitation",'Données Brutes'!F38:F56))/(SUMIF('Données Brutes'!B2:B26,"Actif Non Courant",'Données Brutes'!F2:F26)+SUMIF('Données Brutes'!B2:B26,"Actif Courant",'Données Brutes'!F2:F26))+0.6*SUMIF('Données Brutes'!B2:B26,"Capitaux Propres",'Données Brutes'!F2:F26)/((SUMIF('Données Brutes'!B2:B26,"Actif Non Courant",'Données Brutes'!F2:F26)+SUMIF('Données Brutes'!B2:B26,"Actif Courant",'Données Brutes'!F2:F26))-SUMIF('Données Brutes'!B2:B26,"Capitaux Propres",'Données Brutes'!F2:F26))+1*SUMIF('Données Brutes'!A38:A56,"Chiffre d'affaires net",'Données Brutes'!F38:F56)/(SUMIF('Données Brutes'!B2:B26,"Actif Non Courant",'Données Brutes'!F2:F26)+SUMIF('Données Brutes'!B2:B26,"Actif Courant",'Données Brutes'!F2:F26)),0)</f>
        <v>2.9382453126911403</v>
      </c>
      <c r="G20" s="160" t="s">
        <v>305</v>
      </c>
      <c r="H20" s="449">
        <f t="shared" si="1"/>
        <v>-2.2632741986989932E-2</v>
      </c>
      <c r="I20" s="48" t="str">
        <f>IF(F20&gt;2.99,"✅ Zone Sûre",IF(F20&gt;1.81,"⚠️ Zone Grise","🔴 Zone Danger"))</f>
        <v>⚠️ Zone Grise</v>
      </c>
    </row>
    <row r="21" spans="2:9" ht="6" customHeight="1" x14ac:dyDescent="0.25">
      <c r="B21" s="1289"/>
      <c r="C21" s="1290"/>
      <c r="D21" s="1291"/>
      <c r="E21" s="1291"/>
      <c r="F21" s="1291"/>
      <c r="G21" s="1291"/>
      <c r="H21" s="1292"/>
      <c r="I21" s="67"/>
    </row>
    <row r="22" spans="2:9" ht="20.100000000000001" customHeight="1" x14ac:dyDescent="0.25">
      <c r="B22" s="1277" t="s">
        <v>306</v>
      </c>
      <c r="C22" s="1278"/>
      <c r="D22" s="1279"/>
      <c r="E22" s="1279"/>
      <c r="F22" s="1279"/>
      <c r="G22" s="1279"/>
      <c r="H22" s="1280"/>
      <c r="I22" s="1279"/>
    </row>
    <row r="23" spans="2:9" ht="18.95" customHeight="1" x14ac:dyDescent="0.25">
      <c r="B23" s="51">
        <v>14</v>
      </c>
      <c r="C23" s="59" t="s">
        <v>307</v>
      </c>
      <c r="D23" s="217">
        <f>IFERROR((SUMIF('Données Brutes'!A38:A56,"Chiffre d'affaires net",'Données Brutes'!D38:D56)+SUMIF('Données Brutes'!A38:A56,"Production stockée",'Données Brutes'!D38:D56)+SUMIF('Données Brutes'!A38:A56,"Production immobilisée",'Données Brutes'!D38:D56)-SUMIF('Données Brutes'!A38:A56,"Achats matières premières",'Données Brutes'!D38:D56)-SUMIF('Données Brutes'!A38:A56,"Variation stocks MP",'Données Brutes'!D38:D56))/SUMIF('Données Brutes'!A38:A56,"Chiffre d'affaires net",'Données Brutes'!D38:D56),0)</f>
        <v>0.51859649122807017</v>
      </c>
      <c r="E23" s="218">
        <f>IFERROR((SUMIF('Données Brutes'!A38:A56,"Chiffre d'affaires net",'Données Brutes'!E38:E56)+SUMIF('Données Brutes'!A38:A56,"Production stockée",'Données Brutes'!E38:E56)+SUMIF('Données Brutes'!A38:A56,"Production immobilisée",'Données Brutes'!E38:E56)-SUMIF('Données Brutes'!A38:A56,"Achats matières premières",'Données Brutes'!E38:E56)-SUMIF('Données Brutes'!A38:A56,"Variation stocks MP",'Données Brutes'!E38:E56))/SUMIF('Données Brutes'!A38:A56,"Chiffre d'affaires net",'Données Brutes'!E38:E56),0)</f>
        <v>0.5226510067114094</v>
      </c>
      <c r="F23" s="219">
        <f>IFERROR((SUMIF('Données Brutes'!A38:A56,"Chiffre d'affaires net",'Données Brutes'!F38:F56)+SUMIF('Données Brutes'!A38:A56,"Production stockée",'Données Brutes'!F38:F56)+SUMIF('Données Brutes'!A38:A56,"Production immobilisée",'Données Brutes'!F38:F56)-SUMIF('Données Brutes'!A38:A56,"Achats matières premières",'Données Brutes'!F38:F56)-SUMIF('Données Brutes'!A38:A56,"Variation stocks MP",'Données Brutes'!F38:F56))/SUMIF('Données Brutes'!A38:A56,"Chiffre d'affaires net",'Données Brutes'!F38:F56),0)</f>
        <v>0.52191358024691359</v>
      </c>
      <c r="G23" s="160" t="s">
        <v>308</v>
      </c>
      <c r="H23" s="449">
        <f t="shared" ref="H23:H29" si="2">IFERROR((F23-E23)/ABS(E23),0)</f>
        <v>-1.4109347442680783E-3</v>
      </c>
      <c r="I23" s="48" t="str">
        <f>IF(F23&gt;0.5,"✅ Élevée",IF(F23&gt;0.3,"⚠️ Moyenne","🔴 Faible"))</f>
        <v>✅ Élevée</v>
      </c>
    </row>
    <row r="24" spans="2:9" ht="18.95" customHeight="1" x14ac:dyDescent="0.25">
      <c r="B24" s="52">
        <v>15</v>
      </c>
      <c r="C24" s="58" t="s">
        <v>309</v>
      </c>
      <c r="D24" s="212">
        <f>IFERROR((SUMIF('Données Brutes'!A38:A56,"Chiffre d'affaires net",'Données Brutes'!D38:D56)+SUMIF('Données Brutes'!A38:A56,"Production stockée",'Données Brutes'!D38:D56)+SUMIF('Données Brutes'!A38:A56,"Production immobilisée",'Données Brutes'!D38:D56)+SUMIF('Données Brutes'!A38:A56,"Subventions exploitation",'Données Brutes'!D38:D56)-SUMIF('Données Brutes'!A38:A56,"Achats matières premières",'Données Brutes'!D38:D56)-SUMIF('Données Brutes'!A38:A56,"Variation stocks MP",'Données Brutes'!D38:D56)-SUMIF('Données Brutes'!A38:A56,"Autres achats &amp; charges ext.",'Données Brutes'!D38:D56)-SUMIF('Données Brutes'!A38:A56,"Impôts &amp; taxes",'Données Brutes'!D38:D56)-SUMIF('Données Brutes'!A38:A56,"Charges de personnel",'Données Brutes'!D38:D56))/SUMIF('Données Brutes'!A38:A56,"Chiffre d'affaires net",'Données Brutes'!D38:D56),0)</f>
        <v>0.13964912280701755</v>
      </c>
      <c r="E24" s="213">
        <f>IFERROR((SUMIF('Données Brutes'!A38:A56,"Chiffre d'affaires net",'Données Brutes'!E38:E56)+SUMIF('Données Brutes'!A38:A56,"Production stockée",'Données Brutes'!E38:E56)+SUMIF('Données Brutes'!A38:A56,"Production immobilisée",'Données Brutes'!E38:E56)+SUMIF('Données Brutes'!A38:A56,"Subventions exploitation",'Données Brutes'!E38:E56)-SUMIF('Données Brutes'!A38:A56,"Achats matières premières",'Données Brutes'!E38:E56)-SUMIF('Données Brutes'!A38:A56,"Variation stocks MP",'Données Brutes'!E38:E56)-SUMIF('Données Brutes'!A38:A56,"Autres achats &amp; charges ext.",'Données Brutes'!E38:E56)-SUMIF('Données Brutes'!A38:A56,"Impôts &amp; taxes",'Données Brutes'!E38:E56)-SUMIF('Données Brutes'!A38:A56,"Charges de personnel",'Données Brutes'!E38:E56))/SUMIF('Données Brutes'!A38:A56,"Chiffre d'affaires net",'Données Brutes'!E38:E56),0)</f>
        <v>0.14177852348993289</v>
      </c>
      <c r="F24" s="504">
        <f>IFERROR((SUMIF('Données Brutes'!A38:A56,"Chiffre d'affaires net",'Données Brutes'!F38:F56)+SUMIF('Données Brutes'!A38:A56,"Production stockée",'Données Brutes'!F38:F56)+SUMIF('Données Brutes'!A38:A56,"Production immobilisée",'Données Brutes'!F38:F56)+SUMIF('Données Brutes'!A38:A56,"Subventions exploitation",'Données Brutes'!F38:F56)-SUMIF('Données Brutes'!A38:A56,"Achats matières premières",'Données Brutes'!F38:F56)-SUMIF('Données Brutes'!A38:A56,"Variation stocks MP",'Données Brutes'!F38:F56)-SUMIF('Données Brutes'!A38:A56,"Autres achats &amp; charges ext.",'Données Brutes'!F38:F56)-SUMIF('Données Brutes'!A38:A56,"Impôts &amp; taxes",'Données Brutes'!F38:F56)-SUMIF('Données Brutes'!A38:A56,"Charges de personnel",'Données Brutes'!F38:F56))/SUMIF('Données Brutes'!A38:A56,"Chiffre d'affaires net",'Données Brutes'!F38:F56),0)</f>
        <v>0.14722222222222223</v>
      </c>
      <c r="G24" s="161" t="s">
        <v>98</v>
      </c>
      <c r="H24" s="450">
        <f t="shared" si="2"/>
        <v>3.8395792241946093E-2</v>
      </c>
      <c r="I24" s="49" t="str">
        <f>IF(F24&gt;=0.2,"✅ Conforme",IF(F24&gt;=0.15,"⚠️ Attention","🔴 Critique"))</f>
        <v>🔴 Critique</v>
      </c>
    </row>
    <row r="25" spans="2:9" ht="18.95" customHeight="1" x14ac:dyDescent="0.25">
      <c r="B25" s="51">
        <v>16</v>
      </c>
      <c r="C25" s="60" t="s">
        <v>310</v>
      </c>
      <c r="D25" s="217">
        <f>IFERROR(((SUMIF('Données Brutes'!A38:A56,"Chiffre d'affaires net",'Données Brutes'!D38:D56)-SUMIF('Données Brutes'!A38:A56,"Achats matières premières",'Données Brutes'!D38:D56)-SUMIF('Données Brutes'!A38:A56,"Variation stocks MP",'Données Brutes'!D38:D56)-SUMIF('Données Brutes'!A38:A56,"Autres achats &amp; charges ext.",'Données Brutes'!D38:D56)-SUMIF('Données Brutes'!A38:A56,"Impôts &amp; taxes",'Données Brutes'!D38:D56)-SUMIF('Données Brutes'!A38:A56,"Charges de personnel",'Données Brutes'!D38:D56))-SUMIF('Données Brutes'!A38:A56,"Dotations amortissements",'Données Brutes'!D38:D56)-SUMIF('Données Brutes'!A38:A56,"Dotations provisions exploit.",'Données Brutes'!D38:D56)-SUMIF('Données Brutes'!A38:A56,"Autres charges exploitation",'Données Brutes'!D38:D56)+SUMIF('Données Brutes'!A38:A56,"Autres produits exploitation",'Données Brutes'!D38:D56))/SUMIF('Données Brutes'!A38:A56,"Chiffre d'affaires net",'Données Brutes'!D38:D56),0)</f>
        <v>8.3157894736842111E-2</v>
      </c>
      <c r="E25" s="218">
        <f>IFERROR(((SUMIF('Données Brutes'!A38:A56,"Chiffre d'affaires net",'Données Brutes'!E38:E56)-SUMIF('Données Brutes'!A38:A56,"Achats matières premières",'Données Brutes'!E38:E56)-SUMIF('Données Brutes'!A38:A56,"Variation stocks MP",'Données Brutes'!E38:E56)-SUMIF('Données Brutes'!A38:A56,"Autres achats &amp; charges ext.",'Données Brutes'!E38:E56)-SUMIF('Données Brutes'!A38:A56,"Impôts &amp; taxes",'Données Brutes'!E38:E56)-SUMIF('Données Brutes'!A38:A56,"Charges de personnel",'Données Brutes'!E38:E56))-SUMIF('Données Brutes'!A38:A56,"Dotations amortissements",'Données Brutes'!E38:E56)-SUMIF('Données Brutes'!A38:A56,"Dotations provisions exploit.",'Données Brutes'!E38:E56)-SUMIF('Données Brutes'!A38:A56,"Autres charges exploitation",'Données Brutes'!E38:E56)+SUMIF('Données Brutes'!A38:A56,"Autres produits exploitation",'Données Brutes'!E38:E56))/SUMIF('Données Brutes'!A38:A56,"Chiffre d'affaires net",'Données Brutes'!E38:E56),0)</f>
        <v>8.5906040268456371E-2</v>
      </c>
      <c r="F25" s="219">
        <f>IFERROR(((SUMIF('Données Brutes'!A38:A56,"Chiffre d'affaires net",'Données Brutes'!F38:F56)-SUMIF('Données Brutes'!A38:A56,"Achats matières premières",'Données Brutes'!F38:F56)-SUMIF('Données Brutes'!A38:A56,"Variation stocks MP",'Données Brutes'!F38:F56)-SUMIF('Données Brutes'!A38:A56,"Autres achats &amp; charges ext.",'Données Brutes'!F38:F56)-SUMIF('Données Brutes'!A38:A56,"Impôts &amp; taxes",'Données Brutes'!F38:F56)-SUMIF('Données Brutes'!A38:A56,"Charges de personnel",'Données Brutes'!F38:F56))-SUMIF('Données Brutes'!A38:A56,"Dotations amortissements",'Données Brutes'!F38:F56)-SUMIF('Données Brutes'!A38:A56,"Dotations provisions exploit.",'Données Brutes'!F38:F56)-SUMIF('Données Brutes'!A38:A56,"Autres charges exploitation",'Données Brutes'!F38:F56)+SUMIF('Données Brutes'!A38:A56,"Autres produits exploitation",'Données Brutes'!F38:F56))/SUMIF('Données Brutes'!A38:A56,"Chiffre d'affaires net",'Données Brutes'!F38:F56),0)</f>
        <v>8.5802469135802473E-2</v>
      </c>
      <c r="G25" s="160" t="s">
        <v>311</v>
      </c>
      <c r="H25" s="449">
        <f t="shared" si="2"/>
        <v>-1.2056327160492872E-3</v>
      </c>
      <c r="I25" s="48" t="str">
        <f>IF(F25&gt;=0.12,"✅ Conforme",IF(F25&gt;=0.08,"⚠️ Attention","🔴 Critique"))</f>
        <v>⚠️ Attention</v>
      </c>
    </row>
    <row r="26" spans="2:9" ht="18.95" customHeight="1" x14ac:dyDescent="0.25">
      <c r="B26" s="52">
        <v>17</v>
      </c>
      <c r="C26" s="57" t="s">
        <v>312</v>
      </c>
      <c r="D26" s="212">
        <f>IFERROR(SUMIF('Données Brutes'!A2:A26,"Résultat net",'Données Brutes'!D2:D26)/SUMIF('Données Brutes'!A38:A56,"Chiffre d'affaires net",'Données Brutes'!D38:D56),0)</f>
        <v>6.9298245614035081E-2</v>
      </c>
      <c r="E26" s="213">
        <f>IFERROR(SUMIF('Données Brutes'!A2:A26,"Résultat net",'Données Brutes'!E2:E26)/SUMIF('Données Brutes'!A38:A56,"Chiffre d'affaires net",'Données Brutes'!E38:E56),0)</f>
        <v>6.8624161073825504E-2</v>
      </c>
      <c r="F26" s="504">
        <f>IFERROR(SUMIF('Données Brutes'!A2:A26,"Résultat net",'Données Brutes'!F2:F26)/SUMIF('Données Brutes'!A38:A56,"Chiffre d'affaires net",'Données Brutes'!F38:F56),0)</f>
        <v>6.5277777777777782E-2</v>
      </c>
      <c r="G26" s="161" t="s">
        <v>313</v>
      </c>
      <c r="H26" s="450">
        <f t="shared" si="2"/>
        <v>-4.8763922847052388E-2</v>
      </c>
      <c r="I26" s="49" t="str">
        <f>IF(F26&gt;=0.08,"✅ Conforme",IF(F26&gt;=0.05,"⚠️ Attention","🔴 Critique"))</f>
        <v>⚠️ Attention</v>
      </c>
    </row>
    <row r="27" spans="2:9" ht="18.95" customHeight="1" x14ac:dyDescent="0.25">
      <c r="B27" s="51">
        <v>18</v>
      </c>
      <c r="C27" s="56" t="s">
        <v>314</v>
      </c>
      <c r="D27" s="217">
        <f>IFERROR(SUMIF('Données Brutes'!A2:A26,"Résultat net",'Données Brutes'!D2:D26)/SUMIF('Données Brutes'!B2:B26,"Capitaux Propres",'Données Brutes'!D2:D26),0)</f>
        <v>0.16694843617920541</v>
      </c>
      <c r="E27" s="218">
        <f>IFERROR(SUMIF('Données Brutes'!A2:A26,"Résultat net",'Données Brutes'!E2:E26)/SUMIF('Données Brutes'!B2:B26,"Capitaux Propres",'Données Brutes'!E2:E26),0)</f>
        <v>0.20409181636726548</v>
      </c>
      <c r="F27" s="219">
        <f>IFERROR(SUMIF('Données Brutes'!A2:A26,"Résultat net",'Données Brutes'!F2:F26)/SUMIF('Données Brutes'!B2:B26,"Capitaux Propres",'Données Brutes'!F2:F26),0)</f>
        <v>0.15974320241691842</v>
      </c>
      <c r="G27" s="160" t="s">
        <v>100</v>
      </c>
      <c r="H27" s="449">
        <f t="shared" si="2"/>
        <v>-0.21729736517480563</v>
      </c>
      <c r="I27" s="48" t="str">
        <f>IF(F27&gt;=0.15,"✅ Conforme",IF(F27&gt;=0.12,"⚠️ Attention","🔴 Critique"))</f>
        <v>✅ Conforme</v>
      </c>
    </row>
    <row r="28" spans="2:9" ht="18.95" customHeight="1" x14ac:dyDescent="0.25">
      <c r="B28" s="52">
        <v>19</v>
      </c>
      <c r="C28" s="57" t="s">
        <v>315</v>
      </c>
      <c r="D28" s="212">
        <f>IFERROR(SUMIF('Données Brutes'!A2:A26,"Résultat net",'Données Brutes'!D2:D26)/(SUMIF('Données Brutes'!B2:B26,"Actif Non Courant",'Données Brutes'!D2:D26)+SUMIF('Données Brutes'!B2:B26,"Actif Courant",'Données Brutes'!D2:D26)),0)</f>
        <v>8.5386943363597062E-2</v>
      </c>
      <c r="E28" s="213">
        <f>IFERROR(SUMIF('Données Brutes'!A2:A26,"Résultat net",'Données Brutes'!E2:E26)/(SUMIF('Données Brutes'!B2:B26,"Actif Non Courant",'Données Brutes'!E2:E26)+SUMIF('Données Brutes'!B2:B26,"Actif Courant",'Données Brutes'!E2:E26)),0)</f>
        <v>9.7706641184902049E-2</v>
      </c>
      <c r="F28" s="504">
        <f>IFERROR(SUMIF('Données Brutes'!A2:A26,"Résultat net",'Données Brutes'!F2:F26)/(SUMIF('Données Brutes'!B2:B26,"Actif Non Courant",'Données Brutes'!F2:F26)+SUMIF('Données Brutes'!B2:B26,"Actif Courant",'Données Brutes'!F2:F26)),0)</f>
        <v>8.2552693208430908E-2</v>
      </c>
      <c r="G28" s="161" t="s">
        <v>313</v>
      </c>
      <c r="H28" s="450">
        <f t="shared" si="2"/>
        <v>-0.1550963966491643</v>
      </c>
      <c r="I28" s="49" t="str">
        <f>IF(F28&gt;=0.08,"✅ Conforme",IF(F28&gt;=0.05,"⚠️ Attention","🔴 Critique"))</f>
        <v>✅ Conforme</v>
      </c>
    </row>
    <row r="29" spans="2:9" ht="33.75" customHeight="1" x14ac:dyDescent="0.25">
      <c r="B29" s="51">
        <v>20</v>
      </c>
      <c r="C29" s="60" t="s">
        <v>316</v>
      </c>
      <c r="D29" s="217">
        <f>IFERROR(((SUMIF('Données Brutes'!A38:A56,"Chiffre d'affaires net",'Données Brutes'!D38:D56)-SUMIF('Données Brutes'!A38:A56,"Achats matières premières",'Données Brutes'!D38:D56)-SUMIF('Données Brutes'!A38:A56,"Variation stocks MP",'Données Brutes'!D38:D56)-SUMIF('Données Brutes'!A38:A56,"Autres achats &amp; charges ext.",'Données Brutes'!D38:D56)-SUMIF('Données Brutes'!A38:A56,"Impôts &amp; taxes",'Données Brutes'!D38:D56)-SUMIF('Données Brutes'!A38:A56,"Charges de personnel",'Données Brutes'!D38:D56))-SUMIF('Données Brutes'!A38:A56,"Dotations amortissements",'Données Brutes'!D38:D56)-SUMIF('Données Brutes'!A38:A56,"Dotations provisions exploit.",'Données Brutes'!D38:D56)-SUMIF('Données Brutes'!A38:A56,"Autres charges exploitation",'Données Brutes'!D38:D56)+SUMIF('Données Brutes'!A38:A56,"Autres produits exploitation",'Données Brutes'!D38:D56))*0.75/(SUMIF('Données Brutes'!B2:B26,"Capitaux Propres",'Données Brutes'!D2:D26)+SUMIF('Données Brutes'!B2:B26,"Dettes Non Courantes",'Données Brutes'!D2:D26)),0)</f>
        <v>0.1020964962665135</v>
      </c>
      <c r="E29" s="218">
        <f>IFERROR(((SUMIF('Données Brutes'!A38:A56,"Chiffre d'affaires net",'Données Brutes'!E38:E56)-SUMIF('Données Brutes'!A38:A56,"Achats matières premières",'Données Brutes'!E38:E56)-SUMIF('Données Brutes'!A38:A56,"Variation stocks MP",'Données Brutes'!E38:E56)-SUMIF('Données Brutes'!A38:A56,"Autres achats &amp; charges ext.",'Données Brutes'!E38:E56)-SUMIF('Données Brutes'!A38:A56,"Impôts &amp; taxes",'Données Brutes'!E38:E56)-SUMIF('Données Brutes'!A38:A56,"Charges de personnel",'Données Brutes'!E38:E56))-SUMIF('Données Brutes'!A38:A56,"Dotations amortissements",'Données Brutes'!E38:E56)-SUMIF('Données Brutes'!A38:A56,"Dotations provisions exploit.",'Données Brutes'!E38:E56)-SUMIF('Données Brutes'!A38:A56,"Autres charges exploitation",'Données Brutes'!E38:E56)+SUMIF('Données Brutes'!A38:A56,"Autres produits exploitation",'Données Brutes'!E38:E56))*0.75/(SUMIF('Données Brutes'!B2:B26,"Capitaux Propres",'Données Brutes'!E2:E26)+SUMIF('Données Brutes'!B2:B26,"Dettes Non Courantes",'Données Brutes'!E2:E26)),0)</f>
        <v>0.12860013395847286</v>
      </c>
      <c r="F29" s="219">
        <f>IFERROR(((SUMIF('Données Brutes'!A38:A56,"Chiffre d'affaires net",'Données Brutes'!F38:F56)-SUMIF('Données Brutes'!A38:A56,"Achats matières premières",'Données Brutes'!F38:F56)-SUMIF('Données Brutes'!A38:A56,"Variation stocks MP",'Données Brutes'!F38:F56)-SUMIF('Données Brutes'!A38:A56,"Autres achats &amp; charges ext.",'Données Brutes'!F38:F56)-SUMIF('Données Brutes'!A38:A56,"Impôts &amp; taxes",'Données Brutes'!F38:F56)-SUMIF('Données Brutes'!A38:A56,"Charges de personnel",'Données Brutes'!F38:F56))-SUMIF('Données Brutes'!A38:A56,"Dotations amortissements",'Données Brutes'!F38:F56)-SUMIF('Données Brutes'!A38:A56,"Dotations provisions exploit.",'Données Brutes'!F38:F56)-SUMIF('Données Brutes'!A38:A56,"Autres charges exploitation",'Données Brutes'!F38:F56)+SUMIF('Données Brutes'!A38:A56,"Autres produits exploitation",'Données Brutes'!F38:F56))*0.75/(SUMIF('Données Brutes'!B2:B26,"Capitaux Propres",'Données Brutes'!F2:F26)+SUMIF('Données Brutes'!B2:B26,"Dettes Non Courantes",'Données Brutes'!F2:F26)),0)</f>
        <v>0.10814315352697096</v>
      </c>
      <c r="G29" s="160" t="s">
        <v>317</v>
      </c>
      <c r="H29" s="449">
        <f t="shared" si="2"/>
        <v>-0.15907433220954345</v>
      </c>
      <c r="I29" s="48" t="str">
        <f>IF(F29&gt;=0.15,"✅ Conforme",IF(F29&gt;=0.1,"⚠️ Attention","🔴 Critique"))</f>
        <v>⚠️ Attention</v>
      </c>
    </row>
    <row r="30" spans="2:9" ht="21.75" customHeight="1" x14ac:dyDescent="0.25">
      <c r="B30" s="63"/>
      <c r="C30" s="64"/>
      <c r="D30" s="65"/>
      <c r="E30" s="66"/>
      <c r="F30" s="67"/>
      <c r="G30" s="67"/>
      <c r="H30" s="451"/>
      <c r="I30" s="67"/>
    </row>
    <row r="31" spans="2:9" ht="17.100000000000001" customHeight="1" x14ac:dyDescent="0.25">
      <c r="B31" s="53" t="s">
        <v>318</v>
      </c>
      <c r="C31" s="61" t="s">
        <v>319</v>
      </c>
      <c r="D31" s="485"/>
      <c r="E31" s="486"/>
      <c r="F31" s="452"/>
      <c r="G31" s="54"/>
      <c r="H31" s="452"/>
      <c r="I31" s="54"/>
    </row>
    <row r="32" spans="2:9" ht="18.95" customHeight="1" x14ac:dyDescent="0.25">
      <c r="B32" s="1293">
        <v>21</v>
      </c>
      <c r="C32" s="1294"/>
      <c r="D32" s="1295"/>
      <c r="E32" s="1296"/>
      <c r="F32" s="1297"/>
      <c r="G32" s="1298"/>
      <c r="H32" s="1299"/>
      <c r="I32" s="49" t="str">
        <f>IF(ABS(F32-F27)&lt;0.002,"✅ Cohérent","⚠️ Écart")</f>
        <v>⚠️ Écart</v>
      </c>
    </row>
    <row r="33" spans="2:9" ht="20.100000000000001" customHeight="1" x14ac:dyDescent="0.25">
      <c r="B33" s="1277" t="s">
        <v>320</v>
      </c>
      <c r="C33" s="1302"/>
      <c r="D33" s="1303"/>
      <c r="E33" s="1303"/>
      <c r="F33" s="1303"/>
      <c r="G33" s="1303"/>
      <c r="H33" s="1304"/>
      <c r="I33" s="1303"/>
    </row>
    <row r="34" spans="2:9" ht="18.95" customHeight="1" x14ac:dyDescent="0.25">
      <c r="B34" s="51">
        <v>22</v>
      </c>
      <c r="C34" s="56" t="s">
        <v>321</v>
      </c>
      <c r="D34" s="214">
        <f>IFERROR(SUMIF('Données Brutes'!A2:A26,"Créances clients",'Données Brutes'!D2:D26)/SUMIF('Données Brutes'!A38:A56,"Chiffre d'affaires net",'Données Brutes'!D38:D56)*365,0)</f>
        <v>53.78947368421052</v>
      </c>
      <c r="E34" s="215">
        <f>IFERROR(SUMIF('Données Brutes'!A2:A26,"Créances clients",'Données Brutes'!E2:E26)/SUMIF('Données Brutes'!A38:A56,"Chiffre d'affaires net",'Données Brutes'!E38:E56)*365,0)</f>
        <v>56.34228187919463</v>
      </c>
      <c r="F34" s="216">
        <f>IFERROR(SUMIF('Données Brutes'!A2:A26,"Créances clients",'Données Brutes'!F2:F26)/SUMIF('Données Brutes'!A38:A56,"Chiffre d'affaires net",'Données Brutes'!F38:F56)*365,0)</f>
        <v>57.453703703703702</v>
      </c>
      <c r="G34" s="160" t="s">
        <v>322</v>
      </c>
      <c r="H34" s="449">
        <f>IFERROR((F34-E34)/ABS(E34),0)</f>
        <v>1.9726247987117546E-2</v>
      </c>
      <c r="I34" s="48" t="str">
        <f>IF(F34&lt;40,"✅ Conforme",IF(F34&lt;45,"⚠️ Attention","🔴 Critique"))</f>
        <v>🔴 Critique</v>
      </c>
    </row>
    <row r="35" spans="2:9" ht="18.95" customHeight="1" x14ac:dyDescent="0.25">
      <c r="B35" s="52">
        <v>23</v>
      </c>
      <c r="C35" s="57" t="s">
        <v>323</v>
      </c>
      <c r="D35" s="209">
        <f>IFERROR((SUMIF('Données Brutes'!A2:A26,"Stocks matières premières",'Données Brutes'!D2:D26)+SUMIF('Données Brutes'!A2:A26,"Stocks produits finis",'Données Brutes'!D2:D26)+SUMIF('Données Brutes'!A2:A26,"Stocks en-cours de production",'Données Brutes'!D2:D26)+SUMIF('Données Brutes'!A2:A26,"Stocks marchandises",'Données Brutes'!D2:D26))/(SUMIF('Données Brutes'!A38:A56,"Achats matières premières",'Données Brutes'!D38:D56)+SUMIF('Données Brutes'!A38:A56,"Variation stocks MP",'Données Brutes'!D38:D56))*365,0)</f>
        <v>124.18330955777461</v>
      </c>
      <c r="E35" s="210">
        <f>IFERROR((SUMIF('Données Brutes'!A2:A26,"Stocks matières premières",'Données Brutes'!E2:E26)+SUMIF('Données Brutes'!A2:A26,"Stocks produits finis",'Données Brutes'!E2:E26)+SUMIF('Données Brutes'!A2:A26,"Stocks en-cours de production",'Données Brutes'!E2:E26)+SUMIF('Données Brutes'!A2:A26,"Stocks marchandises",'Données Brutes'!E2:E26))/(SUMIF('Données Brutes'!A38:A56,"Achats matières premières",'Données Brutes'!E38:E56)+SUMIF('Données Brutes'!A38:A56,"Variation stocks MP",'Données Brutes'!E38:E56))*365,0)</f>
        <v>121.83448275862068</v>
      </c>
      <c r="F35" s="211">
        <f>IFERROR((SUMIF('Données Brutes'!A2:A26,"Stocks matières premières",'Données Brutes'!F2:F26)+SUMIF('Données Brutes'!A2:A26,"Stocks produits finis",'Données Brutes'!F2:F26)+SUMIF('Données Brutes'!A2:A26,"Stocks en-cours de production",'Données Brutes'!F2:F26)+SUMIF('Données Brutes'!A2:A26,"Stocks marchandises",'Données Brutes'!F2:F26))/(SUMIF('Données Brutes'!A38:A56,"Achats matières premières",'Données Brutes'!F38:F56)+SUMIF('Données Brutes'!A38:A56,"Variation stocks MP",'Données Brutes'!F38:F56))*365,0)</f>
        <v>128.95899053627761</v>
      </c>
      <c r="G35" s="161" t="s">
        <v>324</v>
      </c>
      <c r="H35" s="450">
        <f>IFERROR((F35-E35)/ABS(E35),0)</f>
        <v>5.8476940323800235E-2</v>
      </c>
      <c r="I35" s="49" t="str">
        <f>IF(F35&lt;50,"✅ Conforme",IF(F35&lt;60,"⚠️ Attention","🔴 Critique"))</f>
        <v>🔴 Critique</v>
      </c>
    </row>
    <row r="36" spans="2:9" ht="18.95" customHeight="1" x14ac:dyDescent="0.25">
      <c r="B36" s="51">
        <v>24</v>
      </c>
      <c r="C36" s="56" t="s">
        <v>325</v>
      </c>
      <c r="D36" s="214">
        <f>IFERROR(SUMIF('Données Brutes'!A2:A26,"Dettes fournisseurs",'Données Brutes'!D2:D26)/(SUMIF('Données Brutes'!A38:A56,"Achats matières premières",'Données Brutes'!D38:D56)+SUMIF('Données Brutes'!A38:A56,"Variation stocks MP",'Données Brutes'!D38:D56)+SUMIF('Données Brutes'!A38:A56,"Autres achats &amp; charges ext.",'Données Brutes'!D38:D56))*365,0)</f>
        <v>62.444812362030909</v>
      </c>
      <c r="E36" s="215">
        <f>IFERROR(SUMIF('Données Brutes'!A2:A26,"Dettes fournisseurs",'Données Brutes'!E2:E26)/(SUMIF('Données Brutes'!A38:A56,"Achats matières premières",'Données Brutes'!E38:E56)+SUMIF('Données Brutes'!A38:A56,"Variation stocks MP",'Données Brutes'!E38:E56)+SUMIF('Données Brutes'!A38:A56,"Autres achats &amp; charges ext.",'Données Brutes'!E38:E56))*365,0)</f>
        <v>66.010638297872347</v>
      </c>
      <c r="F36" s="216">
        <f>IFERROR(SUMIF('Données Brutes'!A2:A26,"Dettes fournisseurs",'Données Brutes'!F2:F26)/(SUMIF('Données Brutes'!A38:A56,"Achats matières premières",'Données Brutes'!F38:F56)+SUMIF('Données Brutes'!A38:A56,"Variation stocks MP",'Données Brutes'!F38:F56)+SUMIF('Données Brutes'!A38:A56,"Autres achats &amp; charges ext.",'Données Brutes'!F38:F56))*365,0)</f>
        <v>66.768292682926827</v>
      </c>
      <c r="G36" s="160" t="s">
        <v>326</v>
      </c>
      <c r="H36" s="449">
        <f>IFERROR((F36-E36)/ABS(E36),0)</f>
        <v>1.147776183644175E-2</v>
      </c>
      <c r="I36" s="48" t="str">
        <f>IF(F36&gt;60,"✅ Conforme",IF(F36&gt;30,"⚠️ Attention","🔴 Critique"))</f>
        <v>✅ Conforme</v>
      </c>
    </row>
    <row r="37" spans="2:9" ht="18.95" customHeight="1" x14ac:dyDescent="0.25">
      <c r="B37" s="52">
        <v>25</v>
      </c>
      <c r="C37" s="57" t="s">
        <v>327</v>
      </c>
      <c r="D37" s="209">
        <f>D34+D35-D36</f>
        <v>115.52797087995421</v>
      </c>
      <c r="E37" s="210">
        <f>E34+E35-E36</f>
        <v>112.16612633994298</v>
      </c>
      <c r="F37" s="211">
        <f>F34+F35-F36</f>
        <v>119.64440155705448</v>
      </c>
      <c r="G37" s="161" t="s">
        <v>324</v>
      </c>
      <c r="H37" s="450">
        <f>IFERROR((F37-E37)/ABS(E37),0)</f>
        <v>6.6671422657915633E-2</v>
      </c>
      <c r="I37" s="49" t="str">
        <f>IF(F37&lt;40,"✅ Conforme",IF(F37&lt;60,"⚠️ Attention","🔴 Critique"))</f>
        <v>🔴 Critique</v>
      </c>
    </row>
    <row r="38" spans="2:9" ht="18.95" customHeight="1" x14ac:dyDescent="0.25">
      <c r="B38" s="1284">
        <v>26</v>
      </c>
      <c r="C38" s="1285"/>
      <c r="D38" s="1285"/>
      <c r="E38" s="1285"/>
      <c r="F38" s="1285"/>
      <c r="G38" s="1285"/>
      <c r="H38" s="1286"/>
      <c r="I38" s="1285"/>
    </row>
    <row r="39" spans="2:9" ht="18.95" customHeight="1" x14ac:dyDescent="0.25">
      <c r="B39" s="52">
        <v>27</v>
      </c>
      <c r="C39" s="58" t="s">
        <v>328</v>
      </c>
      <c r="D39" s="200">
        <f>IFERROR((SUMIF('Données Brutes'!A38:A56,"Chiffre d'affaires net",'Données Brutes'!D38:D56)-SUMIF('Données Brutes'!A38:A56,"Achats matières premières",'Données Brutes'!D38:D56)-SUMIF('Données Brutes'!A38:A56,"Variation stocks MP",'Données Brutes'!D38:D56)-SUMIF('Données Brutes'!A38:A56,"Autres achats &amp; charges ext.",'Données Brutes'!D38:D56))/SUMIF('Données Brutes'!A38:A56,"Charges de personnel",'Données Brutes'!D38:D56),0)</f>
        <v>1.6741935483870967</v>
      </c>
      <c r="E39" s="201">
        <f>IFERROR((SUMIF('Données Brutes'!A38:A56,"Chiffre d'affaires net",'Données Brutes'!E38:E56)-SUMIF('Données Brutes'!A38:A56,"Achats matières premières",'Données Brutes'!E38:E56)-SUMIF('Données Brutes'!A38:A56,"Variation stocks MP",'Données Brutes'!E38:E56)-SUMIF('Données Brutes'!A38:A56,"Autres achats &amp; charges ext.",'Données Brutes'!E38:E56))/SUMIF('Données Brutes'!A38:A56,"Charges de personnel",'Données Brutes'!E38:E56),0)</f>
        <v>1.6923076923076923</v>
      </c>
      <c r="F39" s="202">
        <f>IFERROR((SUMIF('Données Brutes'!A38:A56,"Chiffre d'affaires net",'Données Brutes'!F38:F56)-SUMIF('Données Brutes'!A38:A56,"Achats matières premières",'Données Brutes'!F38:F56)-SUMIF('Données Brutes'!A38:A56,"Variation stocks MP",'Données Brutes'!F38:F56)-SUMIF('Données Brutes'!A38:A56,"Autres achats &amp; charges ext.",'Données Brutes'!F38:F56))/SUMIF('Données Brutes'!A38:A56,"Charges de personnel",'Données Brutes'!F38:F56),0)</f>
        <v>1.7246376811594204</v>
      </c>
      <c r="G39" s="161" t="s">
        <v>329</v>
      </c>
      <c r="H39" s="450">
        <f>IFERROR((F39-E39)/ABS(E39),0)</f>
        <v>1.9104084321475701E-2</v>
      </c>
      <c r="I39" s="49" t="str">
        <f>IF(F39&gt;=2,"✅ Conforme",IF(F39&gt;=1.5,"⚠️ Attention","🔴 Critique"))</f>
        <v>⚠️ Attention</v>
      </c>
    </row>
    <row r="40" spans="2:9" ht="28.5" customHeight="1" x14ac:dyDescent="0.25">
      <c r="B40" s="63"/>
      <c r="C40" s="68" t="s">
        <v>330</v>
      </c>
      <c r="D40" s="65"/>
      <c r="E40" s="66"/>
      <c r="F40" s="67"/>
      <c r="G40" s="67"/>
      <c r="H40" s="451"/>
      <c r="I40" s="67"/>
    </row>
    <row r="41" spans="2:9" ht="20.100000000000001" customHeight="1" x14ac:dyDescent="0.25">
      <c r="B41" s="1277" t="s">
        <v>331</v>
      </c>
      <c r="C41" s="1305"/>
      <c r="D41" s="1306"/>
      <c r="E41" s="1306"/>
      <c r="F41" s="1306"/>
      <c r="G41" s="1306"/>
      <c r="H41" s="1307"/>
      <c r="I41" s="1306"/>
    </row>
    <row r="42" spans="2:9" ht="18.95" customHeight="1" x14ac:dyDescent="0.25">
      <c r="B42" s="51">
        <v>28</v>
      </c>
      <c r="C42" s="56" t="s">
        <v>332</v>
      </c>
      <c r="D42" s="217">
        <f>IFERROR((SUMIF('Données Brutes'!A38:A56,"Chiffre d'affaires net",'Données Brutes'!D38:D56)-(SUMIF('Données Brutes'!A38:A56,"Achats matières premières",'Données Brutes'!D38:D56)+SUMIF('Données Brutes'!A38:A56,"Variation stocks MP",'Données Brutes'!D38:D56)))/SUMIF('Données Brutes'!A38:A56,"Chiffre d'affaires net",'Données Brutes'!D38:D56),0)</f>
        <v>0.50807017543859645</v>
      </c>
      <c r="E42" s="218">
        <f>IFERROR((SUMIF('Données Brutes'!A38:A56,"Chiffre d'affaires net",'Données Brutes'!E38:E56)-(SUMIF('Données Brutes'!A38:A56,"Achats matières premières",'Données Brutes'!E38:E56)+SUMIF('Données Brutes'!A38:A56,"Variation stocks MP",'Données Brutes'!E38:E56)))/SUMIF('Données Brutes'!A38:A56,"Chiffre d'affaires net",'Données Brutes'!E38:E56),0)</f>
        <v>0.51342281879194629</v>
      </c>
      <c r="F42" s="219">
        <f>IFERROR((SUMIF('Données Brutes'!A38:A56,"Chiffre d'affaires net",'Données Brutes'!F38:F56)-(SUMIF('Données Brutes'!A38:A56,"Achats matières premières",'Données Brutes'!F38:F56)+SUMIF('Données Brutes'!A38:A56,"Variation stocks MP",'Données Brutes'!F38:F56)))/SUMIF('Données Brutes'!A38:A56,"Chiffre d'affaires net",'Données Brutes'!F38:F56),0)</f>
        <v>0.51080246913580252</v>
      </c>
      <c r="G42" s="160" t="s">
        <v>333</v>
      </c>
      <c r="H42" s="449">
        <f>IFERROR((F42-E42)/ABS(E42),0)</f>
        <v>-5.1036875655610728E-3</v>
      </c>
      <c r="I42" s="48" t="str">
        <f>IF(F42&gt;=0.6,"✅ Élevé",IF(F42&gt;=0.5,"⚠️ Moyen","🔴 Faible"))</f>
        <v>⚠️ Moyen</v>
      </c>
    </row>
    <row r="43" spans="2:9" ht="18.95" customHeight="1" x14ac:dyDescent="0.25">
      <c r="B43" s="52">
        <v>29</v>
      </c>
      <c r="C43" s="57" t="s">
        <v>334</v>
      </c>
      <c r="D43" s="203">
        <f>IFERROR((SUMIF('Données Brutes'!A38:A56,"Autres achats &amp; charges ext.",'Données Brutes'!D38:D56)+SUMIF('Données Brutes'!A38:A56,"Impôts &amp; taxes",'Données Brutes'!D38:D56)+SUMIF('Données Brutes'!A38:A56,"Charges de personnel",'Données Brutes'!D38:D56)+SUMIF('Données Brutes'!A38:A56,"Dotations amortissements",'Données Brutes'!D38:D56)+SUMIF('Données Brutes'!A38:A56,"Dotations provisions exploit.",'Données Brutes'!D38:D56)+SUMIF('Données Brutes'!A38:A56,"Autres charges exploitation",'Données Brutes'!D38:D56))/D42,0)</f>
        <v>24189571.823204421</v>
      </c>
      <c r="E43" s="204">
        <f>IFERROR((SUMIF('Données Brutes'!A38:A56,"Autres achats &amp; charges ext.",'Données Brutes'!E38:E56)+SUMIF('Données Brutes'!A38:A56,"Impôts &amp; taxes",'Données Brutes'!E38:E56)+SUMIF('Données Brutes'!A38:A56,"Charges de personnel",'Données Brutes'!E38:E56)+SUMIF('Données Brutes'!A38:A56,"Dotations amortissements",'Données Brutes'!E38:E56)+SUMIF('Données Brutes'!A38:A56,"Dotations provisions exploit.",'Données Brutes'!E38:E56)+SUMIF('Données Brutes'!A38:A56,"Autres charges exploitation",'Données Brutes'!E38:E56))/E42,0)</f>
        <v>25222875.816993464</v>
      </c>
      <c r="F43" s="205">
        <f>IFERROR((SUMIF('Données Brutes'!A38:A56,"Autres achats &amp; charges ext.",'Données Brutes'!F38:F56)+SUMIF('Données Brutes'!A38:A56,"Impôts &amp; taxes",'Données Brutes'!F38:F56)+SUMIF('Données Brutes'!A38:A56,"Charges de personnel",'Données Brutes'!F38:F56)+SUMIF('Données Brutes'!A38:A56,"Dotations amortissements",'Données Brutes'!F38:F56)+SUMIF('Données Brutes'!A38:A56,"Dotations provisions exploit.",'Données Brutes'!F38:F56)+SUMIF('Données Brutes'!A38:A56,"Autres charges exploitation",'Données Brutes'!F38:F56))/F42,0)</f>
        <v>27427432.024169181</v>
      </c>
      <c r="G43" s="161" t="s">
        <v>335</v>
      </c>
      <c r="H43" s="450">
        <f>IFERROR((F43-E43)/ABS(E43),0)</f>
        <v>8.7403047264358186E-2</v>
      </c>
      <c r="I43" s="49" t="str">
        <f>IF(F43/SUMIF('Données Brutes'!A38:A56,"Chiffre d'affaires net",'Données Brutes'!F38:F56)&lt;0.8,"✅ Conforme",IF(F43/SUMIF('Données Brutes'!A38:A56,"Chiffre d'affaires net",'Données Brutes'!F38:F56)&lt;0.9,"⚠️ Attention","🔴 Critique"))</f>
        <v>⚠️ Attention</v>
      </c>
    </row>
    <row r="44" spans="2:9" ht="18.95" customHeight="1" x14ac:dyDescent="0.25">
      <c r="B44" s="51">
        <v>30</v>
      </c>
      <c r="C44" s="59" t="s">
        <v>336</v>
      </c>
      <c r="D44" s="214">
        <f>IFERROR(D43/SUMIF('Données Brutes'!A38:A56,"Chiffre d'affaires net",'Données Brutes'!D38:D56)*365,0)</f>
        <v>309.79627071823205</v>
      </c>
      <c r="E44" s="215">
        <f>IFERROR(E43/SUMIF('Données Brutes'!A38:A56,"Chiffre d'affaires net",'Données Brutes'!E38:E56)*365,0)</f>
        <v>308.93790849673201</v>
      </c>
      <c r="F44" s="216">
        <f>IFERROR(F43/SUMIF('Données Brutes'!A38:A56,"Chiffre d'affaires net",'Données Brutes'!F38:F56)*365,0)</f>
        <v>308.98187311178242</v>
      </c>
      <c r="G44" s="160" t="s">
        <v>337</v>
      </c>
      <c r="H44" s="449">
        <f>IFERROR((F44-E44)/ABS(E44),0)</f>
        <v>1.4230890363808564E-4</v>
      </c>
      <c r="I44" s="48" t="str">
        <f>IF(F44&lt;270,"✅ Conforme",IF(F44&lt;300,"⚠️ Attention","🔴 Critique"))</f>
        <v>🔴 Critique</v>
      </c>
    </row>
    <row r="45" spans="2:9" ht="18.95" customHeight="1" x14ac:dyDescent="0.25">
      <c r="B45" s="1281">
        <v>31</v>
      </c>
      <c r="C45" s="1282"/>
      <c r="D45" s="1282"/>
      <c r="E45" s="1282"/>
      <c r="F45" s="1282"/>
      <c r="G45" s="1282"/>
      <c r="H45" s="1283"/>
      <c r="I45" s="1282"/>
    </row>
    <row r="46" spans="2:9" ht="18.95" customHeight="1" x14ac:dyDescent="0.25">
      <c r="B46" s="51">
        <v>32</v>
      </c>
      <c r="C46" s="59" t="s">
        <v>338</v>
      </c>
      <c r="D46" s="217">
        <f>IFERROR((SUMIF('Données Brutes'!A38:A56,"Chiffre d'affaires net",'Données Brutes'!D38:D56)-D43)/SUMIF('Données Brutes'!A38:A56,"Chiffre d'affaires net",'Données Brutes'!D38:D56),0)</f>
        <v>0.15124309392265192</v>
      </c>
      <c r="E46" s="218">
        <f>IFERROR((SUMIF('Données Brutes'!A38:A56,"Chiffre d'affaires net",'Données Brutes'!E38:E56)-E43)/SUMIF('Données Brutes'!A38:A56,"Chiffre d'affaires net",'Données Brutes'!E38:E56),0)</f>
        <v>0.15359477124183007</v>
      </c>
      <c r="F46" s="219">
        <f>IFERROR((SUMIF('Données Brutes'!A38:A56,"Chiffre d'affaires net",'Données Brutes'!F38:F56)-F43)/SUMIF('Données Brutes'!A38:A56,"Chiffre d'affaires net",'Données Brutes'!F38:F56),0)</f>
        <v>0.15347432024169197</v>
      </c>
      <c r="G46" s="160" t="s">
        <v>98</v>
      </c>
      <c r="H46" s="449">
        <f>IFERROR((F46-E46)/ABS(E46),0)</f>
        <v>-7.8421289451617549E-4</v>
      </c>
      <c r="I46" s="48" t="str">
        <f>IF(F46&gt;=0.2,"✅ Conforme",IF(F46&gt;=0.15,"⚠️ Attention","🔴 Critique"))</f>
        <v>⚠️ Attention</v>
      </c>
    </row>
    <row r="47" spans="2:9" ht="18.95" customHeight="1" x14ac:dyDescent="0.25">
      <c r="B47" s="52">
        <v>33</v>
      </c>
      <c r="C47" s="57" t="s">
        <v>339</v>
      </c>
      <c r="D47" s="200">
        <f>IFERROR((SUMIF('Données Brutes'!A38:A56,"Chiffre d'affaires net",'Données Brutes'!D38:D56)-(SUMIF('Données Brutes'!A38:A56,"Achats matières premières",'Données Brutes'!D38:D56)+SUMIF('Données Brutes'!A38:A56,"Variation stocks MP",'Données Brutes'!D38:D56)))/((SUMIF('Données Brutes'!A38:A56,"Chiffre d'affaires net",'Données Brutes'!D38:D56)-SUMIF('Données Brutes'!A38:A56,"Achats matières premières",'Données Brutes'!D38:D56)-SUMIF('Données Brutes'!A38:A56,"Variation stocks MP",'Données Brutes'!D38:D56)-SUMIF('Données Brutes'!A38:A56,"Autres achats &amp; charges ext.",'Données Brutes'!D38:D56)-SUMIF('Données Brutes'!A38:A56,"Impôts &amp; taxes",'Données Brutes'!D38:D56)-SUMIF('Données Brutes'!A38:A56,"Charges de personnel",'Données Brutes'!D38:D56))-SUMIF('Données Brutes'!A38:A56,"Dotations amortissements",'Données Brutes'!D38:D56)-SUMIF('Données Brutes'!A38:A56,"Dotations provisions exploit.",'Données Brutes'!D38:D56)-SUMIF('Données Brutes'!A38:A56,"Autres charges exploitation",'Données Brutes'!D38:D56)+SUMIF('Données Brutes'!A38:A56,"Autres produits exploitation",'Données Brutes'!D38:D56)),0)</f>
        <v>6.109704641350211</v>
      </c>
      <c r="E47" s="201">
        <f>IFERROR((SUMIF('Données Brutes'!A38:A56,"Chiffre d'affaires net",'Données Brutes'!E38:E56)-(SUMIF('Données Brutes'!A38:A56,"Achats matières premières",'Données Brutes'!E38:E56)+SUMIF('Données Brutes'!A38:A56,"Variation stocks MP",'Données Brutes'!E38:E56)))/((SUMIF('Données Brutes'!A38:A56,"Chiffre d'affaires net",'Données Brutes'!E38:E56)-SUMIF('Données Brutes'!A38:A56,"Achats matières premières",'Données Brutes'!E38:E56)-SUMIF('Données Brutes'!A38:A56,"Variation stocks MP",'Données Brutes'!E38:E56)-SUMIF('Données Brutes'!A38:A56,"Autres achats &amp; charges ext.",'Données Brutes'!E38:E56)-SUMIF('Données Brutes'!A38:A56,"Impôts &amp; taxes",'Données Brutes'!E38:E56)-SUMIF('Données Brutes'!A38:A56,"Charges de personnel",'Données Brutes'!E38:E56))-SUMIF('Données Brutes'!A38:A56,"Dotations amortissements",'Données Brutes'!E38:E56)-SUMIF('Données Brutes'!A38:A56,"Dotations provisions exploit.",'Données Brutes'!E38:E56)-SUMIF('Données Brutes'!A38:A56,"Autres charges exploitation",'Données Brutes'!E38:E56)+SUMIF('Données Brutes'!A38:A56,"Autres produits exploitation",'Données Brutes'!E38:E56)),0)</f>
        <v>5.9765625</v>
      </c>
      <c r="F47" s="202">
        <f>IFERROR((SUMIF('Données Brutes'!A38:A56,"Chiffre d'affaires net",'Données Brutes'!F38:F56)-(SUMIF('Données Brutes'!A38:A56,"Achats matières premières",'Données Brutes'!F38:F56)+SUMIF('Données Brutes'!A38:A56,"Variation stocks MP",'Données Brutes'!F38:F56)))/((SUMIF('Données Brutes'!A38:A56,"Chiffre d'affaires net",'Données Brutes'!F38:F56)-SUMIF('Données Brutes'!A38:A56,"Achats matières premières",'Données Brutes'!F38:F56)-SUMIF('Données Brutes'!A38:A56,"Variation stocks MP",'Données Brutes'!F38:F56)-SUMIF('Données Brutes'!A38:A56,"Autres achats &amp; charges ext.",'Données Brutes'!F38:F56)-SUMIF('Données Brutes'!A38:A56,"Impôts &amp; taxes",'Données Brutes'!F38:F56)-SUMIF('Données Brutes'!A38:A56,"Charges de personnel",'Données Brutes'!F38:F56))-SUMIF('Données Brutes'!A38:A56,"Dotations amortissements",'Données Brutes'!F38:F56)-SUMIF('Données Brutes'!A38:A56,"Dotations provisions exploit.",'Données Brutes'!F38:F56)-SUMIF('Données Brutes'!A38:A56,"Autres charges exploitation",'Données Brutes'!F38:F56)+SUMIF('Données Brutes'!A38:A56,"Autres produits exploitation",'Données Brutes'!F38:F56)),0)</f>
        <v>5.9532374100719423</v>
      </c>
      <c r="G47" s="161" t="s">
        <v>340</v>
      </c>
      <c r="H47" s="450">
        <f>IFERROR((F47-E47)/ABS(E47),0)</f>
        <v>-3.9027601448253417E-3</v>
      </c>
      <c r="I47" s="49" t="str">
        <f>IF(F47&lt;3,"✅ Faible risque",IF(F47&lt;6,"⚠️ Risque modéré","🔴 Risque élevé"))</f>
        <v>⚠️ Risque modéré</v>
      </c>
    </row>
    <row r="48" spans="2:9" ht="18.95" customHeight="1" x14ac:dyDescent="0.25">
      <c r="B48" s="51">
        <v>34</v>
      </c>
      <c r="C48" s="56" t="s">
        <v>341</v>
      </c>
      <c r="D48" s="206">
        <f>SUMIF('Données Brutes'!A2:A26,"Résultat net",'Données Brutes'!D2:D26)+SUMIF('Données Brutes'!A38:A56,"Dotations amortissements",'Données Brutes'!D38:D56)+SUMIF('Données Brutes'!A38:A56,"Dotations provisions exploit.",'Données Brutes'!D38:D56)</f>
        <v>3255000</v>
      </c>
      <c r="E48" s="207">
        <f>SUMIF('Données Brutes'!A2:A26,"Résultat net",'Données Brutes'!E2:E26)+SUMIF('Données Brutes'!A38:A56,"Dotations amortissements",'Données Brutes'!E38:E56)+SUMIF('Données Brutes'!A38:A56,"Dotations provisions exploit.",'Données Brutes'!E38:E56)</f>
        <v>3445000</v>
      </c>
      <c r="F48" s="208">
        <f>SUMIF('Données Brutes'!A2:A26,"Résultat net",'Données Brutes'!F2:F26)+SUMIF('Données Brutes'!A38:A56,"Dotations amortissements",'Données Brutes'!F38:F56)+SUMIF('Données Brutes'!A38:A56,"Dotations provisions exploit.",'Données Brutes'!F38:F56)</f>
        <v>3785000</v>
      </c>
      <c r="G48" s="160" t="s">
        <v>285</v>
      </c>
      <c r="H48" s="449">
        <f>IFERROR((F48-E48)/ABS(E48),0)</f>
        <v>9.8693759071117562E-2</v>
      </c>
      <c r="I48" s="48" t="str">
        <f>IF(F48&gt;0,"✅ Conforme","🔴 Critique")</f>
        <v>✅ Conforme</v>
      </c>
    </row>
    <row r="49" spans="2:9" ht="18.95" customHeight="1" x14ac:dyDescent="0.25">
      <c r="B49" s="52">
        <v>35</v>
      </c>
      <c r="C49" s="57" t="s">
        <v>342</v>
      </c>
      <c r="D49" s="220">
        <f>IFERROR(ABS(SUMIF('Données Brutes'!A61:A76,"Dividendes versés",'Données Brutes'!C61:C76))/SUMIF('Données Brutes'!A2:A26,"Résultat net",'Données Brutes'!D2:D26),0)</f>
        <v>0.10126582278481013</v>
      </c>
      <c r="E49" s="221">
        <f>IFERROR(ABS(SUMIF('Données Brutes'!A61:A76,"Dividendes versés",'Données Brutes'!D61:D76))/SUMIF('Données Brutes'!A2:A26,"Résultat net",'Données Brutes'!E2:E26),0)</f>
        <v>0.12224938875305623</v>
      </c>
      <c r="F49" s="222">
        <f>IFERROR(ABS(SUMIF('Données Brutes'!A61:A76,"Dividendes versés",'Données Brutes'!E61:E76))/SUMIF('Données Brutes'!A2:A26,"Résultat net",'Données Brutes'!F2:F26),0)</f>
        <v>0.14184397163120568</v>
      </c>
      <c r="G49" s="161" t="s">
        <v>343</v>
      </c>
      <c r="H49" s="450">
        <f>IFERROR((F49-E49)/ABS(E49),0)</f>
        <v>0.16028368794326256</v>
      </c>
      <c r="I49" s="49" t="str">
        <f>IF(F49&lt;0.5,"✅ Conforme",IF(F49&lt;0.7,"⚠️ Attention","🔴 Critique"))</f>
        <v>✅ Conforme</v>
      </c>
    </row>
    <row r="50" spans="2:9" ht="18.95" customHeight="1" x14ac:dyDescent="0.25">
      <c r="B50" s="862"/>
      <c r="C50" s="57"/>
      <c r="D50" s="220"/>
      <c r="E50" s="221"/>
      <c r="F50" s="222"/>
      <c r="G50" s="161"/>
      <c r="H50" s="450"/>
      <c r="I50" s="49"/>
    </row>
    <row r="51" spans="2:9" ht="18.95" customHeight="1" x14ac:dyDescent="0.25">
      <c r="B51" s="862"/>
      <c r="C51" s="57"/>
      <c r="D51" s="220"/>
      <c r="E51" s="221"/>
      <c r="F51" s="222"/>
      <c r="G51" s="161"/>
      <c r="H51" s="450"/>
      <c r="I51" s="49"/>
    </row>
    <row r="52" spans="2:9" ht="18.95" customHeight="1" x14ac:dyDescent="0.25">
      <c r="B52" s="862"/>
      <c r="C52" s="57"/>
      <c r="D52" s="220"/>
      <c r="E52" s="221"/>
      <c r="F52" s="222"/>
      <c r="G52" s="161"/>
      <c r="H52" s="450"/>
      <c r="I52" s="49"/>
    </row>
    <row r="53" spans="2:9" ht="18.95" customHeight="1" x14ac:dyDescent="0.25">
      <c r="B53" s="862"/>
      <c r="C53" s="57"/>
      <c r="D53" s="220"/>
      <c r="E53" s="221"/>
      <c r="F53" s="222"/>
      <c r="G53" s="161"/>
      <c r="H53" s="450"/>
      <c r="I53" s="49"/>
    </row>
    <row r="54" spans="2:9" x14ac:dyDescent="0.25">
      <c r="B54" s="859"/>
      <c r="C54" s="64"/>
      <c r="D54" s="65"/>
      <c r="E54" s="66"/>
      <c r="F54" s="67"/>
      <c r="G54" s="67"/>
      <c r="H54" s="451"/>
      <c r="I54" s="67"/>
    </row>
    <row r="55" spans="2:9" x14ac:dyDescent="0.25">
      <c r="B55" s="861" t="s">
        <v>1608</v>
      </c>
      <c r="C55" s="570"/>
      <c r="D55" s="570"/>
      <c r="E55" s="570"/>
      <c r="F55" s="570"/>
      <c r="G55" s="570"/>
      <c r="H55" s="570"/>
      <c r="I55" s="570"/>
    </row>
    <row r="56" spans="2:9" x14ac:dyDescent="0.25">
      <c r="B56" s="860">
        <v>36</v>
      </c>
      <c r="C56" s="832" t="s">
        <v>1609</v>
      </c>
      <c r="D56" s="833">
        <f>IFERROR((SUMIF('Données Brutes'!A38:A56,"Chiffre d'affaires net",'Données Brutes'!D38:D56)-SUMIF('Données Brutes'!A38:A56,"Chiffre d'affaires net",'Données Brutes'!C38:C56))/SUMIF('Données Brutes'!A38:A56,"Chiffre d'affaires net",'Données Brutes'!C38:C56)+D24,0)</f>
        <v>0.18744324045407637</v>
      </c>
      <c r="E56" s="834">
        <f>IFERROR((SUMIF('Données Brutes'!A38:A56,"Chiffre d'affaires net",'Données Brutes'!E38:E56)-SUMIF('Données Brutes'!A38:A56,"Chiffre d'affaires net",'Données Brutes'!D38:D56))/SUMIF('Données Brutes'!A38:A56,"Chiffre d'affaires net",'Données Brutes'!D38:D56)+E24,0)</f>
        <v>0.18739255857765219</v>
      </c>
      <c r="F56" s="835">
        <f>IFERROR((SUMIF('Données Brutes'!A38:A56,"Chiffre d'affaires net",'Données Brutes'!F38:F56)-SUMIF('Données Brutes'!A38:A56,"Chiffre d'affaires net",'Données Brutes'!E38:E56))/SUMIF('Données Brutes'!A38:A56,"Chiffre d'affaires net",'Données Brutes'!E38:E56)+F24,0)</f>
        <v>0.23447054436987325</v>
      </c>
      <c r="G56" s="804" t="s">
        <v>1610</v>
      </c>
      <c r="H56" s="824">
        <f t="shared" ref="H56:H69" si="3">IFERROR((F56-E56)/ABS(E56),0)</f>
        <v>0.25122654895985513</v>
      </c>
      <c r="I56" s="825" t="str">
        <f>IF(F56&gt;=0.4,"✅ &gt; 40%",IF(F56&gt;=0.25,"⚠️ Acceptable","🔴 &lt; 25%"))</f>
        <v>🔴 &lt; 25%</v>
      </c>
    </row>
    <row r="57" spans="2:9" x14ac:dyDescent="0.25">
      <c r="B57" s="836">
        <v>37</v>
      </c>
      <c r="C57" s="838" t="s">
        <v>1611</v>
      </c>
      <c r="D57" s="840">
        <f>IFERROR((SUMIF('Données Brutes'!A2:A26,"Résultat net",'Données Brutes'!D2:D26)+SUMIF('Données Brutes'!A38:A56,"Dotations amortissements",'Données Brutes'!D38:D56)+SUMIF('Données Brutes'!A38:A56,"Dotations provisions exploit.",'Données Brutes'!D38:D56))/(SUMIF('Données Brutes'!A38:A56,"Chiffre d'affaires net",'Données Brutes'!D38:D56)+SUMIF('Données Brutes'!A38:A56,"Production stockée",'Données Brutes'!D38:D56)+SUMIF('Données Brutes'!A38:A56,"Production immobilisée",'Données Brutes'!D38:D56)+SUMIF('Données Brutes'!A38:A56,"Subventions exploitation",'Données Brutes'!D38:D56)-SUMIF('Données Brutes'!A38:A56,"Achats matières premières",'Données Brutes'!D38:D56)-SUMIF('Données Brutes'!A38:A56,"Variation stocks MP",'Données Brutes'!D38:D56)-SUMIF('Données Brutes'!A38:A56,"Autres achats &amp; charges ext.",'Données Brutes'!D38:D56)-SUMIF('Données Brutes'!A38:A56,"Impôts &amp; taxes",'Données Brutes'!D38:D56)-SUMIF('Données Brutes'!A38:A56,"Charges de personnel",'Données Brutes'!D38:D56)),0)</f>
        <v>0.81783919597989951</v>
      </c>
      <c r="E57" s="841">
        <f>IFERROR((SUMIF('Données Brutes'!A2:A26,"Résultat net",'Données Brutes'!E2:E26)+SUMIF('Données Brutes'!A38:A56,"Dotations amortissements",'Données Brutes'!E38:E56)+SUMIF('Données Brutes'!A38:A56,"Dotations provisions exploit.",'Données Brutes'!E38:E56))/(SUMIF('Données Brutes'!A38:A56,"Chiffre d'affaires net",'Données Brutes'!E38:E56)+SUMIF('Données Brutes'!A38:A56,"Production stockée",'Données Brutes'!E38:E56)+SUMIF('Données Brutes'!A38:A56,"Production immobilisée",'Données Brutes'!E38:E56)+SUMIF('Données Brutes'!A38:A56,"Subventions exploitation",'Données Brutes'!E38:E56)-SUMIF('Données Brutes'!A38:A56,"Achats matières premières",'Données Brutes'!E38:E56)-SUMIF('Données Brutes'!A38:A56,"Variation stocks MP",'Données Brutes'!E38:E56)-SUMIF('Données Brutes'!A38:A56,"Autres achats &amp; charges ext.",'Données Brutes'!E38:E56)-SUMIF('Données Brutes'!A38:A56,"Impôts &amp; taxes",'Données Brutes'!E38:E56)-SUMIF('Données Brutes'!A38:A56,"Charges de personnel",'Données Brutes'!E38:E56)),0)</f>
        <v>0.81538461538461537</v>
      </c>
      <c r="F57" s="842">
        <f>IFERROR((SUMIF('Données Brutes'!A2:A26,"Résultat net",'Données Brutes'!F2:F26)+SUMIF('Données Brutes'!A38:A56,"Dotations amortissements",'Données Brutes'!F38:F56)+SUMIF('Données Brutes'!A38:A56,"Dotations provisions exploit.",'Données Brutes'!F38:F56))/(SUMIF('Données Brutes'!A38:A56,"Chiffre d'affaires net",'Données Brutes'!F38:F56)+SUMIF('Données Brutes'!A38:A56,"Production stockée",'Données Brutes'!F38:F56)+SUMIF('Données Brutes'!A38:A56,"Production immobilisée",'Données Brutes'!F38:F56)+SUMIF('Données Brutes'!A38:A56,"Subventions exploitation",'Données Brutes'!F38:F56)-SUMIF('Données Brutes'!A38:A56,"Achats matières premières",'Données Brutes'!F38:F56)-SUMIF('Données Brutes'!A38:A56,"Variation stocks MP",'Données Brutes'!F38:F56)-SUMIF('Données Brutes'!A38:A56,"Autres achats &amp; charges ext.",'Données Brutes'!F38:F56)-SUMIF('Données Brutes'!A38:A56,"Impôts &amp; taxes",'Données Brutes'!F38:F56)-SUMIF('Données Brutes'!A38:A56,"Charges de personnel",'Données Brutes'!F38:F56)),0)</f>
        <v>0.79350104821802936</v>
      </c>
      <c r="G57" s="805" t="s">
        <v>1612</v>
      </c>
      <c r="H57" s="826">
        <f t="shared" si="3"/>
        <v>-2.6838337091096058E-2</v>
      </c>
      <c r="I57" s="825" t="str">
        <f>IF(F57&gt;=0.8,"✅ Conforme",IF(F57&gt;=0.6,"⚠️ Attention","🔴 Critique"))</f>
        <v>⚠️ Attention</v>
      </c>
    </row>
    <row r="58" spans="2:9" x14ac:dyDescent="0.25">
      <c r="B58" s="831">
        <v>38</v>
      </c>
      <c r="C58" s="832" t="s">
        <v>1613</v>
      </c>
      <c r="D58" s="843">
        <f>IFERROR((SUMIF('Données Brutes'!B2:B26,"Dettes Non Courantes",'Données Brutes'!D2:D26)+SUMIF('Données Brutes'!A2:A26,"Concours bancaires courants",'Données Brutes'!D2:D26)-SUMIF('Données Brutes'!A2:A26,"Trésorerie active",'Données Brutes'!D2:D26)-SUMIF('Données Brutes'!A2:A26,"VMP",'Données Brutes'!D2:D26))/(SUMIF('Données Brutes'!A38:A56,"Chiffre d'affaires net",'Données Brutes'!D38:D56)+SUMIF('Données Brutes'!A38:A56,"Production stockée",'Données Brutes'!D38:D56)+SUMIF('Données Brutes'!A38:A56,"Production immobilisée",'Données Brutes'!D38:D56)+SUMIF('Données Brutes'!A38:A56,"Subventions exploitation",'Données Brutes'!D38:D56)-SUMIF('Données Brutes'!A38:A56,"Achats matières premières",'Données Brutes'!D38:D56)-SUMIF('Données Brutes'!A38:A56,"Variation stocks MP",'Données Brutes'!D38:D56)-SUMIF('Données Brutes'!A38:A56,"Autres achats &amp; charges ext.",'Données Brutes'!D38:D56)-SUMIF('Données Brutes'!A38:A56,"Impôts &amp; taxes",'Données Brutes'!D38:D56)-SUMIF('Données Brutes'!A38:A56,"Charges de personnel",'Données Brutes'!D38:D56)),0)</f>
        <v>1.2763819095477387</v>
      </c>
      <c r="E58" s="844">
        <f>IFERROR((SUMIF('Données Brutes'!B2:B26,"Dettes Non Courantes",'Données Brutes'!E2:E26)+SUMIF('Données Brutes'!A2:A26,"Concours bancaires courants",'Données Brutes'!E2:E26)-SUMIF('Données Brutes'!A2:A26,"Trésorerie active",'Données Brutes'!E2:E26)-SUMIF('Données Brutes'!A2:A26,"VMP",'Données Brutes'!E2:E26))/(SUMIF('Données Brutes'!A38:A56,"Chiffre d'affaires net",'Données Brutes'!E38:E56)+SUMIF('Données Brutes'!A38:A56,"Production stockée",'Données Brutes'!E38:E56)+SUMIF('Données Brutes'!A38:A56,"Production immobilisée",'Données Brutes'!E38:E56)+SUMIF('Données Brutes'!A38:A56,"Subventions exploitation",'Données Brutes'!E38:E56)-SUMIF('Données Brutes'!A38:A56,"Achats matières premières",'Données Brutes'!E38:E56)-SUMIF('Données Brutes'!A38:A56,"Variation stocks MP",'Données Brutes'!E38:E56)-SUMIF('Données Brutes'!A38:A56,"Autres achats &amp; charges ext.",'Données Brutes'!E38:E56)-SUMIF('Données Brutes'!A38:A56,"Impôts &amp; taxes",'Données Brutes'!E38:E56)-SUMIF('Données Brutes'!A38:A56,"Charges de personnel",'Données Brutes'!E38:E56)),0)</f>
        <v>1.0674556213017752</v>
      </c>
      <c r="F58" s="845">
        <f>IFERROR((SUMIF('Données Brutes'!B2:B26,"Dettes Non Courantes",'Données Brutes'!F2:F26)+SUMIF('Données Brutes'!A2:A26,"Concours bancaires courants",'Données Brutes'!F2:F26)-SUMIF('Données Brutes'!A2:A26,"Trésorerie active",'Données Brutes'!F2:F26)-SUMIF('Données Brutes'!A2:A26,"VMP",'Données Brutes'!F2:F26))/(SUMIF('Données Brutes'!A38:A56,"Chiffre d'affaires net",'Données Brutes'!F38:F56)+SUMIF('Données Brutes'!A38:A56,"Production stockée",'Données Brutes'!F38:F56)+SUMIF('Données Brutes'!A38:A56,"Production immobilisée",'Données Brutes'!F38:F56)+SUMIF('Données Brutes'!A38:A56,"Subventions exploitation",'Données Brutes'!F38:F56)-SUMIF('Données Brutes'!A38:A56,"Achats matières premières",'Données Brutes'!F38:F56)-SUMIF('Données Brutes'!A38:A56,"Variation stocks MP",'Données Brutes'!F38:F56)-SUMIF('Données Brutes'!A38:A56,"Autres achats &amp; charges ext.",'Données Brutes'!F38:F56)-SUMIF('Données Brutes'!A38:A56,"Impôts &amp; taxes",'Données Brutes'!F38:F56)-SUMIF('Données Brutes'!A38:A56,"Charges de personnel",'Données Brutes'!F38:F56)),0)</f>
        <v>0.94129979035639411</v>
      </c>
      <c r="G58" s="804" t="s">
        <v>1614</v>
      </c>
      <c r="H58" s="824">
        <f t="shared" si="3"/>
        <v>-0.11818367754861087</v>
      </c>
      <c r="I58" s="827" t="str">
        <f>IF(ABS(F58)&lt;2,"✅ Conforme",IF(ABS(F58)&lt;3.5,"⚠️ Attention","🔴 Critique"))</f>
        <v>✅ Conforme</v>
      </c>
    </row>
    <row r="59" spans="2:9" x14ac:dyDescent="0.25">
      <c r="B59" s="836">
        <v>39</v>
      </c>
      <c r="C59" s="838" t="s">
        <v>1615</v>
      </c>
      <c r="D59" s="840">
        <f>IFERROR(((SUMIF('Données Brutes'!A38:A56,"Chiffre d'affaires net",'Données Brutes'!D38:D56)-SUMIF('Données Brutes'!A38:A56,"Achats matières premières",'Données Brutes'!D38:D56)-SUMIF('Données Brutes'!A38:A56,"Variation stocks MP",'Données Brutes'!D38:D56)-SUMIF('Données Brutes'!A38:A56,"Autres achats &amp; charges ext.",'Données Brutes'!D38:D56)-SUMIF('Données Brutes'!A38:A56,"Impôts &amp; taxes",'Données Brutes'!D38:D56)-SUMIF('Données Brutes'!A38:A56,"Charges de personnel",'Données Brutes'!D38:D56))-SUMIF('Données Brutes'!A38:A56,"Dotations amortissements",'Données Brutes'!D38:D56)-SUMIF('Données Brutes'!A38:A56,"Dotations provisions exploit.",'Données Brutes'!D38:D56)-SUMIF('Données Brutes'!A38:A56,"Autres charges exploitation",'Données Brutes'!D38:D56)+SUMIF('Données Brutes'!A38:A56,"Autres produits exploitation",'Données Brutes'!D38:D56))*(1-0.25)/(SUMIF('Données Brutes'!B2:B26,"Capitaux Propres",'Données Brutes'!D2:D26)+SUMIF('Données Brutes'!B2:B26,"Dettes Non Courantes",'Données Brutes'!D2:D26)+SUMIF('Données Brutes'!A2:A26,"Concours bancaires courants",'Données Brutes'!D2:D26)-SUMIF('Données Brutes'!A2:A26,"Trésorerie active",'Données Brutes'!D2:D26)-SUMIF('Données Brutes'!A2:A26,"VMP",'Données Brutes'!D2:D26)),0)</f>
        <v>0.10511531638083974</v>
      </c>
      <c r="E59" s="841">
        <f>IFERROR(((SUMIF('Données Brutes'!A38:A56,"Chiffre d'affaires net",'Données Brutes'!E38:E56)-SUMIF('Données Brutes'!A38:A56,"Achats matières premières",'Données Brutes'!E38:E56)-SUMIF('Données Brutes'!A38:A56,"Variation stocks MP",'Données Brutes'!E38:E56)-SUMIF('Données Brutes'!A38:A56,"Autres achats &amp; charges ext.",'Données Brutes'!E38:E56)-SUMIF('Données Brutes'!A38:A56,"Impôts &amp; taxes",'Données Brutes'!E38:E56)-SUMIF('Données Brutes'!A38:A56,"Charges de personnel",'Données Brutes'!E38:E56))-SUMIF('Données Brutes'!A38:A56,"Dotations amortissements",'Données Brutes'!E38:E56)-SUMIF('Données Brutes'!A38:A56,"Dotations provisions exploit.",'Données Brutes'!E38:E56)-SUMIF('Données Brutes'!A38:A56,"Autres charges exploitation",'Données Brutes'!E38:E56)+SUMIF('Données Brutes'!A38:A56,"Autres produits exploitation",'Données Brutes'!E38:E56))*(1-0.25)/(SUMIF('Données Brutes'!B2:B26,"Capitaux Propres",'Données Brutes'!E2:E26)+SUMIF('Données Brutes'!B2:B26,"Dettes Non Courantes",'Données Brutes'!E2:E26)+SUMIF('Données Brutes'!A2:A26,"Concours bancaires courants",'Données Brutes'!E2:E26)-SUMIF('Données Brutes'!A2:A26,"Trésorerie active",'Données Brutes'!E2:E26)-SUMIF('Données Brutes'!A2:A26,"VMP",'Données Brutes'!E2:E26)),0)</f>
        <v>0.13214039917412251</v>
      </c>
      <c r="F59" s="842">
        <f>IFERROR(((SUMIF('Données Brutes'!A38:A56,"Chiffre d'affaires net",'Données Brutes'!F38:F56)-SUMIF('Données Brutes'!A38:A56,"Achats matières premières",'Données Brutes'!F38:F56)-SUMIF('Données Brutes'!A38:A56,"Variation stocks MP",'Données Brutes'!F38:F56)-SUMIF('Données Brutes'!A38:A56,"Autres achats &amp; charges ext.",'Données Brutes'!F38:F56)-SUMIF('Données Brutes'!A38:A56,"Impôts &amp; taxes",'Données Brutes'!F38:F56)-SUMIF('Données Brutes'!A38:A56,"Charges de personnel",'Données Brutes'!F38:F56))-SUMIF('Données Brutes'!A38:A56,"Dotations amortissements",'Données Brutes'!F38:F56)-SUMIF('Données Brutes'!A38:A56,"Dotations provisions exploit.",'Données Brutes'!F38:F56)-SUMIF('Données Brutes'!A38:A56,"Autres charges exploitation",'Données Brutes'!F38:F56)+SUMIF('Données Brutes'!A38:A56,"Autres produits exploitation",'Données Brutes'!F38:F56))*(1-0.25)/(SUMIF('Données Brutes'!B2:B26,"Capitaux Propres",'Données Brutes'!F2:F26)+SUMIF('Données Brutes'!B2:B26,"Dettes Non Courantes",'Données Brutes'!F2:F26)+SUMIF('Données Brutes'!A2:A26,"Concours bancaires courants",'Données Brutes'!F2:F26)-SUMIF('Données Brutes'!A2:A26,"Trésorerie active",'Données Brutes'!F2:F26)-SUMIF('Données Brutes'!A2:A26,"VMP",'Données Brutes'!F2:F26)),0)</f>
        <v>0.11759729272419628</v>
      </c>
      <c r="G59" s="805" t="s">
        <v>317</v>
      </c>
      <c r="H59" s="826">
        <f t="shared" si="3"/>
        <v>-0.11005798787366051</v>
      </c>
      <c r="I59" s="827" t="str">
        <f>IF(F59&gt;'Valorisation DCF'!C22,"✅ &gt; WACC","🔴 &lt; WACC")</f>
        <v>✅ &gt; WACC</v>
      </c>
    </row>
    <row r="60" spans="2:9" x14ac:dyDescent="0.25">
      <c r="B60" s="831">
        <v>40</v>
      </c>
      <c r="C60" s="832" t="s">
        <v>1616</v>
      </c>
      <c r="D60" s="846">
        <f>IFERROR((D59-'Valorisation DCF'!C22)*(SUMIF('Données Brutes'!B2:B26,"Capitaux Propres",'Données Brutes'!D2:D26)+SUMIF('Données Brutes'!B2:B26,"Dettes Non Courantes",'Données Brutes'!D2:D26)+SUMIF('Données Brutes'!A2:A26,"Concours bancaires courants",'Données Brutes'!D2:D26)-SUMIF('Données Brutes'!A2:A26,"Trésorerie active",'Données Brutes'!D2:D26)-SUMIF('Données Brutes'!A2:A26,"VMP",'Données Brutes'!D2:D26)),0)</f>
        <v>633817.82130534784</v>
      </c>
      <c r="E60" s="847">
        <f>IFERROR((E59-'Valorisation DCF'!C22)*(SUMIF('Données Brutes'!B2:B26,"Capitaux Propres",'Données Brutes'!E2:E26)+SUMIF('Données Brutes'!B2:B26,"Dettes Non Courantes",'Données Brutes'!E2:E26)+SUMIF('Données Brutes'!A2:A26,"Concours bancaires courants",'Données Brutes'!E2:E26)-SUMIF('Données Brutes'!A2:A26,"Trésorerie active",'Données Brutes'!E2:E26)-SUMIF('Données Brutes'!A2:A26,"VMP",'Données Brutes'!E2:E26)),0)</f>
        <v>937285.50819436472</v>
      </c>
      <c r="F60" s="848">
        <f>IFERROR((F59-'Valorisation DCF'!C22)*(SUMIF('Données Brutes'!B2:B26,"Capitaux Propres",'Données Brutes'!F2:F26)+SUMIF('Données Brutes'!B2:B26,"Dettes Non Courantes",'Données Brutes'!F2:F26)+SUMIF('Données Brutes'!A2:A26,"Concours bancaires courants",'Données Brutes'!F2:F26)-SUMIF('Données Brutes'!A2:A26,"Trésorerie active",'Données Brutes'!F2:F26)-SUMIF('Données Brutes'!A2:A26,"VMP",'Données Brutes'!F2:F26)),0)</f>
        <v>885858.36615871196</v>
      </c>
      <c r="G60" s="804" t="s">
        <v>1617</v>
      </c>
      <c r="H60" s="828">
        <f t="shared" si="3"/>
        <v>-5.4868171529425087E-2</v>
      </c>
      <c r="I60" s="827" t="str">
        <f>IF(F60&gt;0,"✅ Création","🔴 Destruction")</f>
        <v>✅ Création</v>
      </c>
    </row>
    <row r="61" spans="2:9" x14ac:dyDescent="0.25">
      <c r="B61" s="836">
        <v>41</v>
      </c>
      <c r="C61" s="838" t="s">
        <v>1618</v>
      </c>
      <c r="D61" s="849">
        <f>D20</f>
        <v>2.7146526175636745</v>
      </c>
      <c r="E61" s="851">
        <f>E20</f>
        <v>3.0062858036237063</v>
      </c>
      <c r="F61" s="853">
        <f>F20</f>
        <v>2.9382453126911403</v>
      </c>
      <c r="G61" s="805" t="s">
        <v>102</v>
      </c>
      <c r="H61" s="826">
        <f t="shared" si="3"/>
        <v>-2.2632741986989932E-2</v>
      </c>
      <c r="I61" s="825" t="str">
        <f>IF(F61&gt;=2.99,"✅ Sain",IF(F61&gt;=1.81,"⚠️ Zone Grise","🔴 Risque"))</f>
        <v>⚠️ Zone Grise</v>
      </c>
    </row>
    <row r="62" spans="2:9" x14ac:dyDescent="0.25">
      <c r="B62" s="831">
        <v>42</v>
      </c>
      <c r="C62" s="832" t="s">
        <v>1619</v>
      </c>
      <c r="D62" s="833">
        <f>IF(SUMIF('Données Brutes'!A2:A26,"Résultat net",'Données Brutes'!D2:D26)/(SUMIF('Données Brutes'!B2:B26,"Actif Non Courant",'Données Brutes'!D2:D26)+SUMIF('Données Brutes'!B2:B26,"Actif Courant",'Données Brutes'!D2:D26))&gt;0,1,0)+IF((SUMIF('Données Brutes'!A2:A26,"Résultat net",'Données Brutes'!D2:D26)+SUMIF('Données Brutes'!A38:A56,"Dotations amortissements",'Données Brutes'!D38:D56))&gt;0,1,0)+IF(SUMIF('Données Brutes'!A2:A26,"Résultat net",'Données Brutes'!D2:D26)/(SUMIF('Données Brutes'!B2:B26,"Actif Non Courant",'Données Brutes'!D2:D26)+SUMIF('Données Brutes'!B2:B26,"Actif Courant",'Données Brutes'!D2:D26))&gt;SUMIF('Données Brutes'!A2:A26,"Résultat net",'Données Brutes'!C2:C26)/(SUMIF('Données Brutes'!B2:B26,"Actif Non Courant",'Données Brutes'!C2:C26)+SUMIF('Données Brutes'!B2:B26,"Actif Courant",'Données Brutes'!C2:C26)),1,0)+IF((SUMIF('Données Brutes'!A2:A26,"Résultat net",'Données Brutes'!D2:D26)+SUMIF('Données Brutes'!A38:A56,"Dotations amortissements",'Données Brutes'!D38:D56))&gt;SUMIF('Données Brutes'!A2:A26,"Résultat net",'Données Brutes'!D2:D26),1,0)+IF(SUMIF('Données Brutes'!B2:B26,"Dettes Non Courantes",'Données Brutes'!D2:D26)/(SUMIF('Données Brutes'!B2:B26,"Actif Non Courant",'Données Brutes'!D2:D26)+SUMIF('Données Brutes'!B2:B26,"Actif Courant",'Données Brutes'!D2:D26))&lt;SUMIF('Données Brutes'!B2:B26,"Dettes Non Courantes",'Données Brutes'!C2:C26)/(SUMIF('Données Brutes'!B2:B26,"Actif Non Courant",'Données Brutes'!C2:C26)+SUMIF('Données Brutes'!B2:B26,"Actif Courant",'Données Brutes'!C2:C26)),1,0)+IF(D6&gt;IFERROR(SUMIF('Données Brutes'!B2:B26,"Actif Courant",'Données Brutes'!C2:C26)/SUMIF('Données Brutes'!B2:B26,"Dettes Courantes",'Données Brutes'!C2:C26),0),1,0)+IF(SUMIF('Données Brutes'!A2:A26,"Capital social",'Données Brutes'!D2:D26)&lt;=SUMIF('Données Brutes'!A2:A26,"Capital social",'Données Brutes'!C2:C26),1,0)+IF(D23&gt;IFERROR((SUMIF('Données Brutes'!A38:A56,"Chiffre d'affaires net",'Données Brutes'!C38:C56)-SUMIF('Données Brutes'!A38:A56,"Achats matières premières",'Données Brutes'!C38:C56)-SUMIF('Données Brutes'!A38:A56,"Variation stocks MP",'Données Brutes'!C38:C56)-SUMIF('Données Brutes'!A38:A56,"Autres achats &amp; charges ext.",'Données Brutes'!C38:C56))/SUMIF('Données Brutes'!A38:A56,"Chiffre d'affaires net",'Données Brutes'!C38:C56),0),1,0)+IF(SUMIF('Données Brutes'!A38:A56,"Chiffre d'affaires net",'Données Brutes'!D38:D56)/(SUMIF('Données Brutes'!B2:B26,"Actif Non Courant",'Données Brutes'!D2:D26)+SUMIF('Données Brutes'!B2:B26,"Actif Courant",'Données Brutes'!D2:D26))&gt;SUMIF('Données Brutes'!A38:A56,"Chiffre d'affaires net",'Données Brutes'!C38:C56)/(SUMIF('Données Brutes'!B2:B26,"Actif Non Courant",'Données Brutes'!C2:C26)+SUMIF('Données Brutes'!B2:B26,"Actif Courant",'Données Brutes'!C2:C26)),1,0)</f>
        <v>8</v>
      </c>
      <c r="E62" s="854">
        <f>IF(SUMIF('Données Brutes'!A2:A26,"Résultat net",'Données Brutes'!E2:E26)/(SUMIF('Données Brutes'!B2:B26,"Actif Non Courant",'Données Brutes'!E2:E26)+SUMIF('Données Brutes'!B2:B26,"Actif Courant",'Données Brutes'!E2:E26))&gt;0,1,0)+IF((SUMIF('Données Brutes'!A2:A26,"Résultat net",'Données Brutes'!E2:E26)+SUMIF('Données Brutes'!A38:A56,"Dotations amortissements",'Données Brutes'!E38:E56))&gt;0,1,0)+IF(SUMIF('Données Brutes'!A2:A26,"Résultat net",'Données Brutes'!E2:E26)/(SUMIF('Données Brutes'!B2:B26,"Actif Non Courant",'Données Brutes'!E2:E26)+SUMIF('Données Brutes'!B2:B26,"Actif Courant",'Données Brutes'!E2:E26))&gt;SUMIF('Données Brutes'!A2:A26,"Résultat net",'Données Brutes'!D2:D26)/(SUMIF('Données Brutes'!B2:B26,"Actif Non Courant",'Données Brutes'!D2:D26)+SUMIF('Données Brutes'!B2:B26,"Actif Courant",'Données Brutes'!D2:D26)),1,0)+IF((SUMIF('Données Brutes'!A2:A26,"Résultat net",'Données Brutes'!E2:E26)+SUMIF('Données Brutes'!A38:A56,"Dotations amortissements",'Données Brutes'!E38:E56))&gt;SUMIF('Données Brutes'!A2:A26,"Résultat net",'Données Brutes'!E2:E26),1,0)+IF(SUMIF('Données Brutes'!B2:B26,"Dettes Non Courantes",'Données Brutes'!E2:E26)/(SUMIF('Données Brutes'!B2:B26,"Actif Non Courant",'Données Brutes'!E2:E26)+SUMIF('Données Brutes'!B2:B26,"Actif Courant",'Données Brutes'!E2:E26))&lt;SUMIF('Données Brutes'!B2:B26,"Dettes Non Courantes",'Données Brutes'!D2:D26)/(SUMIF('Données Brutes'!B2:B26,"Actif Non Courant",'Données Brutes'!D2:D26)+SUMIF('Données Brutes'!B2:B26,"Actif Courant",'Données Brutes'!D2:D26)),1,0)+IF(E6&gt;D6,1,0)+IF(SUMIF('Données Brutes'!A2:A26,"Capital social",'Données Brutes'!E2:E26)&lt;=SUMIF('Données Brutes'!A2:A26,"Capital social",'Données Brutes'!D2:D26),1,0)+IF(E23&gt;D23,1,0)+IF(SUMIF('Données Brutes'!A38:A56,"Chiffre d'affaires net",'Données Brutes'!E38:E56)/(SUMIF('Données Brutes'!B2:B26,"Actif Non Courant",'Données Brutes'!E2:E26)+SUMIF('Données Brutes'!B2:B26,"Actif Courant",'Données Brutes'!E2:E26))&gt;SUMIF('Données Brutes'!A38:A56,"Chiffre d'affaires net",'Données Brutes'!D38:D56)/(SUMIF('Données Brutes'!B2:B26,"Actif Non Courant",'Données Brutes'!D2:D26)+SUMIF('Données Brutes'!B2:B26,"Actif Courant",'Données Brutes'!D2:D26)),1,0)</f>
        <v>8</v>
      </c>
      <c r="F62" s="855">
        <f>IF(SUMIF('Données Brutes'!A2:A26,"Résultat net",'Données Brutes'!F2:F26)/(SUMIF('Données Brutes'!B2:B26,"Actif Non Courant",'Données Brutes'!F2:F26)+SUMIF('Données Brutes'!B2:B26,"Actif Courant",'Données Brutes'!F2:F26))&gt;0,1,0)+IF((SUMIF('Données Brutes'!A2:A26,"Résultat net",'Données Brutes'!F2:F26)+SUMIF('Données Brutes'!A38:A56,"Dotations amortissements",'Données Brutes'!F38:F56))&gt;0,1,0)+IF(SUMIF('Données Brutes'!A2:A26,"Résultat net",'Données Brutes'!F2:F26)/(SUMIF('Données Brutes'!B2:B26,"Actif Non Courant",'Données Brutes'!F2:F26)+SUMIF('Données Brutes'!B2:B26,"Actif Courant",'Données Brutes'!F2:F26))&gt;SUMIF('Données Brutes'!A2:A26,"Résultat net",'Données Brutes'!E2:E26)/(SUMIF('Données Brutes'!B2:B26,"Actif Non Courant",'Données Brutes'!E2:E26)+SUMIF('Données Brutes'!B2:B26,"Actif Courant",'Données Brutes'!E2:E26)),1,0)+IF((SUMIF('Données Brutes'!A2:A26,"Résultat net",'Données Brutes'!F2:F26)+SUMIF('Données Brutes'!A38:A56,"Dotations amortissements",'Données Brutes'!F38:F56))&gt;SUMIF('Données Brutes'!A2:A26,"Résultat net",'Données Brutes'!F2:F26),1,0)+IF(SUMIF('Données Brutes'!B2:B26,"Dettes Non Courantes",'Données Brutes'!F2:F26)/(SUMIF('Données Brutes'!B2:B26,"Actif Non Courant",'Données Brutes'!F2:F26)+SUMIF('Données Brutes'!B2:B26,"Actif Courant",'Données Brutes'!F2:F26))&lt;SUMIF('Données Brutes'!B2:B26,"Dettes Non Courantes",'Données Brutes'!E2:E26)/(SUMIF('Données Brutes'!B2:B26,"Actif Non Courant",'Données Brutes'!E2:E26)+SUMIF('Données Brutes'!B2:B26,"Actif Courant",'Données Brutes'!E2:E26)),1,0)+IF(F6&gt;E6,1,0)+IF(SUMIF('Données Brutes'!A2:A26,"Capital social",'Données Brutes'!F2:F26)&lt;=SUMIF('Données Brutes'!A2:A26,"Capital social",'Données Brutes'!E2:E26),1,0)+IF(F23&gt;E23,1,0)+IF(SUMIF('Données Brutes'!A38:A56,"Chiffre d'affaires net",'Données Brutes'!F38:F56)/(SUMIF('Données Brutes'!B2:B26,"Actif Non Courant",'Données Brutes'!F2:F26)+SUMIF('Données Brutes'!B2:B26,"Actif Courant",'Données Brutes'!F2:F26))&gt;SUMIF('Données Brutes'!A38:A56,"Chiffre d'affaires net",'Données Brutes'!E38:E56)/(SUMIF('Données Brutes'!B2:B26,"Actif Non Courant",'Données Brutes'!E2:E26)+SUMIF('Données Brutes'!B2:B26,"Actif Courant",'Données Brutes'!E2:E26)),1,0)</f>
        <v>5</v>
      </c>
      <c r="G62" s="804" t="s">
        <v>1620</v>
      </c>
      <c r="H62" s="828">
        <f t="shared" si="3"/>
        <v>-0.375</v>
      </c>
      <c r="I62" s="825" t="str">
        <f>IF(F62&gt;=8,"✅ Excellent",IF(F62&gt;=5,"⚠️ Moyen","🔴 Faible"))</f>
        <v>⚠️ Moyen</v>
      </c>
    </row>
    <row r="63" spans="2:9" x14ac:dyDescent="0.25">
      <c r="B63" s="836">
        <v>43</v>
      </c>
      <c r="C63" s="838" t="s">
        <v>1621</v>
      </c>
      <c r="D63" s="849">
        <f>IFERROR(((SUMIF('Données Brutes'!A38:A56,"Chiffre d'affaires net",'Données Brutes'!D38:D56)-SUMIF('Données Brutes'!A38:A56,"Achats matières premières",'Données Brutes'!D38:D56)-SUMIF('Données Brutes'!A38:A56,"Variation stocks MP",'Données Brutes'!D38:D56)-SUMIF('Données Brutes'!A38:A56,"Autres achats &amp; charges ext.",'Données Brutes'!D38:D56)-SUMIF('Données Brutes'!A38:A56,"Impôts &amp; taxes",'Données Brutes'!D38:D56)-SUMIF('Données Brutes'!A38:A56,"Charges de personnel",'Données Brutes'!D38:D56))-SUMIF('Données Brutes'!A38:A56,"Dotations amortissements",'Données Brutes'!D38:D56)-SUMIF('Données Brutes'!A38:A56,"Dotations provisions exploit.",'Données Brutes'!D38:D56)-SUMIF('Données Brutes'!A38:A56,"Autres charges exploitation",'Données Brutes'!D38:D56)+SUMIF('Données Brutes'!A38:A56,"Autres produits exploitation",'Données Brutes'!D38:D56))/ABS(SUMIF('Données Brutes'!A38:A56,"Charges financières",'Données Brutes'!D38:D56)),0)</f>
        <v>6.2368421052631575</v>
      </c>
      <c r="E63" s="851">
        <f>IFERROR(((SUMIF('Données Brutes'!A38:A56,"Chiffre d'affaires net",'Données Brutes'!E38:E56)-SUMIF('Données Brutes'!A38:A56,"Achats matières premières",'Données Brutes'!E38:E56)-SUMIF('Données Brutes'!A38:A56,"Variation stocks MP",'Données Brutes'!E38:E56)-SUMIF('Données Brutes'!A38:A56,"Autres achats &amp; charges ext.",'Données Brutes'!E38:E56)-SUMIF('Données Brutes'!A38:A56,"Impôts &amp; taxes",'Données Brutes'!E38:E56)-SUMIF('Données Brutes'!A38:A56,"Charges de personnel",'Données Brutes'!E38:E56))-SUMIF('Données Brutes'!A38:A56,"Dotations amortissements",'Données Brutes'!E38:E56)-SUMIF('Données Brutes'!A38:A56,"Dotations provisions exploit.",'Données Brutes'!E38:E56)-SUMIF('Données Brutes'!A38:A56,"Autres charges exploitation",'Données Brutes'!E38:E56)+SUMIF('Données Brutes'!A38:A56,"Autres produits exploitation",'Données Brutes'!E38:E56))/ABS(SUMIF('Données Brutes'!A38:A56,"Charges financières",'Données Brutes'!E38:E56)),0)</f>
        <v>7.5294117647058822</v>
      </c>
      <c r="F63" s="853">
        <f>IFERROR(((SUMIF('Données Brutes'!A38:A56,"Chiffre d'affaires net",'Données Brutes'!F38:F56)-SUMIF('Données Brutes'!A38:A56,"Achats matières premières",'Données Brutes'!F38:F56)-SUMIF('Données Brutes'!A38:A56,"Variation stocks MP",'Données Brutes'!F38:F56)-SUMIF('Données Brutes'!A38:A56,"Autres achats &amp; charges ext.",'Données Brutes'!F38:F56)-SUMIF('Données Brutes'!A38:A56,"Impôts &amp; taxes",'Données Brutes'!F38:F56)-SUMIF('Données Brutes'!A38:A56,"Charges de personnel",'Données Brutes'!F38:F56))-SUMIF('Données Brutes'!A38:A56,"Dotations amortissements",'Données Brutes'!F38:F56)-SUMIF('Données Brutes'!A38:A56,"Dotations provisions exploit.",'Données Brutes'!F38:F56)-SUMIF('Données Brutes'!A38:A56,"Autres charges exploitation",'Données Brutes'!F38:F56)+SUMIF('Données Brutes'!A38:A56,"Autres produits exploitation",'Données Brutes'!F38:F56))/ABS(SUMIF('Données Brutes'!A38:A56,"Charges financières",'Données Brutes'!F38:F56)),0)</f>
        <v>7.1282051282051286</v>
      </c>
      <c r="G63" s="805" t="s">
        <v>301</v>
      </c>
      <c r="H63" s="826">
        <f t="shared" si="3"/>
        <v>-5.3285256410256339E-2</v>
      </c>
      <c r="I63" s="827" t="str">
        <f>IF(F63&gt;=6,"✅ Très Sain",IF(F63&gt;=3,"✅ Conforme",IF(F63&gt;=1.5,"⚠️ Attention","🔴 Critique")))</f>
        <v>✅ Très Sain</v>
      </c>
    </row>
    <row r="64" spans="2:9" x14ac:dyDescent="0.25">
      <c r="B64" s="831">
        <v>44</v>
      </c>
      <c r="C64" s="832" t="s">
        <v>1622</v>
      </c>
      <c r="D64" s="856">
        <f>IFERROR((SUMIF('Données Brutes'!A2:A26,"Résultat net",'Données Brutes'!D2:D26)+SUMIF('Données Brutes'!A38:A56,"Dotations amortissements",'Données Brutes'!D38:D56)+SUMIF('Données Brutes'!A38:A56,"Dotations provisions exploit.",'Données Brutes'!D38:D56))/SUMIF('Données Brutes'!A38:A56,"Chiffre d'affaires net",'Données Brutes'!D38:D56),0)</f>
        <v>0.11421052631578947</v>
      </c>
      <c r="E64" s="834">
        <f>IFERROR((SUMIF('Données Brutes'!A2:A26,"Résultat net",'Données Brutes'!E2:E26)+SUMIF('Données Brutes'!A38:A56,"Dotations amortissements",'Données Brutes'!E38:E56)+SUMIF('Données Brutes'!A38:A56,"Dotations provisions exploit.",'Données Brutes'!E38:E56))/SUMIF('Données Brutes'!A38:A56,"Chiffre d'affaires net",'Données Brutes'!E38:E56),0)</f>
        <v>0.11560402684563759</v>
      </c>
      <c r="F64" s="835">
        <f>IFERROR((SUMIF('Données Brutes'!A2:A26,"Résultat net",'Données Brutes'!F2:F26)+SUMIF('Données Brutes'!A38:A56,"Dotations amortissements",'Données Brutes'!F38:F56)+SUMIF('Données Brutes'!A38:A56,"Dotations provisions exploit.",'Données Brutes'!F38:F56))/SUMIF('Données Brutes'!A38:A56,"Chiffre d'affaires net",'Données Brutes'!F38:F56),0)</f>
        <v>0.11682098765432099</v>
      </c>
      <c r="G64" s="804" t="s">
        <v>311</v>
      </c>
      <c r="H64" s="824">
        <f t="shared" si="3"/>
        <v>1.0526975935780943E-2</v>
      </c>
      <c r="I64" s="827" t="str">
        <f>IF(F64&gt;=0.15,"✅ Excellent",IF(F64&gt;=0.08,"✅ Conforme",IF(F64&gt;=0.04,"⚠️ Attention","🔴 Critique")))</f>
        <v>✅ Conforme</v>
      </c>
    </row>
    <row r="65" spans="2:9" x14ac:dyDescent="0.25">
      <c r="B65" s="836">
        <v>45</v>
      </c>
      <c r="C65" s="838" t="s">
        <v>1623</v>
      </c>
      <c r="D65" s="857" t="s">
        <v>1632</v>
      </c>
      <c r="E65" s="858" t="s">
        <v>1632</v>
      </c>
      <c r="F65" s="842">
        <f>IFERROR('Valorisation DCF'!C43/'Valorisation DCF'!C58,0)</f>
        <v>8.358954998567969E-2</v>
      </c>
      <c r="G65" s="805" t="s">
        <v>313</v>
      </c>
      <c r="H65" s="829">
        <f t="shared" si="3"/>
        <v>0</v>
      </c>
      <c r="I65" s="827" t="str">
        <f>IF(F65&gt;=0.08,"✅ Très Attractif",IF(F65&gt;=0.05,"✅ Attractif",IF(F65&gt;=0.03,"⚠️ Neutre","🔴 Cher")))</f>
        <v>✅ Très Attractif</v>
      </c>
    </row>
    <row r="66" spans="2:9" x14ac:dyDescent="0.25">
      <c r="B66" s="831">
        <v>46</v>
      </c>
      <c r="C66" s="832" t="s">
        <v>1624</v>
      </c>
      <c r="D66" s="856">
        <f>IFERROR(((SUMIF('Données Brutes'!A38:A56,"Chiffre d'affaires net",'Données Brutes'!D38:D56)-SUMIF('Données Brutes'!A38:A56,"Achats matières premières",'Données Brutes'!D38:D56)-SUMIF('Données Brutes'!A38:A56,"Variation stocks MP",'Données Brutes'!D38:D56)-SUMIF('Données Brutes'!A38:A56,"Autres achats &amp; charges ext.",'Données Brutes'!D38:D56)-SUMIF('Données Brutes'!A38:A56,"Impôts &amp; taxes",'Données Brutes'!D38:D56)-SUMIF('Données Brutes'!A38:A56,"Charges de personnel",'Données Brutes'!D38:D56))-SUMIF('Données Brutes'!A38:A56,"Dotations amortissements",'Données Brutes'!D38:D56)-SUMIF('Données Brutes'!A38:A56,"Dotations provisions exploit.",'Données Brutes'!D38:D56)-SUMIF('Données Brutes'!A38:A56,"Autres charges exploitation",'Données Brutes'!D38:D56)+SUMIF('Données Brutes'!A38:A56,"Autres produits exploitation",'Données Brutes'!D38:D56))/'Valorisation DCF'!C58,0)</f>
        <v>9.045992395710542E-2</v>
      </c>
      <c r="E66" s="834">
        <f>IFERROR(((SUMIF('Données Brutes'!A38:A56,"Chiffre d'affaires net",'Données Brutes'!E38:E56)-SUMIF('Données Brutes'!A38:A56,"Achats matières premières",'Données Brutes'!E38:E56)-SUMIF('Données Brutes'!A38:A56,"Variation stocks MP",'Données Brutes'!E38:E56)-SUMIF('Données Brutes'!A38:A56,"Autres achats &amp; charges ext.",'Données Brutes'!E38:E56)-SUMIF('Données Brutes'!A38:A56,"Impôts &amp; taxes",'Données Brutes'!E38:E56)-SUMIF('Données Brutes'!A38:A56,"Charges de personnel",'Données Brutes'!E38:E56))-SUMIF('Données Brutes'!A38:A56,"Dotations amortissements",'Données Brutes'!E38:E56)-SUMIF('Données Brutes'!A38:A56,"Dotations provisions exploit.",'Données Brutes'!E38:E56)-SUMIF('Données Brutes'!A38:A56,"Autres charges exploitation",'Données Brutes'!E38:E56)+SUMIF('Données Brutes'!A38:A56,"Autres produits exploitation",'Données Brutes'!E38:E56))/'Valorisation DCF'!C58,0)</f>
        <v>9.771198537138813E-2</v>
      </c>
      <c r="F66" s="835">
        <f>IFERROR(((SUMIF('Données Brutes'!A38:A56,"Chiffre d'affaires net",'Données Brutes'!F38:F56)-SUMIF('Données Brutes'!A38:A56,"Achats matières premières",'Données Brutes'!F38:F56)-SUMIF('Données Brutes'!A38:A56,"Variation stocks MP",'Données Brutes'!F38:F56)-SUMIF('Données Brutes'!A38:A56,"Autres achats &amp; charges ext.",'Données Brutes'!F38:F56)-SUMIF('Données Brutes'!A38:A56,"Impôts &amp; taxes",'Données Brutes'!F38:F56)-SUMIF('Données Brutes'!A38:A56,"Charges de personnel",'Données Brutes'!F38:F56))-SUMIF('Données Brutes'!A38:A56,"Dotations amortissements",'Données Brutes'!F38:F56)-SUMIF('Données Brutes'!A38:A56,"Dotations provisions exploit.",'Données Brutes'!F38:F56)-SUMIF('Données Brutes'!A38:A56,"Autres charges exploitation",'Données Brutes'!F38:F56)+SUMIF('Données Brutes'!A38:A56,"Autres produits exploitation",'Données Brutes'!F38:F56))/'Valorisation DCF'!C58,0)</f>
        <v>0.1061091091142418</v>
      </c>
      <c r="G66" s="804" t="s">
        <v>1625</v>
      </c>
      <c r="H66" s="824">
        <f t="shared" si="3"/>
        <v>8.5937500000000069E-2</v>
      </c>
      <c r="I66" s="827" t="str">
        <f>IF(F66&gt;=0.15,"✅ Élevé",IF(F66&gt;=0.08,"⚠️ Moyen","🔴 Faible"))</f>
        <v>⚠️ Moyen</v>
      </c>
    </row>
    <row r="67" spans="2:9" x14ac:dyDescent="0.25">
      <c r="B67" s="836">
        <v>47</v>
      </c>
      <c r="C67" s="838" t="s">
        <v>1626</v>
      </c>
      <c r="D67" s="840">
        <f>IFERROR(D27*(1-D49),0)</f>
        <v>0.15004226542688082</v>
      </c>
      <c r="E67" s="841">
        <f>IFERROR(E27*(1-E49),0)</f>
        <v>0.17914171656686628</v>
      </c>
      <c r="F67" s="842">
        <f>IFERROR(F27*(1-F49),0)</f>
        <v>0.13708459214501509</v>
      </c>
      <c r="G67" s="805" t="s">
        <v>1627</v>
      </c>
      <c r="H67" s="826">
        <f t="shared" si="3"/>
        <v>-0.23477013187016654</v>
      </c>
      <c r="I67" s="827" t="str">
        <f>IF(F67&gt;=0.08,"✅ Conforme",IF(F67&gt;=0.04,"⚠️ Attention","🔴 Critique"))</f>
        <v>✅ Conforme</v>
      </c>
    </row>
    <row r="68" spans="2:9" x14ac:dyDescent="0.25">
      <c r="B68" s="831">
        <v>48</v>
      </c>
      <c r="C68" s="832" t="s">
        <v>1628</v>
      </c>
      <c r="D68" s="856">
        <f>IFERROR((1-SUMIF('Données Brutes'!A38:A56,"Impôt sur les sociétés",'Données Brutes'!D38:D56)/(SUMIF('Données Brutes'!A2:A26,"Résultat net",'Données Brutes'!D2:D26)+SUMIF('Données Brutes'!A38:A56,"Impôt sur les sociétés",'Données Brutes'!D38:D56)))*((SUMIF('Données Brutes'!A2:A26,"Résultat net",'Données Brutes'!D2:D26)+SUMIF('Données Brutes'!A38:A56,"Impôt sur les sociétés",'Données Brutes'!D38:D56))/((SUMIF('Données Brutes'!A38:A56,"Chiffre d'affaires net",'Données Brutes'!D38:D56)-SUMIF('Données Brutes'!A38:A56,"Achats matières premières",'Données Brutes'!D38:D56)-SUMIF('Données Brutes'!A38:A56,"Variation stocks MP",'Données Brutes'!D38:D56)-SUMIF('Données Brutes'!A38:A56,"Autres achats &amp; charges ext.",'Données Brutes'!D38:D56)-SUMIF('Données Brutes'!A38:A56,"Impôts &amp; taxes",'Données Brutes'!D38:D56)-SUMIF('Données Brutes'!A38:A56,"Charges de personnel",'Données Brutes'!D38:D56))-SUMIF('Données Brutes'!A38:A56,"Dotations amortissements",'Données Brutes'!D38:D56)-SUMIF('Données Brutes'!A38:A56,"Dotations provisions exploit.",'Données Brutes'!D38:D56)-SUMIF('Données Brutes'!A38:A56,"Autres charges exploitation",'Données Brutes'!D38:D56)+SUMIF('Données Brutes'!A38:A56,"Autres produits exploitation",'Données Brutes'!D38:D56)))*D25*(SUMIF('Données Brutes'!A38:A56,"Chiffre d'affaires net",'Données Brutes'!D38:D56)/(SUMIF('Données Brutes'!B2:B26,"Actif Non Courant",'Données Brutes'!D2:D26)+SUMIF('Données Brutes'!B2:B26,"Actif Courant",'Données Brutes'!D2:D26)))*((SUMIF('Données Brutes'!B2:B26,"Actif Non Courant",'Données Brutes'!D2:D26)+SUMIF('Données Brutes'!B2:B26,"Actif Courant",'Données Brutes'!D2:D26))/SUMIF('Données Brutes'!B2:B26,"Capitaux Propres",'Données Brutes'!D2:D26)),0)</f>
        <v>0.16694843617920543</v>
      </c>
      <c r="E68" s="834">
        <f>IFERROR((1-SUMIF('Données Brutes'!A38:A56,"Impôt sur les sociétés",'Données Brutes'!E38:E56)/(SUMIF('Données Brutes'!A2:A26,"Résultat net",'Données Brutes'!E2:E26)+SUMIF('Données Brutes'!A38:A56,"Impôt sur les sociétés",'Données Brutes'!E38:E56)))*((SUMIF('Données Brutes'!A2:A26,"Résultat net",'Données Brutes'!E2:E26)+SUMIF('Données Brutes'!A38:A56,"Impôt sur les sociétés",'Données Brutes'!E38:E56))/((SUMIF('Données Brutes'!A38:A56,"Chiffre d'affaires net",'Données Brutes'!E38:E56)-SUMIF('Données Brutes'!A38:A56,"Achats matières premières",'Données Brutes'!E38:E56)-SUMIF('Données Brutes'!A38:A56,"Variation stocks MP",'Données Brutes'!E38:E56)-SUMIF('Données Brutes'!A38:A56,"Autres achats &amp; charges ext.",'Données Brutes'!E38:E56)-SUMIF('Données Brutes'!A38:A56,"Impôts &amp; taxes",'Données Brutes'!E38:E56)-SUMIF('Données Brutes'!A38:A56,"Charges de personnel",'Données Brutes'!E38:E56))-SUMIF('Données Brutes'!A38:A56,"Dotations amortissements",'Données Brutes'!E38:E56)-SUMIF('Données Brutes'!A38:A56,"Dotations provisions exploit.",'Données Brutes'!E38:E56)-SUMIF('Données Brutes'!A38:A56,"Autres charges exploitation",'Données Brutes'!E38:E56)+SUMIF('Données Brutes'!A38:A56,"Autres produits exploitation",'Données Brutes'!E38:E56)))*E25*(SUMIF('Données Brutes'!A38:A56,"Chiffre d'affaires net",'Données Brutes'!E38:E56)/(SUMIF('Données Brutes'!B2:B26,"Actif Non Courant",'Données Brutes'!E2:E26)+SUMIF('Données Brutes'!B2:B26,"Actif Courant",'Données Brutes'!E2:E26)))*((SUMIF('Données Brutes'!B2:B26,"Actif Non Courant",'Données Brutes'!E2:E26)+SUMIF('Données Brutes'!B2:B26,"Actif Courant",'Données Brutes'!E2:E26))/SUMIF('Données Brutes'!B2:B26,"Capitaux Propres",'Données Brutes'!E2:E26)),0)</f>
        <v>0.20409181636726545</v>
      </c>
      <c r="F68" s="835">
        <f>IFERROR((1-SUMIF('Données Brutes'!A38:A56,"Impôt sur les sociétés",'Données Brutes'!F38:F56)/(SUMIF('Données Brutes'!A2:A26,"Résultat net",'Données Brutes'!F2:F26)+SUMIF('Données Brutes'!A38:A56,"Impôt sur les sociétés",'Données Brutes'!F38:F56)))*((SUMIF('Données Brutes'!A2:A26,"Résultat net",'Données Brutes'!F2:F26)+SUMIF('Données Brutes'!A38:A56,"Impôt sur les sociétés",'Données Brutes'!F38:F56))/((SUMIF('Données Brutes'!A38:A56,"Chiffre d'affaires net",'Données Brutes'!F38:F56)-SUMIF('Données Brutes'!A38:A56,"Achats matières premières",'Données Brutes'!F38:F56)-SUMIF('Données Brutes'!A38:A56,"Variation stocks MP",'Données Brutes'!F38:F56)-SUMIF('Données Brutes'!A38:A56,"Autres achats &amp; charges ext.",'Données Brutes'!F38:F56)-SUMIF('Données Brutes'!A38:A56,"Impôts &amp; taxes",'Données Brutes'!F38:F56)-SUMIF('Données Brutes'!A38:A56,"Charges de personnel",'Données Brutes'!F38:F56))-SUMIF('Données Brutes'!A38:A56,"Dotations amortissements",'Données Brutes'!F38:F56)-SUMIF('Données Brutes'!A38:A56,"Dotations provisions exploit.",'Données Brutes'!F38:F56)-SUMIF('Données Brutes'!A38:A56,"Autres charges exploitation",'Données Brutes'!F38:F56)+SUMIF('Données Brutes'!A38:A56,"Autres produits exploitation",'Données Brutes'!F38:F56)))*F25*(SUMIF('Données Brutes'!A38:A56,"Chiffre d'affaires net",'Données Brutes'!F38:F56)/(SUMIF('Données Brutes'!B2:B26,"Actif Non Courant",'Données Brutes'!F2:F26)+SUMIF('Données Brutes'!B2:B26,"Actif Courant",'Données Brutes'!F2:F26)))*((SUMIF('Données Brutes'!B2:B26,"Actif Non Courant",'Données Brutes'!F2:F26)+SUMIF('Données Brutes'!B2:B26,"Actif Courant",'Données Brutes'!F2:F26))/SUMIF('Données Brutes'!B2:B26,"Capitaux Propres",'Données Brutes'!F2:F26)),0)</f>
        <v>0.15974320241691845</v>
      </c>
      <c r="G68" s="804" t="s">
        <v>1629</v>
      </c>
      <c r="H68" s="828">
        <f t="shared" si="3"/>
        <v>-0.21729736517480538</v>
      </c>
      <c r="I68" s="825" t="str">
        <f>IF(ABS(F68-F27)&lt;0.005,"✅ Cohérent","⚠️ Écart")</f>
        <v>✅ Cohérent</v>
      </c>
    </row>
    <row r="69" spans="2:9" ht="18.75" customHeight="1" x14ac:dyDescent="0.25">
      <c r="B69" s="837">
        <v>49</v>
      </c>
      <c r="C69" s="839" t="s">
        <v>1630</v>
      </c>
      <c r="D69" s="850">
        <f>IFERROR((SUMIF('Données Brutes'!A2:A26,"Résultat net",'Données Brutes'!D2:D26)+SUMIF('Données Brutes'!A38:A56,"Dotations amortissements",'Données Brutes'!D38:D56)+SUMIF('Données Brutes'!A38:A56,"Dotations provisions exploit.",'Données Brutes'!D38:D56))/SUMIF('Données Brutes'!A2:A26,"Résultat net",'Données Brutes'!D2:D26),0)</f>
        <v>1.6481012658227847</v>
      </c>
      <c r="E69" s="852">
        <f>IFERROR((SUMIF('Données Brutes'!A2:A26,"Résultat net",'Données Brutes'!E2:E26)+SUMIF('Données Brutes'!A38:A56,"Dotations amortissements",'Données Brutes'!E38:E56)+SUMIF('Données Brutes'!A38:A56,"Dotations provisions exploit.",'Données Brutes'!E38:E56))/SUMIF('Données Brutes'!A2:A26,"Résultat net",'Données Brutes'!E2:E26),0)</f>
        <v>1.684596577017115</v>
      </c>
      <c r="F69" s="853">
        <f>IFERROR((SUMIF('Données Brutes'!A2:A26,"Résultat net",'Données Brutes'!F2:F26)+SUMIF('Données Brutes'!A38:A56,"Dotations amortissements",'Données Brutes'!F38:F56)+SUMIF('Données Brutes'!A38:A56,"Dotations provisions exploit.",'Données Brutes'!F38:F56))/SUMIF('Données Brutes'!A2:A26,"Résultat net",'Données Brutes'!F2:F26),0)</f>
        <v>1.7895981087470449</v>
      </c>
      <c r="G69" s="805" t="s">
        <v>1631</v>
      </c>
      <c r="H69" s="830">
        <f t="shared" si="3"/>
        <v>6.2330372246068744E-2</v>
      </c>
      <c r="I69" s="827" t="str">
        <f>IF(F69&gt;=1,"✅ Qualité OK",IF(F69&gt;=0.5,"⚠️ Attention","🔴 Accruals Élevés"))</f>
        <v>✅ Qualité OK</v>
      </c>
    </row>
    <row r="70" spans="2:9" ht="18.75" customHeight="1" x14ac:dyDescent="0.25">
      <c r="B70" s="867" t="s">
        <v>1637</v>
      </c>
      <c r="C70" s="868"/>
      <c r="D70" s="1087"/>
      <c r="E70" s="868"/>
      <c r="F70" s="868"/>
      <c r="G70" s="868"/>
      <c r="H70" s="868"/>
      <c r="I70" s="868"/>
    </row>
    <row r="71" spans="2:9" ht="18.75" customHeight="1" x14ac:dyDescent="0.25">
      <c r="B71" s="869">
        <v>50</v>
      </c>
      <c r="C71" s="870" t="s">
        <v>1638</v>
      </c>
      <c r="D71" s="1085" t="s">
        <v>386</v>
      </c>
      <c r="E71" s="1085" t="s">
        <v>386</v>
      </c>
      <c r="F71" s="871">
        <f>STOCKS!C92</f>
        <v>48.036814348611109</v>
      </c>
      <c r="G71" s="869" t="s">
        <v>1193</v>
      </c>
      <c r="H71" s="1085" t="s">
        <v>386</v>
      </c>
      <c r="I71" s="872" t="str">
        <f>IF(F71&gt;=5,"✅ Bonne rotation",IF(F71&gt;=3,"⚠️ Lente","🔴 Excessive"))</f>
        <v>✅ Bonne rotation</v>
      </c>
    </row>
    <row r="72" spans="2:9" ht="18.75" customHeight="1" x14ac:dyDescent="0.25">
      <c r="B72" s="873">
        <v>51</v>
      </c>
      <c r="C72" s="874" t="s">
        <v>1639</v>
      </c>
      <c r="D72" s="1086" t="s">
        <v>386</v>
      </c>
      <c r="E72" s="1086" t="s">
        <v>386</v>
      </c>
      <c r="F72" s="875">
        <f>STOCKS!C95</f>
        <v>7.5983390020648454</v>
      </c>
      <c r="G72" s="873" t="s">
        <v>1203</v>
      </c>
      <c r="H72" s="1086" t="s">
        <v>386</v>
      </c>
      <c r="I72" s="872" t="str">
        <f>IF(F72&lt;45,"✅ Excellent",IF(F72&lt;73,"⚠️ Acceptable","🔴 Trop long"))</f>
        <v>✅ Excellent</v>
      </c>
    </row>
    <row r="73" spans="2:9" ht="18.75" customHeight="1" x14ac:dyDescent="0.25">
      <c r="B73" s="869">
        <v>52</v>
      </c>
      <c r="C73" s="870" t="s">
        <v>1640</v>
      </c>
      <c r="D73" s="1085" t="s">
        <v>386</v>
      </c>
      <c r="E73" s="1085" t="s">
        <v>386</v>
      </c>
      <c r="F73" s="876">
        <f>STOCKS!C97/100</f>
        <v>5.7679542889074759E-2</v>
      </c>
      <c r="G73" s="869" t="s">
        <v>1211</v>
      </c>
      <c r="H73" s="1085" t="s">
        <v>386</v>
      </c>
      <c r="I73" s="877" t="str">
        <f>IF(F73&lt;0.05,"✅ Sain",IF(F73&lt;0.1,"⚠️ Attention","🔴 Obsolescence"))</f>
        <v>⚠️ Attention</v>
      </c>
    </row>
    <row r="74" spans="2:9" ht="18.75" customHeight="1" x14ac:dyDescent="0.25">
      <c r="B74" s="873">
        <v>53</v>
      </c>
      <c r="C74" s="874" t="s">
        <v>1641</v>
      </c>
      <c r="D74" s="1086" t="s">
        <v>386</v>
      </c>
      <c r="E74" s="1086" t="s">
        <v>386</v>
      </c>
      <c r="F74" s="878">
        <f>IFERROR(1-PLAN_AMORT!O20/PLAN_AMORT!D20,0)</f>
        <v>0.33136587185354693</v>
      </c>
      <c r="G74" s="873" t="s">
        <v>343</v>
      </c>
      <c r="H74" s="1086" t="s">
        <v>386</v>
      </c>
      <c r="I74" s="872" t="str">
        <f>IF(F74&lt;0.7,"✅ Parc jeune","🔴 Parc vieillissant")</f>
        <v>✅ Parc jeune</v>
      </c>
    </row>
    <row r="75" spans="2:9" ht="18.75" customHeight="1" x14ac:dyDescent="0.25">
      <c r="B75" s="869">
        <v>54</v>
      </c>
      <c r="C75" s="870" t="s">
        <v>1642</v>
      </c>
      <c r="D75" s="1085" t="s">
        <v>386</v>
      </c>
      <c r="E75" s="1085" t="s">
        <v>386</v>
      </c>
      <c r="F75" s="879">
        <f>IFERROR('Valorisation DCF'!C41/PLAN_AMORT!N20,0)</f>
        <v>5.9664154452198872</v>
      </c>
      <c r="G75" s="869" t="s">
        <v>1631</v>
      </c>
      <c r="H75" s="1085" t="s">
        <v>386</v>
      </c>
      <c r="I75" s="872" t="str">
        <f>IF(F75&gt;1,"✅ Invest. net +","🔴 Sous-invest.")</f>
        <v>✅ Invest. net +</v>
      </c>
    </row>
    <row r="76" spans="2:9" ht="18.75" customHeight="1" x14ac:dyDescent="0.25">
      <c r="B76" s="873">
        <v>55</v>
      </c>
      <c r="C76" s="874" t="s">
        <v>1643</v>
      </c>
      <c r="D76" s="1086" t="s">
        <v>386</v>
      </c>
      <c r="E76" s="1086" t="s">
        <v>386</v>
      </c>
      <c r="F76" s="880">
        <f>IFERROR((PLAN_AMORT!L20+PLAN_AMORT!N20)/PLAN_AMORT!N20,0)</f>
        <v>2.3999390033460983</v>
      </c>
      <c r="G76" s="873" t="s">
        <v>1644</v>
      </c>
      <c r="H76" s="1086" t="s">
        <v>386</v>
      </c>
      <c r="I76" s="877" t="str">
        <f>IF(F76&lt;10,"✅ Récent",IF(F76&lt;15,"⚠️ Moyen","🔴 Vétuste"))</f>
        <v>✅ Récent</v>
      </c>
    </row>
    <row r="77" spans="2:9" ht="18.75" customHeight="1" x14ac:dyDescent="0.25">
      <c r="B77" s="869">
        <v>56</v>
      </c>
      <c r="C77" s="870" t="s">
        <v>1645</v>
      </c>
      <c r="D77" s="1085" t="s">
        <v>386</v>
      </c>
      <c r="E77" s="1085" t="s">
        <v>386</v>
      </c>
      <c r="F77" s="876">
        <f>IFERROR(ECARTS_BU!G61/ECARTS_BU!G57,0)</f>
        <v>0.26899083969465648</v>
      </c>
      <c r="G77" s="869" t="s">
        <v>317</v>
      </c>
      <c r="H77" s="1085" t="s">
        <v>386</v>
      </c>
      <c r="I77" s="872" t="str">
        <f>IF(F77&gt;'Valorisation DCF'!C22,"✅ &gt; WACC","🔴 &lt; WACC")</f>
        <v>✅ &gt; WACC</v>
      </c>
    </row>
    <row r="78" spans="2:9" ht="18.75" customHeight="1" x14ac:dyDescent="0.25">
      <c r="B78" s="873">
        <v>57</v>
      </c>
      <c r="C78" s="874" t="s">
        <v>1646</v>
      </c>
      <c r="D78" s="1086" t="s">
        <v>386</v>
      </c>
      <c r="E78" s="1086" t="s">
        <v>386</v>
      </c>
      <c r="F78" s="881">
        <f>SUM(ECARTS_BU!C107:G107)</f>
        <v>2639780</v>
      </c>
      <c r="G78" s="873" t="s">
        <v>1617</v>
      </c>
      <c r="H78" s="1086" t="s">
        <v>386</v>
      </c>
      <c r="I78" s="872" t="str">
        <f>IF(F78&gt;0,"✅ Création valeur","🔴 Destruction")</f>
        <v>✅ Création valeur</v>
      </c>
    </row>
    <row r="79" spans="2:9" ht="18.75" customHeight="1" x14ac:dyDescent="0.25">
      <c r="B79" s="869">
        <v>58</v>
      </c>
      <c r="C79" s="870" t="s">
        <v>1647</v>
      </c>
      <c r="D79" s="1085" t="s">
        <v>386</v>
      </c>
      <c r="E79" s="1085" t="s">
        <v>386</v>
      </c>
      <c r="F79" s="882">
        <f>IFERROR(STOCKS!J29-STOCKS!D29,0)</f>
        <v>830000</v>
      </c>
      <c r="G79" s="869" t="s">
        <v>1648</v>
      </c>
      <c r="H79" s="1085" t="s">
        <v>386</v>
      </c>
      <c r="I79" s="872" t="str">
        <f>IF(ABS(F79)&lt;100000,"✅ Stable",IF(F79&gt;0,"⚠️ Hausse stock","✅ Déstockage"))</f>
        <v>⚠️ Hausse stock</v>
      </c>
    </row>
    <row r="80" spans="2:9" ht="6" customHeight="1" x14ac:dyDescent="0.25">
      <c r="B80" s="806"/>
      <c r="C80" s="806"/>
      <c r="D80" s="806"/>
      <c r="E80" s="806"/>
      <c r="F80" s="806"/>
      <c r="G80" s="806"/>
      <c r="H80" s="806"/>
      <c r="I80" s="806"/>
    </row>
    <row r="81" spans="2:9" ht="6" customHeight="1" x14ac:dyDescent="0.25"/>
    <row r="83" spans="2:9" ht="21.95" customHeight="1" x14ac:dyDescent="0.25">
      <c r="B83" s="73" t="s">
        <v>344</v>
      </c>
      <c r="C83" s="70"/>
      <c r="D83" s="71"/>
      <c r="E83" s="71"/>
      <c r="F83" s="71"/>
      <c r="G83" s="72" t="s">
        <v>345</v>
      </c>
      <c r="H83" s="453" t="s">
        <v>346</v>
      </c>
      <c r="I83" s="72" t="s">
        <v>347</v>
      </c>
    </row>
    <row r="84" spans="2:9" ht="21.95" customHeight="1" x14ac:dyDescent="0.3">
      <c r="B84" s="118" t="s">
        <v>348</v>
      </c>
      <c r="C84" s="1258" t="s">
        <v>349</v>
      </c>
      <c r="D84" s="1259"/>
      <c r="E84" s="1260"/>
      <c r="F84" s="223">
        <f>IF(F6&gt;=2,25,IF(F6&gt;=1.5,20,IF(F6&gt;=1,15,IF(F6&gt;=0.8,8,0))))+IF(F7&gt;=1,25,IF(F7&gt;=0.8,20,IF(F7&gt;=0.5,12,5)))</f>
        <v>50</v>
      </c>
      <c r="G84" s="162" t="s">
        <v>350</v>
      </c>
      <c r="H84" s="449">
        <f>IFERROR(F84/50,0)</f>
        <v>1</v>
      </c>
      <c r="I84" s="69" t="str">
        <f>TEXT(H84,"0%")&amp;" atteint"</f>
        <v>100% atteint</v>
      </c>
    </row>
    <row r="85" spans="2:9" ht="21.95" customHeight="1" x14ac:dyDescent="0.3">
      <c r="B85" s="119" t="s">
        <v>351</v>
      </c>
      <c r="C85" s="1261" t="s">
        <v>352</v>
      </c>
      <c r="D85" s="1262"/>
      <c r="E85" s="1263"/>
      <c r="F85" s="224">
        <f>IF(F15&gt;=0.4,15,IF(F15&gt;=0.3,10,IF(F15&gt;=0.2,5,0)))+IF(F20&gt;2.99,20,IF(F20&gt;1.81,12,3))+IF(F18&gt;=5,15,IF(F18&gt;=3,10,IF(F18&gt;=1.5,5,0)))</f>
        <v>42</v>
      </c>
      <c r="G85" s="163" t="s">
        <v>350</v>
      </c>
      <c r="H85" s="450">
        <f>IFERROR(F85/50,0)</f>
        <v>0.84</v>
      </c>
      <c r="I85" s="74" t="str">
        <f>TEXT(H85,"0%")&amp;" atteint"</f>
        <v>84% atteint</v>
      </c>
    </row>
    <row r="86" spans="2:9" ht="21.95" customHeight="1" x14ac:dyDescent="0.3">
      <c r="B86" s="120" t="s">
        <v>353</v>
      </c>
      <c r="C86" s="1259" t="s">
        <v>354</v>
      </c>
      <c r="D86" s="1259"/>
      <c r="E86" s="1259"/>
      <c r="F86" s="223">
        <f>IF(F27&gt;=0.15,15,IF(F27&gt;=0.1,12,IF(F27&gt;=0.05,8,3)))+IF(F26&gt;=0.08,10,IF(F26&gt;=0.05,8,IF(F26&gt;=0.02,5,2)))</f>
        <v>23</v>
      </c>
      <c r="G86" s="162" t="s">
        <v>355</v>
      </c>
      <c r="H86" s="449">
        <f>IFERROR(F86/25,0)</f>
        <v>0.92</v>
      </c>
      <c r="I86" s="69" t="str">
        <f>TEXT(H86,"0%")&amp;" atteint"</f>
        <v>92% atteint</v>
      </c>
    </row>
    <row r="87" spans="2:9" ht="21.95" customHeight="1" x14ac:dyDescent="0.3">
      <c r="B87" s="119" t="s">
        <v>356</v>
      </c>
      <c r="C87" s="1261" t="s">
        <v>357</v>
      </c>
      <c r="D87" s="1262"/>
      <c r="E87" s="1263"/>
      <c r="F87" s="224">
        <f>IF(F34&lt;40,10,IF(F34&lt;45,7,3))+IF(F37&lt;40,15,IF(F37&lt;60,10,3))</f>
        <v>6</v>
      </c>
      <c r="G87" s="163" t="s">
        <v>355</v>
      </c>
      <c r="H87" s="450">
        <f>IFERROR(F87/25,0)</f>
        <v>0.24</v>
      </c>
      <c r="I87" s="74" t="str">
        <f>TEXT(H87,"0%")&amp;" atteint"</f>
        <v>24% atteint</v>
      </c>
    </row>
    <row r="88" spans="2:9" ht="3.95" customHeight="1" x14ac:dyDescent="0.25">
      <c r="B88" s="75"/>
      <c r="C88" s="76"/>
      <c r="D88" s="77"/>
      <c r="E88" s="78"/>
      <c r="F88" s="502"/>
      <c r="G88" s="502"/>
      <c r="H88" s="503"/>
      <c r="I88" s="502"/>
    </row>
    <row r="89" spans="2:9" ht="27.95" customHeight="1" x14ac:dyDescent="0.25">
      <c r="B89" s="1247" t="s">
        <v>358</v>
      </c>
      <c r="C89" s="1248"/>
      <c r="D89" s="1249"/>
      <c r="E89" s="1249"/>
      <c r="F89" s="1249"/>
      <c r="G89" s="1250"/>
      <c r="H89" s="1251"/>
      <c r="I89" s="1249"/>
    </row>
    <row r="90" spans="2:9" ht="27.95" customHeight="1" x14ac:dyDescent="0.35">
      <c r="B90" s="55"/>
      <c r="C90" s="1264" t="s">
        <v>359</v>
      </c>
      <c r="D90" s="1265"/>
      <c r="E90" s="1266"/>
      <c r="F90" s="122">
        <f>F84+F85+F86+F87</f>
        <v>121</v>
      </c>
      <c r="G90" s="79" t="s">
        <v>360</v>
      </c>
      <c r="H90" s="454">
        <f>IFERROR(F90/150,0)</f>
        <v>0.80666666666666664</v>
      </c>
      <c r="I90" s="80" t="str">
        <f>IF(F90/150&gt;=0.75,"✅ Sain",IF(F90/150&gt;=0.5,"⚠️ Vigilance","🔴 Risqué"))</f>
        <v>✅ Sain</v>
      </c>
    </row>
    <row r="91" spans="2:9" ht="26.1" customHeight="1" x14ac:dyDescent="0.25">
      <c r="B91" s="62"/>
      <c r="C91" s="1267" t="s">
        <v>361</v>
      </c>
      <c r="D91" s="1268"/>
      <c r="E91" s="1269"/>
      <c r="F91" s="1252" t="str">
        <f>IF(F90/150&gt;=0.75,"🟢  VERT — Bonne santé financière",IF(F90/150&gt;=0.5,"🟠  ORANGE — Vigilance requise","🔴  ROUGE — Risques élevés"))</f>
        <v>🟢  VERT — Bonne santé financière</v>
      </c>
      <c r="G91" s="1253"/>
      <c r="H91" s="1254"/>
      <c r="I91" s="1253"/>
    </row>
    <row r="92" spans="2:9" ht="33" customHeight="1" x14ac:dyDescent="0.25">
      <c r="B92" s="53"/>
      <c r="C92" s="1270" t="s">
        <v>362</v>
      </c>
      <c r="D92" s="1271"/>
      <c r="E92" s="1272"/>
      <c r="F92" s="487">
        <f>F20</f>
        <v>2.9382453126911403</v>
      </c>
      <c r="G92" s="50" t="s">
        <v>305</v>
      </c>
      <c r="H92" s="452"/>
      <c r="I92" s="81" t="str">
        <f>IF(F20&gt;2.99,"✅ Zone Sûre",IF(F20&gt;1.81,"⚠️ Zone Grise","🔴 Zone Danger"))</f>
        <v>⚠️ Zone Grise</v>
      </c>
    </row>
    <row r="93" spans="2:9" ht="8.1" customHeight="1" x14ac:dyDescent="0.25">
      <c r="B93" s="29"/>
      <c r="C93" s="28"/>
      <c r="D93" s="28"/>
      <c r="E93" s="30"/>
      <c r="H93" s="195"/>
    </row>
    <row r="94" spans="2:9" ht="20.100000000000001" customHeight="1" x14ac:dyDescent="0.25">
      <c r="B94" s="1255" t="s">
        <v>363</v>
      </c>
      <c r="C94" s="1256"/>
      <c r="D94" s="1256"/>
      <c r="E94" s="1256"/>
      <c r="F94" s="1256"/>
      <c r="G94" s="1256"/>
      <c r="H94" s="1257"/>
      <c r="I94" s="1256"/>
    </row>
    <row r="95" spans="2:9" ht="18" customHeight="1" x14ac:dyDescent="0.25">
      <c r="B95" s="164"/>
      <c r="C95" s="165"/>
      <c r="D95" s="166"/>
      <c r="E95" s="167"/>
    </row>
    <row r="96" spans="2:9" ht="18" customHeight="1" x14ac:dyDescent="0.25"/>
    <row r="97" spans="2:8" ht="18" customHeight="1" x14ac:dyDescent="0.25"/>
    <row r="98" spans="2:8" ht="18" customHeight="1" x14ac:dyDescent="0.25"/>
    <row r="99" spans="2:8" ht="18" customHeight="1" x14ac:dyDescent="0.25"/>
    <row r="100" spans="2:8" ht="18" customHeight="1" x14ac:dyDescent="0.25"/>
    <row r="101" spans="2:8" ht="18" customHeight="1" x14ac:dyDescent="0.3">
      <c r="B101" s="168"/>
      <c r="C101" s="169"/>
      <c r="D101" s="170"/>
      <c r="E101" s="170"/>
      <c r="F101" s="170"/>
      <c r="G101" s="170"/>
      <c r="H101" s="170"/>
    </row>
    <row r="102" spans="2:8" ht="18" customHeight="1" x14ac:dyDescent="0.25">
      <c r="C102" s="1"/>
    </row>
    <row r="103" spans="2:8" ht="18" customHeight="1" x14ac:dyDescent="0.25"/>
    <row r="104" spans="2:8" ht="18" customHeight="1" x14ac:dyDescent="0.25"/>
    <row r="105" spans="2:8" ht="18" customHeight="1" x14ac:dyDescent="0.25"/>
    <row r="106" spans="2:8" ht="18" customHeight="1" x14ac:dyDescent="0.25"/>
    <row r="107" spans="2:8" ht="18" customHeight="1" x14ac:dyDescent="0.25"/>
    <row r="108" spans="2:8" ht="18" customHeight="1" x14ac:dyDescent="0.25"/>
    <row r="109" spans="2:8" ht="18" customHeight="1" x14ac:dyDescent="0.25"/>
    <row r="110" spans="2:8" ht="18" customHeight="1" x14ac:dyDescent="0.25"/>
    <row r="111" spans="2:8" ht="18" customHeight="1" x14ac:dyDescent="0.25"/>
    <row r="112" spans="2:8" ht="18" customHeight="1" x14ac:dyDescent="0.25"/>
    <row r="113" ht="18" customHeight="1" x14ac:dyDescent="0.25"/>
    <row r="114" ht="18" customHeight="1" x14ac:dyDescent="0.25"/>
    <row r="115" ht="18" customHeight="1" x14ac:dyDescent="0.25"/>
  </sheetData>
  <mergeCells count="22">
    <mergeCell ref="B1:I1"/>
    <mergeCell ref="B2:I2"/>
    <mergeCell ref="B13:I13"/>
    <mergeCell ref="B45:I45"/>
    <mergeCell ref="B38:I38"/>
    <mergeCell ref="B3:H3"/>
    <mergeCell ref="B21:H21"/>
    <mergeCell ref="B32:H32"/>
    <mergeCell ref="B5:I5"/>
    <mergeCell ref="B22:I22"/>
    <mergeCell ref="B33:I33"/>
    <mergeCell ref="B41:I41"/>
    <mergeCell ref="B89:I89"/>
    <mergeCell ref="F91:I91"/>
    <mergeCell ref="B94:I94"/>
    <mergeCell ref="C84:E84"/>
    <mergeCell ref="C85:E85"/>
    <mergeCell ref="C86:E86"/>
    <mergeCell ref="C87:E87"/>
    <mergeCell ref="C90:E90"/>
    <mergeCell ref="C91:E91"/>
    <mergeCell ref="C92:E92"/>
  </mergeCells>
  <conditionalFormatting sqref="H6:H37 H39:H44 H46:H54 H83:H92">
    <cfRule type="cellIs" dxfId="76" priority="4" operator="greaterThan">
      <formula>0.005</formula>
    </cfRule>
    <cfRule type="cellIs" dxfId="75" priority="5" operator="lessThan">
      <formula>-0.005</formula>
    </cfRule>
    <cfRule type="cellIs" dxfId="74" priority="9" operator="greaterThan">
      <formula>0.005</formula>
    </cfRule>
    <cfRule type="cellIs" dxfId="73" priority="10" operator="lessThan">
      <formula>-0.005</formula>
    </cfRule>
  </conditionalFormatting>
  <conditionalFormatting sqref="H6:H53">
    <cfRule type="dataBar" priority="15">
      <dataBar>
        <cfvo type="min"/>
        <cfvo type="max"/>
        <color rgb="FF70AD47"/>
      </dataBar>
      <extLst>
        <ext xmlns:x14="http://schemas.microsoft.com/office/spreadsheetml/2009/9/main" uri="{B025F937-C7B1-47D3-B67F-A62EFF666E3E}">
          <x14:id>{9F0AE57D-EB8F-4118-A063-07D9DA6CAEDE}</x14:id>
        </ext>
      </extLst>
    </cfRule>
    <cfRule type="dataBar" priority="16">
      <dataBar>
        <cfvo type="min"/>
        <cfvo type="max"/>
        <color rgb="FF638EC6"/>
      </dataBar>
      <extLst>
        <ext xmlns:x14="http://schemas.microsoft.com/office/spreadsheetml/2009/9/main" uri="{B025F937-C7B1-47D3-B67F-A62EFF666E3E}">
          <x14:id>{2190D194-7B22-4E95-8C20-2B477164E28E}</x14:id>
        </ext>
      </extLst>
    </cfRule>
  </conditionalFormatting>
  <conditionalFormatting sqref="I6:I37 I39:I44 I46:I54 I83:I92">
    <cfRule type="containsText" dxfId="72" priority="1" operator="containsText" text="✅">
      <formula>NOT(ISERROR(SEARCH("✅",I6)))</formula>
    </cfRule>
    <cfRule type="containsText" dxfId="71" priority="2" operator="containsText" text="⚠️">
      <formula>NOT(ISERROR(SEARCH("⚠️",I6)))</formula>
    </cfRule>
    <cfRule type="containsText" dxfId="70" priority="3" operator="containsText" text="🔴">
      <formula>NOT(ISERROR(SEARCH("🔴",I6)))</formula>
    </cfRule>
    <cfRule type="containsText" dxfId="69" priority="6" operator="containsText" text="✅">
      <formula>NOT(ISERROR(SEARCH("✅",I6)))</formula>
    </cfRule>
    <cfRule type="containsText" dxfId="68" priority="7" operator="containsText" text="⚠️">
      <formula>NOT(ISERROR(SEARCH("⚠️",I6)))</formula>
    </cfRule>
    <cfRule type="containsText" dxfId="67" priority="8" operator="containsText" text="🔴">
      <formula>NOT(ISERROR(SEARCH("🔴",I6)))</formula>
    </cfRule>
  </conditionalFormatting>
  <conditionalFormatting sqref="I6:I53">
    <cfRule type="containsText" dxfId="66" priority="12" operator="containsText" text="✅">
      <formula>NOT(ISERROR(SEARCH("✅",I6)))</formula>
    </cfRule>
    <cfRule type="containsText" dxfId="65" priority="13" operator="containsText" text="⚠️">
      <formula>NOT(ISERROR(SEARCH("⚠️",I6)))</formula>
    </cfRule>
    <cfRule type="containsText" dxfId="64" priority="14" operator="containsText" text="🔴">
      <formula>NOT(ISERROR(SEARCH("🔴",I6)))</formula>
    </cfRule>
  </conditionalFormatting>
  <conditionalFormatting sqref="I84:I87">
    <cfRule type="cellIs" dxfId="63" priority="11" operator="greaterThan">
      <formula>0</formula>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dataBar" id="{9F0AE57D-EB8F-4118-A063-07D9DA6CAEDE}">
            <x14:dataBar minLength="0" maxLength="100" axisPosition="none">
              <x14:cfvo type="min"/>
              <x14:cfvo type="max"/>
              <x14:negativeFillColor rgb="FFC00000"/>
            </x14:dataBar>
          </x14:cfRule>
          <x14:cfRule type="dataBar" id="{2190D194-7B22-4E95-8C20-2B477164E28E}">
            <x14:dataBar minLength="0" maxLength="100" negativeBarColorSameAsPositive="1" axisPosition="none">
              <x14:cfvo type="min"/>
              <x14:cfvo type="max"/>
            </x14:dataBar>
          </x14:cfRule>
          <xm:sqref>H6:H53</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A10C0-69F5-4C6D-918C-63741E214E1C}">
  <sheetPr>
    <tabColor rgb="FF4472C4"/>
  </sheetPr>
  <dimension ref="B1:O80"/>
  <sheetViews>
    <sheetView showGridLines="0" topLeftCell="B1" workbookViewId="0">
      <pane ySplit="2" topLeftCell="A28" activePane="bottomLeft" state="frozen"/>
      <selection activeCell="B1" sqref="B1"/>
      <selection pane="bottomLeft" activeCell="E52" sqref="E52"/>
    </sheetView>
  </sheetViews>
  <sheetFormatPr baseColWidth="10" defaultColWidth="10.7109375" defaultRowHeight="15" x14ac:dyDescent="0.25"/>
  <cols>
    <col min="1" max="1" width="0.7109375" customWidth="1"/>
    <col min="2" max="2" width="39.85546875" customWidth="1"/>
    <col min="3" max="3" width="32.5703125" customWidth="1"/>
    <col min="4" max="6" width="24.7109375" customWidth="1"/>
    <col min="7" max="7" width="32.28515625" customWidth="1"/>
    <col min="8" max="8" width="24.7109375" customWidth="1"/>
    <col min="9" max="9" width="15" customWidth="1"/>
    <col min="10" max="10" width="13.28515625" customWidth="1"/>
    <col min="11" max="11" width="16.5703125" customWidth="1"/>
    <col min="12" max="12" width="15.7109375" customWidth="1"/>
    <col min="13" max="14" width="8" bestFit="1" customWidth="1"/>
    <col min="15" max="15" width="9" bestFit="1" customWidth="1"/>
    <col min="16" max="16" width="0.7109375" customWidth="1"/>
  </cols>
  <sheetData>
    <row r="1" spans="2:15" ht="54" customHeight="1" x14ac:dyDescent="0.25">
      <c r="B1" s="1312" t="str">
        <f>'Données Brutes'!L1&amp;" — ANALYSE APPROFONDIE · Scénarios · Variances · Prévisions de Trésorerie"</f>
        <v>Acier Côte Ouest SAS — ANALYSE APPROFONDIE · Scénarios · Variances · Prévisions de Trésorerie</v>
      </c>
      <c r="C1" s="1313"/>
      <c r="D1" s="1313"/>
      <c r="E1" s="1313"/>
      <c r="F1" s="1313"/>
      <c r="G1" s="1313"/>
      <c r="H1" s="1313"/>
      <c r="I1" s="1313"/>
      <c r="J1" s="1313"/>
      <c r="K1" s="1313"/>
      <c r="L1" s="1313"/>
      <c r="M1" s="1313"/>
      <c r="N1" s="1313"/>
      <c r="O1" s="1313"/>
    </row>
    <row r="2" spans="2:15" ht="15.95" customHeight="1" x14ac:dyDescent="0.25">
      <c r="B2" s="1314" t="s">
        <v>364</v>
      </c>
      <c r="C2" s="1315"/>
      <c r="D2" s="1315"/>
      <c r="E2" s="1315"/>
      <c r="F2" s="1315"/>
      <c r="G2" s="1315"/>
      <c r="H2" s="1315"/>
      <c r="I2" s="1315"/>
      <c r="J2" s="1315"/>
      <c r="K2" s="1315"/>
      <c r="L2" s="1315"/>
      <c r="M2" s="1315"/>
      <c r="N2" s="1315"/>
      <c r="O2" s="1315"/>
    </row>
    <row r="3" spans="2:15" ht="6" customHeight="1" x14ac:dyDescent="0.25">
      <c r="B3" s="506"/>
      <c r="C3" s="506"/>
      <c r="D3" s="506"/>
      <c r="E3" s="506"/>
      <c r="F3" s="506"/>
      <c r="G3" s="506"/>
      <c r="H3" s="506"/>
      <c r="I3" s="506"/>
      <c r="J3" s="506"/>
      <c r="K3" s="506"/>
      <c r="L3" s="506"/>
      <c r="M3" s="506"/>
      <c r="N3" s="506"/>
      <c r="O3" s="506"/>
    </row>
    <row r="4" spans="2:15" ht="21.95" customHeight="1" thickBot="1" x14ac:dyDescent="0.3">
      <c r="B4" s="1316" t="s">
        <v>365</v>
      </c>
      <c r="C4" s="1317"/>
      <c r="D4" s="1317"/>
      <c r="E4" s="1317"/>
      <c r="F4" s="1317"/>
      <c r="G4" s="1317"/>
      <c r="H4" s="1317"/>
      <c r="I4" s="1317"/>
      <c r="J4" s="1317"/>
      <c r="K4" s="1317"/>
      <c r="L4" s="1317"/>
      <c r="M4" s="1317"/>
      <c r="N4" s="1317"/>
      <c r="O4" s="1317"/>
    </row>
    <row r="5" spans="2:15" ht="14.1" customHeight="1" thickBot="1" x14ac:dyDescent="0.3">
      <c r="B5" s="95" t="s">
        <v>366</v>
      </c>
      <c r="C5" s="96"/>
      <c r="D5" s="96"/>
      <c r="E5" s="96"/>
      <c r="F5" s="96"/>
      <c r="G5" s="96"/>
      <c r="H5" s="96"/>
      <c r="I5" s="96"/>
      <c r="J5" s="96"/>
      <c r="K5" s="96"/>
      <c r="L5" s="96"/>
      <c r="M5" s="96"/>
      <c r="N5" s="96"/>
      <c r="O5" s="96"/>
    </row>
    <row r="6" spans="2:15" ht="21.95" customHeight="1" thickBot="1" x14ac:dyDescent="0.3">
      <c r="B6" s="808" t="s">
        <v>367</v>
      </c>
      <c r="C6" s="809" t="s">
        <v>368</v>
      </c>
      <c r="D6" s="809" t="s">
        <v>369</v>
      </c>
      <c r="E6" s="809" t="s">
        <v>370</v>
      </c>
      <c r="F6" s="809" t="s">
        <v>371</v>
      </c>
      <c r="G6" s="809" t="s">
        <v>372</v>
      </c>
      <c r="H6" s="810" t="s">
        <v>373</v>
      </c>
      <c r="I6" s="117"/>
      <c r="J6" s="117"/>
      <c r="K6" s="117"/>
      <c r="L6" s="117"/>
      <c r="M6" s="117"/>
      <c r="N6" s="117"/>
      <c r="O6" s="117"/>
    </row>
    <row r="7" spans="2:15" ht="18.95" customHeight="1" x14ac:dyDescent="0.25">
      <c r="B7" s="937" t="s">
        <v>374</v>
      </c>
      <c r="C7" s="925">
        <v>0</v>
      </c>
      <c r="D7" s="807">
        <v>-0.15</v>
      </c>
      <c r="E7" s="807">
        <v>0.05</v>
      </c>
      <c r="F7" s="942">
        <v>0.15</v>
      </c>
      <c r="G7" s="954">
        <f>MIN(C7:F7)</f>
        <v>-0.15</v>
      </c>
      <c r="H7" s="954">
        <f>MAX(C7:F7)</f>
        <v>0.15</v>
      </c>
      <c r="I7" s="96"/>
      <c r="J7" s="96"/>
      <c r="K7" s="96"/>
      <c r="L7" s="96"/>
      <c r="M7" s="96"/>
      <c r="N7" s="96"/>
      <c r="O7" s="96"/>
    </row>
    <row r="8" spans="2:15" ht="18.95" customHeight="1" x14ac:dyDescent="0.25">
      <c r="B8" s="938" t="s">
        <v>375</v>
      </c>
      <c r="C8" s="926">
        <f>'Ratios &amp; Indicateurs'!F42</f>
        <v>0.51080246913580252</v>
      </c>
      <c r="D8" s="300">
        <f>'Ratios &amp; Indicateurs'!F42-0.02</f>
        <v>0.4908024691358025</v>
      </c>
      <c r="E8" s="300">
        <f>'Ratios &amp; Indicateurs'!F42</f>
        <v>0.51080246913580252</v>
      </c>
      <c r="F8" s="943">
        <f>'Ratios &amp; Indicateurs'!F42+0.02</f>
        <v>0.53080246913580253</v>
      </c>
      <c r="G8" s="955">
        <f>MIN(C8:F8)</f>
        <v>0.4908024691358025</v>
      </c>
      <c r="H8" s="955">
        <f>MAX(C8:F8)</f>
        <v>0.53080246913580253</v>
      </c>
      <c r="I8" s="96"/>
      <c r="J8" s="96"/>
      <c r="K8" s="96"/>
      <c r="L8" s="96"/>
      <c r="M8" s="96"/>
      <c r="N8" s="96"/>
      <c r="O8" s="96"/>
    </row>
    <row r="9" spans="2:15" ht="18.95" customHeight="1" x14ac:dyDescent="0.25">
      <c r="B9" s="939" t="str">
        <f>"Charges Fixes estimées ("&amp;Accueil!F28&amp;")"</f>
        <v>Charges Fixes estimées (M€)</v>
      </c>
      <c r="C9" s="927">
        <f>(SUMIF('Données Brutes'!A38:A56,"Autres achats &amp; charges ext.",'Données Brutes'!F38:F56)+SUMIF('Données Brutes'!A38:A56,"Impôts &amp; taxes",'Données Brutes'!F38:F56)+SUMIF('Données Brutes'!A38:A56,"Charges de personnel",'Données Brutes'!F38:F56)+SUMIF('Données Brutes'!A38:A56,"Dotations amortissements",'Données Brutes'!F38:F56)+SUMIF('Données Brutes'!A38:A56,"Dotations provisions exploit.",'Données Brutes'!F38:F56)+SUMIF('Données Brutes'!A38:A56,"Autres charges exploitation",'Données Brutes'!F38:F56))</f>
        <v>14010000</v>
      </c>
      <c r="D9" s="455">
        <f>C9*1.02</f>
        <v>14290200</v>
      </c>
      <c r="E9" s="455">
        <f>C9*1.01</f>
        <v>14150100</v>
      </c>
      <c r="F9" s="944">
        <f>C9*0.99</f>
        <v>13869900</v>
      </c>
      <c r="G9" s="956">
        <f>MIN(C9:F9)</f>
        <v>13869900</v>
      </c>
      <c r="H9" s="956">
        <f>MAX(C9:F9)</f>
        <v>14290200</v>
      </c>
      <c r="I9" s="96"/>
      <c r="J9" s="96"/>
      <c r="K9" s="96"/>
      <c r="L9" s="96"/>
      <c r="M9" s="96"/>
      <c r="N9" s="96"/>
      <c r="O9" s="96"/>
    </row>
    <row r="10" spans="2:15" ht="14.1" customHeight="1" x14ac:dyDescent="0.25">
      <c r="B10" s="940" t="s">
        <v>376</v>
      </c>
      <c r="C10" s="928"/>
      <c r="D10" s="141"/>
      <c r="E10" s="141"/>
      <c r="F10" s="945"/>
      <c r="G10" s="957"/>
      <c r="H10" s="957"/>
      <c r="I10" s="96"/>
      <c r="J10" s="96"/>
      <c r="K10" s="96"/>
      <c r="L10" s="96"/>
      <c r="M10" s="96"/>
      <c r="N10" s="96"/>
      <c r="O10" s="96"/>
    </row>
    <row r="11" spans="2:15" ht="18.95" customHeight="1" x14ac:dyDescent="0.25">
      <c r="B11" s="938" t="str">
        <f>"CA projeté ("&amp;Accueil!F28&amp;")"</f>
        <v>CA projeté (M€)</v>
      </c>
      <c r="C11" s="929">
        <f>SUMIF('Données Brutes'!A38:A56,"Chiffre d'affaires net",'Données Brutes'!F38:F56)*(1+C7)</f>
        <v>32400000</v>
      </c>
      <c r="D11" s="456">
        <f>SUMIF('Données Brutes'!A38:A56,"Chiffre d'affaires net",'Données Brutes'!F38:F56)*(1+D7)</f>
        <v>27540000</v>
      </c>
      <c r="E11" s="456">
        <f>SUMIF('Données Brutes'!A38:A56,"Chiffre d'affaires net",'Données Brutes'!F38:F56)*(1+E7)</f>
        <v>34020000</v>
      </c>
      <c r="F11" s="946">
        <f>SUMIF('Données Brutes'!A38:A56,"Chiffre d'affaires net",'Données Brutes'!F38:F56)*(1+F7)</f>
        <v>37260000</v>
      </c>
      <c r="G11" s="958">
        <f>MIN(C11:F11)</f>
        <v>27540000</v>
      </c>
      <c r="H11" s="958">
        <f>MAX(C11:F11)</f>
        <v>37260000</v>
      </c>
      <c r="I11" s="96"/>
      <c r="J11" s="96"/>
      <c r="K11" s="96"/>
      <c r="L11" s="96"/>
      <c r="M11" s="96"/>
      <c r="N11" s="96"/>
      <c r="O11" s="96"/>
    </row>
    <row r="12" spans="2:15" ht="18.95" customHeight="1" x14ac:dyDescent="0.25">
      <c r="B12" s="939" t="str">
        <f>"Marge Brute simulée ("&amp;Accueil!F28&amp;")  =  CA × MCV"</f>
        <v>Marge Brute simulée (M€)  =  CA × MCV</v>
      </c>
      <c r="C12" s="930">
        <f>C11*C8</f>
        <v>16550000.000000002</v>
      </c>
      <c r="D12" s="457">
        <f>D11*D8</f>
        <v>13516700</v>
      </c>
      <c r="E12" s="457">
        <f>E11*E8</f>
        <v>17377500</v>
      </c>
      <c r="F12" s="947">
        <f>F11*F8</f>
        <v>19777700.000000004</v>
      </c>
      <c r="G12" s="959">
        <f>MIN(C12:F12)</f>
        <v>13516700</v>
      </c>
      <c r="H12" s="959">
        <f>MAX(C12:F12)</f>
        <v>19777700.000000004</v>
      </c>
      <c r="I12" s="96"/>
      <c r="J12" s="96"/>
      <c r="K12" s="96"/>
      <c r="L12" s="96"/>
      <c r="M12" s="96"/>
      <c r="N12" s="96"/>
      <c r="O12" s="96"/>
    </row>
    <row r="13" spans="2:15" ht="18.95" customHeight="1" x14ac:dyDescent="0.25">
      <c r="B13" s="938" t="str">
        <f>"EBITDA simulé ("&amp;Accueil!F28&amp;")"</f>
        <v>EBITDA simulé (M€)</v>
      </c>
      <c r="C13" s="931">
        <f>C12-C9</f>
        <v>2540000.0000000019</v>
      </c>
      <c r="D13" s="458">
        <f>D12-D9</f>
        <v>-773500</v>
      </c>
      <c r="E13" s="458">
        <f>E12-E9</f>
        <v>3227400</v>
      </c>
      <c r="F13" s="948">
        <f>F12-F9</f>
        <v>5907800.0000000037</v>
      </c>
      <c r="G13" s="960">
        <f t="shared" ref="G13:G18" si="0">MIN(C13:F13)</f>
        <v>-773500</v>
      </c>
      <c r="H13" s="960">
        <f t="shared" ref="H13:H18" si="1">MAX(C13:F13)</f>
        <v>5907800.0000000037</v>
      </c>
      <c r="I13" s="96"/>
      <c r="J13" s="96"/>
      <c r="K13" s="96"/>
      <c r="L13" s="96"/>
      <c r="M13" s="96"/>
      <c r="N13" s="96"/>
      <c r="O13" s="96"/>
    </row>
    <row r="14" spans="2:15" ht="18.95" customHeight="1" x14ac:dyDescent="0.25">
      <c r="B14" s="939" t="str">
        <f>"EBIT simulé ("&amp;Accueil!F28&amp;")  (−Amort.)"</f>
        <v>EBIT simulé (M€)  (−Amort.)</v>
      </c>
      <c r="C14" s="930">
        <f>C13-(SUMIF('Données Brutes'!A38:A56,"Dotations amortissements",'Données Brutes'!F38:F56))-(SUMIF('Données Brutes'!A38:A56,"Dotations provisions exploit.",'Données Brutes'!F38:F56))</f>
        <v>870000.00000000186</v>
      </c>
      <c r="D14" s="457">
        <f>D13-(SUMIF('Données Brutes'!A38:A56,"Dotations amortissements",'Données Brutes'!F38:F56))-(SUMIF('Données Brutes'!A38:A56,"Dotations provisions exploit.",'Données Brutes'!F38:F56))</f>
        <v>-2443500</v>
      </c>
      <c r="E14" s="457">
        <f>E13-(SUMIF('Données Brutes'!A38:A56,"Dotations amortissements",'Données Brutes'!F38:F56))-(SUMIF('Données Brutes'!A38:A56,"Dotations provisions exploit.",'Données Brutes'!F38:F56))</f>
        <v>1557400</v>
      </c>
      <c r="F14" s="947">
        <f>F13-(SUMIF('Données Brutes'!A38:A56,"Dotations amortissements",'Données Brutes'!F38:F56))-(SUMIF('Données Brutes'!A38:A56,"Dotations provisions exploit.",'Données Brutes'!F38:F56))</f>
        <v>4237800.0000000037</v>
      </c>
      <c r="G14" s="959">
        <f t="shared" si="0"/>
        <v>-2443500</v>
      </c>
      <c r="H14" s="959">
        <f t="shared" si="1"/>
        <v>4237800.0000000037</v>
      </c>
      <c r="I14" s="96"/>
      <c r="J14" s="96"/>
      <c r="K14" s="96"/>
      <c r="L14" s="96"/>
      <c r="M14" s="96"/>
      <c r="N14" s="96"/>
      <c r="O14" s="96"/>
    </row>
    <row r="15" spans="2:15" ht="18.95" customHeight="1" x14ac:dyDescent="0.25">
      <c r="B15" s="938" t="str">
        <f>"Résultat Net simulé ("&amp;Accueil!F28&amp;")  (après IS 25%)"</f>
        <v>Résultat Net simulé (M€)  (après IS 25%)</v>
      </c>
      <c r="C15" s="932">
        <f>(C14-(SUMIF('Données Brutes'!A38:A56,"Charges financières",'Données Brutes'!F38:F56)))*0.75</f>
        <v>360000.0000000014</v>
      </c>
      <c r="D15" s="460">
        <f>(D14-(SUMIF('Données Brutes'!A38:A56,"Charges financières",'Données Brutes'!F38:F56)))*0.75</f>
        <v>-2125125</v>
      </c>
      <c r="E15" s="459">
        <f>(E14-(SUMIF('Données Brutes'!A38:A56,"Charges financières",'Données Brutes'!F38:F56)))*0.75</f>
        <v>875550</v>
      </c>
      <c r="F15" s="949">
        <f>(F14-(SUMIF('Données Brutes'!A38:A56,"Charges financières",'Données Brutes'!F38:F56)))*0.75</f>
        <v>2885850.0000000028</v>
      </c>
      <c r="G15" s="958">
        <f t="shared" si="0"/>
        <v>-2125125</v>
      </c>
      <c r="H15" s="958">
        <f t="shared" si="1"/>
        <v>2885850.0000000028</v>
      </c>
      <c r="I15" s="96"/>
      <c r="J15" s="96"/>
      <c r="K15" s="96"/>
      <c r="L15" s="96"/>
      <c r="M15" s="96"/>
      <c r="N15" s="96"/>
      <c r="O15" s="96"/>
    </row>
    <row r="16" spans="2:15" ht="18.95" customHeight="1" x14ac:dyDescent="0.25">
      <c r="B16" s="939" t="s">
        <v>377</v>
      </c>
      <c r="C16" s="933">
        <f>IFERROR(C15/C11,0)</f>
        <v>1.1111111111111155E-2</v>
      </c>
      <c r="D16" s="301">
        <f>IFERROR(D15/D11,0)</f>
        <v>-7.7165032679738566E-2</v>
      </c>
      <c r="E16" s="301">
        <f>IFERROR(E15/E11,0)</f>
        <v>2.5736331569664903E-2</v>
      </c>
      <c r="F16" s="950">
        <f>IFERROR(F15/F11,0)</f>
        <v>7.7451690821256108E-2</v>
      </c>
      <c r="G16" s="961">
        <f t="shared" si="0"/>
        <v>-7.7165032679738566E-2</v>
      </c>
      <c r="H16" s="961">
        <f t="shared" si="1"/>
        <v>7.7451690821256108E-2</v>
      </c>
      <c r="I16" s="96"/>
      <c r="J16" s="96"/>
      <c r="K16" s="96"/>
      <c r="L16" s="96"/>
      <c r="M16" s="96"/>
      <c r="N16" s="96"/>
      <c r="O16" s="96"/>
    </row>
    <row r="17" spans="2:15" ht="18.95" customHeight="1" x14ac:dyDescent="0.25">
      <c r="B17" s="938" t="s">
        <v>378</v>
      </c>
      <c r="C17" s="934">
        <f>IFERROR(C15/SUMIF('Données Brutes'!B2:B26,"Capitaux Propres",'Données Brutes'!F2:F26),0)</f>
        <v>2.7190332326284095E-2</v>
      </c>
      <c r="D17" s="302">
        <f>IFERROR(D15/SUMIF('Données Brutes'!B2:B26,"Capitaux Propres",'Données Brutes'!F2:F26),0)</f>
        <v>-0.16050793051359516</v>
      </c>
      <c r="E17" s="302">
        <f>IFERROR(E15/SUMIF('Données Brutes'!B2:B26,"Capitaux Propres",'Données Brutes'!F2:F26),0)</f>
        <v>6.6129154078549843E-2</v>
      </c>
      <c r="F17" s="951">
        <f>IFERROR(F15/SUMIF('Données Brutes'!B2:B26,"Capitaux Propres",'Données Brutes'!F2:F26),0)</f>
        <v>0.21796450151057423</v>
      </c>
      <c r="G17" s="962">
        <f t="shared" si="0"/>
        <v>-0.16050793051359516</v>
      </c>
      <c r="H17" s="962">
        <f t="shared" si="1"/>
        <v>0.21796450151057423</v>
      </c>
      <c r="I17" s="96"/>
      <c r="J17" s="96"/>
      <c r="K17" s="96"/>
      <c r="L17" s="96"/>
      <c r="M17" s="96"/>
      <c r="N17" s="96"/>
      <c r="O17" s="96"/>
    </row>
    <row r="18" spans="2:15" ht="18.95" customHeight="1" x14ac:dyDescent="0.25">
      <c r="B18" s="939" t="s">
        <v>379</v>
      </c>
      <c r="C18" s="935">
        <f>IFERROR(C9/C8/C11*365,0)</f>
        <v>308.98187311178242</v>
      </c>
      <c r="D18" s="461">
        <f>IFERROR(D9/D8/D11*365,0)</f>
        <v>385.88730977235565</v>
      </c>
      <c r="E18" s="461">
        <f>IFERROR(E9/E8/E11*365,0)</f>
        <v>297.21113508847645</v>
      </c>
      <c r="F18" s="952">
        <f>IFERROR(F9/F8/F11*365,0)</f>
        <v>255.97079033456868</v>
      </c>
      <c r="G18" s="963">
        <f t="shared" si="0"/>
        <v>255.97079033456868</v>
      </c>
      <c r="H18" s="963">
        <f t="shared" si="1"/>
        <v>385.88730977235565</v>
      </c>
      <c r="I18" s="96"/>
      <c r="J18" s="96"/>
      <c r="K18" s="96"/>
      <c r="L18" s="96"/>
      <c r="M18" s="96"/>
      <c r="N18" s="96"/>
      <c r="O18" s="96"/>
    </row>
    <row r="19" spans="2:15" ht="21" customHeight="1" thickBot="1" x14ac:dyDescent="0.3">
      <c r="B19" s="941" t="s">
        <v>380</v>
      </c>
      <c r="C19" s="936" t="str">
        <f>IF(C15&gt;0,IF(C15/'Données Brutes'!F17&gt;1.1,"✅ Meilleur",IF(C15/'Données Brutes'!F17&gt;0.9,"✅ Stable","⚠️ Dégradé")),"🔴 Déficitaire")</f>
        <v>⚠️ Dégradé</v>
      </c>
      <c r="D19" s="123" t="str">
        <f>IF(D15&gt;0,IF(D15/'Données Brutes'!F17&gt;1.1,"✅ Meilleur",IF(D15/'Données Brutes'!F17&gt;0.9,"✅ Stable","⚠️ Dégradé")),"🔴 Déficitaire")</f>
        <v>🔴 Déficitaire</v>
      </c>
      <c r="E19" s="123" t="str">
        <f>IF(E15&gt;0,IF(E15/'Données Brutes'!F17&gt;1.1,"✅ Meilleur",IF(E15/'Données Brutes'!F17&gt;0.9,"✅ Stable","⚠️ Dégradé")),"🔴 Déficitaire")</f>
        <v>⚠️ Dégradé</v>
      </c>
      <c r="F19" s="953" t="str">
        <f>IF(F15&gt;0,IF(F15/'Données Brutes'!F17&gt;1.1,"✅ Meilleur",IF(F15/'Données Brutes'!F17&gt;0.9,"✅ Stable","⚠️ Dégradé")),"🔴 Déficitaire")</f>
        <v>✅ Meilleur</v>
      </c>
      <c r="G19" s="964"/>
      <c r="H19" s="964"/>
      <c r="I19" s="96"/>
      <c r="J19" s="96"/>
      <c r="K19" s="96"/>
      <c r="L19" s="96"/>
      <c r="M19" s="96"/>
      <c r="N19" s="96"/>
      <c r="O19" s="96"/>
    </row>
    <row r="20" spans="2:15" ht="8.1" customHeight="1" thickBot="1" x14ac:dyDescent="0.3">
      <c r="B20" s="506"/>
      <c r="C20" s="506"/>
      <c r="D20" s="506"/>
      <c r="E20" s="506"/>
      <c r="F20" s="506"/>
      <c r="G20" s="506"/>
      <c r="H20" s="506"/>
      <c r="I20" s="506"/>
      <c r="J20" s="506"/>
      <c r="K20" s="506"/>
      <c r="L20" s="506"/>
      <c r="M20" s="506"/>
      <c r="N20" s="506"/>
      <c r="O20" s="506"/>
    </row>
    <row r="21" spans="2:15" ht="21.95" customHeight="1" thickBot="1" x14ac:dyDescent="0.3">
      <c r="B21" s="1318" t="s">
        <v>381</v>
      </c>
      <c r="C21" s="1319"/>
      <c r="D21" s="1319"/>
      <c r="E21" s="1319"/>
      <c r="F21" s="1319"/>
      <c r="G21" s="1319"/>
      <c r="H21" s="1319"/>
      <c r="I21" s="1319"/>
      <c r="J21" s="1319"/>
      <c r="K21" s="1319"/>
      <c r="L21" s="1319"/>
      <c r="M21" s="1319"/>
      <c r="N21" s="1319"/>
      <c r="O21" s="1320"/>
    </row>
    <row r="22" spans="2:15" ht="21.95" customHeight="1" x14ac:dyDescent="0.25">
      <c r="B22" s="140" t="s">
        <v>382</v>
      </c>
      <c r="C22" s="140" t="str">
        <f>"Montant ("&amp;Accueil!F28&amp;")"</f>
        <v>Montant (M€)</v>
      </c>
      <c r="D22" s="140" t="s">
        <v>383</v>
      </c>
      <c r="E22" s="140" t="str">
        <f>"Cumulé ("&amp;Accueil!F28&amp;")"</f>
        <v>Cumulé (M€)</v>
      </c>
      <c r="F22" s="140" t="s">
        <v>384</v>
      </c>
      <c r="G22" s="140" t="s">
        <v>125</v>
      </c>
      <c r="H22" s="96"/>
      <c r="I22" s="96"/>
      <c r="J22" s="96"/>
      <c r="K22" s="96"/>
      <c r="L22" s="96"/>
      <c r="M22" s="96"/>
      <c r="N22" s="96"/>
      <c r="O22" s="96"/>
    </row>
    <row r="23" spans="2:15" ht="18.95" customHeight="1" x14ac:dyDescent="0.25">
      <c r="B23" s="101" t="s">
        <v>385</v>
      </c>
      <c r="C23" s="462">
        <f>'Données Brutes'!C80-'Données Brutes'!C81-'Données Brutes'!C82-'Données Brutes'!C83-'Données Brutes'!C84-'Données Brutes'!C85-'Données Brutes'!C86</f>
        <v>4820000</v>
      </c>
      <c r="D23" s="102" t="str">
        <f>"Référence"</f>
        <v>Référence</v>
      </c>
      <c r="E23" s="466">
        <f>C23</f>
        <v>4820000</v>
      </c>
      <c r="F23" s="306" t="s">
        <v>386</v>
      </c>
      <c r="G23" s="143" t="s">
        <v>126</v>
      </c>
      <c r="H23" s="96"/>
      <c r="I23" s="96"/>
      <c r="J23" s="96"/>
      <c r="K23" s="96"/>
      <c r="L23" s="96"/>
      <c r="M23" s="96"/>
      <c r="N23" s="96"/>
      <c r="O23" s="96"/>
    </row>
    <row r="24" spans="2:15" ht="18.95" customHeight="1" x14ac:dyDescent="0.25">
      <c r="B24" s="103" t="s">
        <v>387</v>
      </c>
      <c r="C24" s="463">
        <f>'Données Brutes'!D80-'Données Brutes'!C80</f>
        <v>-1600000</v>
      </c>
      <c r="D24" s="104" t="str">
        <f t="shared" ref="D24:D30" si="2">IF(C24&gt;0,"Favorable",IF(C24&lt;0,"Défavorable","Neutre"))</f>
        <v>Défavorable</v>
      </c>
      <c r="E24" s="467">
        <f t="shared" ref="E24:E30" si="3">E23+C24</f>
        <v>3220000</v>
      </c>
      <c r="F24" s="303">
        <f>IFERROR(C24/ABS(C23),0)</f>
        <v>-0.33195020746887965</v>
      </c>
      <c r="G24" s="144" t="s">
        <v>388</v>
      </c>
      <c r="H24" s="96"/>
      <c r="I24" s="96"/>
      <c r="J24" s="96"/>
      <c r="K24" s="96"/>
      <c r="L24" s="96"/>
      <c r="M24" s="96"/>
      <c r="N24" s="96"/>
      <c r="O24" s="96"/>
    </row>
    <row r="25" spans="2:15" ht="18.95" customHeight="1" x14ac:dyDescent="0.25">
      <c r="B25" s="105" t="s">
        <v>389</v>
      </c>
      <c r="C25" s="464">
        <f>-('Données Brutes'!D81-'Données Brutes'!C81)</f>
        <v>-300000</v>
      </c>
      <c r="D25" s="106" t="str">
        <f t="shared" si="2"/>
        <v>Défavorable</v>
      </c>
      <c r="E25" s="468">
        <f t="shared" si="3"/>
        <v>2920000</v>
      </c>
      <c r="F25" s="304">
        <f>IFERROR(C25/ABS(C23),0)</f>
        <v>-6.2240663900414939E-2</v>
      </c>
      <c r="G25" s="145" t="s">
        <v>390</v>
      </c>
      <c r="H25" s="96"/>
      <c r="I25" s="96"/>
      <c r="J25" s="96"/>
      <c r="K25" s="96"/>
      <c r="L25" s="96"/>
      <c r="M25" s="96"/>
      <c r="N25" s="96"/>
      <c r="O25" s="96"/>
    </row>
    <row r="26" spans="2:15" ht="18.95" customHeight="1" x14ac:dyDescent="0.25">
      <c r="B26" s="103" t="s">
        <v>391</v>
      </c>
      <c r="C26" s="463">
        <f>-('Données Brutes'!D82-'Données Brutes'!C82)</f>
        <v>-200000</v>
      </c>
      <c r="D26" s="104" t="str">
        <f t="shared" si="2"/>
        <v>Défavorable</v>
      </c>
      <c r="E26" s="467">
        <f t="shared" si="3"/>
        <v>2720000</v>
      </c>
      <c r="F26" s="303">
        <f>IFERROR(C26/ABS(C23),0)</f>
        <v>-4.1493775933609957E-2</v>
      </c>
      <c r="G26" s="144" t="s">
        <v>392</v>
      </c>
      <c r="H26" s="96"/>
      <c r="I26" s="96"/>
      <c r="J26" s="96"/>
      <c r="K26" s="96"/>
      <c r="L26" s="96"/>
      <c r="M26" s="96"/>
      <c r="N26" s="96"/>
      <c r="O26" s="96"/>
    </row>
    <row r="27" spans="2:15" ht="18.95" customHeight="1" x14ac:dyDescent="0.25">
      <c r="B27" s="105" t="s">
        <v>393</v>
      </c>
      <c r="C27" s="464">
        <f>-('Données Brutes'!D83-'Données Brutes'!C83)</f>
        <v>-250000</v>
      </c>
      <c r="D27" s="106" t="str">
        <f t="shared" si="2"/>
        <v>Défavorable</v>
      </c>
      <c r="E27" s="468">
        <f t="shared" si="3"/>
        <v>2470000</v>
      </c>
      <c r="F27" s="304">
        <f>IFERROR(C27/ABS(C23),0)</f>
        <v>-5.1867219917012451E-2</v>
      </c>
      <c r="G27" s="145" t="s">
        <v>394</v>
      </c>
      <c r="H27" s="96"/>
      <c r="I27" s="96"/>
      <c r="J27" s="96"/>
      <c r="K27" s="96"/>
      <c r="L27" s="96"/>
      <c r="M27" s="96"/>
      <c r="N27" s="96"/>
      <c r="O27" s="96"/>
    </row>
    <row r="28" spans="2:15" ht="18.95" customHeight="1" x14ac:dyDescent="0.25">
      <c r="B28" s="103" t="s">
        <v>395</v>
      </c>
      <c r="C28" s="463">
        <f>-('Données Brutes'!D84-'Données Brutes'!C84)</f>
        <v>-150000</v>
      </c>
      <c r="D28" s="104" t="str">
        <f t="shared" si="2"/>
        <v>Défavorable</v>
      </c>
      <c r="E28" s="467">
        <f t="shared" si="3"/>
        <v>2320000</v>
      </c>
      <c r="F28" s="303">
        <f>IFERROR(C28/ABS(C23),0)</f>
        <v>-3.1120331950207469E-2</v>
      </c>
      <c r="G28" s="144" t="s">
        <v>396</v>
      </c>
      <c r="H28" s="96"/>
      <c r="I28" s="96"/>
      <c r="J28" s="96"/>
      <c r="K28" s="96"/>
      <c r="L28" s="96"/>
      <c r="M28" s="96"/>
      <c r="N28" s="96"/>
      <c r="O28" s="96"/>
    </row>
    <row r="29" spans="2:15" ht="18.95" customHeight="1" x14ac:dyDescent="0.25">
      <c r="B29" s="107" t="s">
        <v>397</v>
      </c>
      <c r="C29" s="465">
        <f>-('Données Brutes'!D85-'Données Brutes'!C85)</f>
        <v>-30000</v>
      </c>
      <c r="D29" s="108" t="str">
        <f t="shared" si="2"/>
        <v>Défavorable</v>
      </c>
      <c r="E29" s="469">
        <f t="shared" si="3"/>
        <v>2290000</v>
      </c>
      <c r="F29" s="305">
        <f>IFERROR(C29/ABS(C23),0)</f>
        <v>-6.2240663900414933E-3</v>
      </c>
      <c r="G29" s="146" t="s">
        <v>132</v>
      </c>
      <c r="H29" s="96"/>
      <c r="I29" s="96"/>
      <c r="J29" s="96"/>
      <c r="K29" s="96"/>
      <c r="L29" s="96"/>
      <c r="M29" s="96"/>
      <c r="N29" s="96"/>
      <c r="O29" s="96"/>
    </row>
    <row r="30" spans="2:15" ht="18.95" customHeight="1" x14ac:dyDescent="0.25">
      <c r="B30" s="107" t="s">
        <v>398</v>
      </c>
      <c r="C30" s="465">
        <f>-('Données Brutes'!D86-'Données Brutes'!C86)</f>
        <v>40000</v>
      </c>
      <c r="D30" s="108" t="str">
        <f t="shared" si="2"/>
        <v>Favorable</v>
      </c>
      <c r="E30" s="469">
        <f t="shared" si="3"/>
        <v>2330000</v>
      </c>
      <c r="F30" s="305">
        <f>IFERROR(C30/ABS(C23),0)</f>
        <v>8.2987551867219917E-3</v>
      </c>
      <c r="G30" s="146" t="s">
        <v>133</v>
      </c>
      <c r="H30" s="96"/>
      <c r="I30" s="96"/>
      <c r="J30" s="96"/>
      <c r="K30" s="96"/>
      <c r="L30" s="96"/>
      <c r="M30" s="96"/>
      <c r="N30" s="96"/>
      <c r="O30" s="96"/>
    </row>
    <row r="31" spans="2:15" ht="18.95" customHeight="1" x14ac:dyDescent="0.25">
      <c r="B31" s="101" t="s">
        <v>399</v>
      </c>
      <c r="C31" s="462">
        <f>'Données Brutes'!D80-'Données Brutes'!D81-'Données Brutes'!D82-'Données Brutes'!D83-'Données Brutes'!D84-'Données Brutes'!D85-'Données Brutes'!D86</f>
        <v>2330000</v>
      </c>
      <c r="D31" s="102" t="str">
        <f>"Réel"</f>
        <v>Réel</v>
      </c>
      <c r="E31" s="466">
        <f>C23+SUM(C24:C30)</f>
        <v>2330000</v>
      </c>
      <c r="F31" s="306">
        <f>IFERROR((C31-C23)/ABS(C23),0)</f>
        <v>-0.51659751037344404</v>
      </c>
      <c r="G31" s="143" t="s">
        <v>400</v>
      </c>
      <c r="H31" s="96"/>
      <c r="I31" s="96"/>
      <c r="J31" s="96"/>
      <c r="K31" s="96"/>
      <c r="L31" s="96"/>
      <c r="M31" s="96"/>
      <c r="N31" s="96"/>
      <c r="O31" s="96"/>
    </row>
    <row r="32" spans="2:15" ht="18" customHeight="1" x14ac:dyDescent="0.25">
      <c r="B32" s="96"/>
      <c r="C32" s="96"/>
      <c r="D32" s="96"/>
      <c r="E32" s="96"/>
      <c r="F32" s="96"/>
      <c r="G32" s="96"/>
      <c r="H32" s="96"/>
      <c r="I32" s="96"/>
      <c r="J32" s="96"/>
      <c r="K32" s="96"/>
      <c r="L32" s="96"/>
      <c r="M32" s="96"/>
      <c r="N32" s="96"/>
      <c r="O32" s="96"/>
    </row>
    <row r="33" spans="2:15" ht="8.1" customHeight="1" thickBot="1" x14ac:dyDescent="0.3">
      <c r="B33" s="506"/>
      <c r="C33" s="506"/>
      <c r="D33" s="506"/>
      <c r="E33" s="506"/>
      <c r="F33" s="506"/>
      <c r="G33" s="506"/>
      <c r="H33" s="506"/>
      <c r="I33" s="506"/>
      <c r="J33" s="506"/>
      <c r="K33" s="506"/>
      <c r="L33" s="506"/>
      <c r="M33" s="506"/>
      <c r="N33" s="506"/>
      <c r="O33" s="506"/>
    </row>
    <row r="34" spans="2:15" ht="21.95" customHeight="1" thickBot="1" x14ac:dyDescent="0.3">
      <c r="B34" s="1318" t="s">
        <v>401</v>
      </c>
      <c r="C34" s="1319"/>
      <c r="D34" s="1319"/>
      <c r="E34" s="1319"/>
      <c r="F34" s="1319"/>
      <c r="G34" s="1319"/>
      <c r="H34" s="1319"/>
      <c r="I34" s="1319"/>
      <c r="J34" s="1319"/>
      <c r="K34" s="1319"/>
      <c r="L34" s="1319"/>
      <c r="M34" s="1319"/>
      <c r="N34" s="1319"/>
      <c r="O34" s="1320"/>
    </row>
    <row r="35" spans="2:15" ht="21.95" customHeight="1" x14ac:dyDescent="0.25">
      <c r="B35" s="97" t="s">
        <v>402</v>
      </c>
      <c r="C35" s="140" t="s">
        <v>403</v>
      </c>
      <c r="D35" s="140" t="s">
        <v>404</v>
      </c>
      <c r="E35" s="140" t="s">
        <v>405</v>
      </c>
      <c r="F35" s="140" t="s">
        <v>406</v>
      </c>
      <c r="G35" s="140" t="s">
        <v>407</v>
      </c>
      <c r="H35" s="140" t="s">
        <v>408</v>
      </c>
      <c r="I35" s="140" t="s">
        <v>409</v>
      </c>
      <c r="J35" s="140" t="s">
        <v>410</v>
      </c>
      <c r="K35" s="140" t="s">
        <v>411</v>
      </c>
      <c r="L35" s="140" t="s">
        <v>412</v>
      </c>
      <c r="M35" s="140" t="s">
        <v>413</v>
      </c>
      <c r="N35" s="140" t="s">
        <v>414</v>
      </c>
      <c r="O35" s="98" t="s">
        <v>415</v>
      </c>
    </row>
    <row r="36" spans="2:15" ht="18.95" customHeight="1" x14ac:dyDescent="0.25">
      <c r="B36" s="109" t="s">
        <v>416</v>
      </c>
      <c r="C36" s="307">
        <f>(SUMIF('Données Brutes'!A38:A56,"Chiffre d'affaires net",'Données Brutes'!F38:F56))/12*0.85</f>
        <v>2295000</v>
      </c>
      <c r="D36" s="307">
        <f>(SUMIF('Données Brutes'!A38:A56,"Chiffre d'affaires net",'Données Brutes'!F38:F56))/12*0.9</f>
        <v>2430000</v>
      </c>
      <c r="E36" s="307">
        <f>(SUMIF('Données Brutes'!A38:A56,"Chiffre d'affaires net",'Données Brutes'!F38:F56))/12*0.95</f>
        <v>2565000</v>
      </c>
      <c r="F36" s="307">
        <f>(SUMIF('Données Brutes'!A38:A56,"Chiffre d'affaires net",'Données Brutes'!F38:F56))/12*1</f>
        <v>2700000</v>
      </c>
      <c r="G36" s="307">
        <f>(SUMIF('Données Brutes'!A38:A56,"Chiffre d'affaires net",'Données Brutes'!F38:F56))/12*1.05</f>
        <v>2835000</v>
      </c>
      <c r="H36" s="307">
        <f>(SUMIF('Données Brutes'!A38:A56,"Chiffre d'affaires net",'Données Brutes'!F38:F56))/12*1.1</f>
        <v>2970000.0000000005</v>
      </c>
      <c r="I36" s="307">
        <f>(SUMIF('Données Brutes'!A38:A56,"Chiffre d'affaires net",'Données Brutes'!F38:F56))/12*1.15</f>
        <v>3104999.9999999995</v>
      </c>
      <c r="J36" s="307">
        <f>(SUMIF('Données Brutes'!A38:A56,"Chiffre d'affaires net",'Données Brutes'!F38:F56))/12*1.1</f>
        <v>2970000.0000000005</v>
      </c>
      <c r="K36" s="307">
        <f>(SUMIF('Données Brutes'!A38:A56,"Chiffre d'affaires net",'Données Brutes'!F38:F56))/12*0.95</f>
        <v>2565000</v>
      </c>
      <c r="L36" s="307">
        <f>(SUMIF('Données Brutes'!A38:A56,"Chiffre d'affaires net",'Données Brutes'!F38:F56))/12*1.05</f>
        <v>2835000</v>
      </c>
      <c r="M36" s="307">
        <f>(SUMIF('Données Brutes'!A38:A56,"Chiffre d'affaires net",'Données Brutes'!F38:F56))/12*1.1</f>
        <v>2970000.0000000005</v>
      </c>
      <c r="N36" s="307">
        <f>(SUMIF('Données Brutes'!A38:A56,"Chiffre d'affaires net",'Données Brutes'!F38:F56))/12*1.05</f>
        <v>2835000</v>
      </c>
      <c r="O36" s="307">
        <f t="shared" ref="O36:O42" si="4">SUM(C36:N36)</f>
        <v>33075000</v>
      </c>
    </row>
    <row r="37" spans="2:15" ht="18.95" customHeight="1" x14ac:dyDescent="0.25">
      <c r="B37" s="110" t="s">
        <v>417</v>
      </c>
      <c r="C37" s="308">
        <f>(SUMIF('Données Brutes'!A38:A56,"Achats matières premières",'Données Brutes'!F38:F56)+SUMIF('Données Brutes'!A38:A56,"Variation stocks MP",'Données Brutes'!F38:F56))/12*1</f>
        <v>1320833.3333333333</v>
      </c>
      <c r="D37" s="308">
        <f>(SUMIF('Données Brutes'!A38:A56,"Achats matières premières",'Données Brutes'!F38:F56)+SUMIF('Données Brutes'!A38:A56,"Variation stocks MP",'Données Brutes'!F38:F56))/12*0.95</f>
        <v>1254791.6666666665</v>
      </c>
      <c r="E37" s="308">
        <f>(SUMIF('Données Brutes'!A38:A56,"Achats matières premières",'Données Brutes'!F38:F56)+SUMIF('Données Brutes'!A38:A56,"Variation stocks MP",'Données Brutes'!F38:F56))/12*0.9</f>
        <v>1188750</v>
      </c>
      <c r="F37" s="308">
        <f>(SUMIF('Données Brutes'!A38:A56,"Achats matières premières",'Données Brutes'!F38:F56)+SUMIF('Données Brutes'!A38:A56,"Variation stocks MP",'Données Brutes'!F38:F56))/12*0.95</f>
        <v>1254791.6666666665</v>
      </c>
      <c r="G37" s="308">
        <f>(SUMIF('Données Brutes'!A38:A56,"Achats matières premières",'Données Brutes'!F38:F56)+SUMIF('Données Brutes'!A38:A56,"Variation stocks MP",'Données Brutes'!F38:F56))/12*1</f>
        <v>1320833.3333333333</v>
      </c>
      <c r="H37" s="308">
        <f>(SUMIF('Données Brutes'!A38:A56,"Achats matières premières",'Données Brutes'!F38:F56)+SUMIF('Données Brutes'!A38:A56,"Variation stocks MP",'Données Brutes'!F38:F56))/12*1.05</f>
        <v>1386875</v>
      </c>
      <c r="I37" s="308">
        <f>(SUMIF('Données Brutes'!A38:A56,"Achats matières premières",'Données Brutes'!F38:F56)+SUMIF('Données Brutes'!A38:A56,"Variation stocks MP",'Données Brutes'!F38:F56))/12*1.1</f>
        <v>1452916.6666666667</v>
      </c>
      <c r="J37" s="308">
        <f>(SUMIF('Données Brutes'!A38:A56,"Achats matières premières",'Données Brutes'!F38:F56)+SUMIF('Données Brutes'!A38:A56,"Variation stocks MP",'Données Brutes'!F38:F56))/12*1.1</f>
        <v>1452916.6666666667</v>
      </c>
      <c r="K37" s="308">
        <f>(SUMIF('Données Brutes'!A38:A56,"Achats matières premières",'Données Brutes'!F38:F56)+SUMIF('Données Brutes'!A38:A56,"Variation stocks MP",'Données Brutes'!F38:F56))/12*0.95</f>
        <v>1254791.6666666665</v>
      </c>
      <c r="L37" s="308">
        <f>(SUMIF('Données Brutes'!A38:A56,"Achats matières premières",'Données Brutes'!F38:F56)+SUMIF('Données Brutes'!A38:A56,"Variation stocks MP",'Données Brutes'!F38:F56))/12*1</f>
        <v>1320833.3333333333</v>
      </c>
      <c r="M37" s="308">
        <f>(SUMIF('Données Brutes'!A38:A56,"Achats matières premières",'Données Brutes'!F38:F56)+SUMIF('Données Brutes'!A38:A56,"Variation stocks MP",'Données Brutes'!F38:F56))/12*1.05</f>
        <v>1386875</v>
      </c>
      <c r="N37" s="308">
        <f>(SUMIF('Données Brutes'!A38:A56,"Achats matières premières",'Données Brutes'!F38:F56)+SUMIF('Données Brutes'!A38:A56,"Variation stocks MP",'Données Brutes'!F38:F56))/12*1</f>
        <v>1320833.3333333333</v>
      </c>
      <c r="O37" s="308">
        <f t="shared" si="4"/>
        <v>15916041.666666666</v>
      </c>
    </row>
    <row r="38" spans="2:15" ht="18.95" customHeight="1" x14ac:dyDescent="0.25">
      <c r="B38" s="109" t="s">
        <v>418</v>
      </c>
      <c r="C38" s="309">
        <f>(SUMIF('Données Brutes'!A38:A56,"Charges de personnel",'Données Brutes'!F38:F56))/12</f>
        <v>575000</v>
      </c>
      <c r="D38" s="309">
        <f>(SUMIF('Données Brutes'!A38:A56,"Charges de personnel",'Données Brutes'!F38:F56))/12</f>
        <v>575000</v>
      </c>
      <c r="E38" s="309">
        <f>(SUMIF('Données Brutes'!A38:A56,"Charges de personnel",'Données Brutes'!F38:F56))/12</f>
        <v>575000</v>
      </c>
      <c r="F38" s="309">
        <f>(SUMIF('Données Brutes'!A38:A56,"Charges de personnel",'Données Brutes'!F38:F56))/12</f>
        <v>575000</v>
      </c>
      <c r="G38" s="309">
        <f>(SUMIF('Données Brutes'!A38:A56,"Charges de personnel",'Données Brutes'!F38:F56))/12</f>
        <v>575000</v>
      </c>
      <c r="H38" s="309">
        <f>(SUMIF('Données Brutes'!A38:A56,"Charges de personnel",'Données Brutes'!F38:F56))/12</f>
        <v>575000</v>
      </c>
      <c r="I38" s="309">
        <f>(SUMIF('Données Brutes'!A38:A56,"Charges de personnel",'Données Brutes'!F38:F56))/12</f>
        <v>575000</v>
      </c>
      <c r="J38" s="309">
        <f>(SUMIF('Données Brutes'!A38:A56,"Charges de personnel",'Données Brutes'!F38:F56))/12</f>
        <v>575000</v>
      </c>
      <c r="K38" s="309">
        <f>(SUMIF('Données Brutes'!A38:A56,"Charges de personnel",'Données Brutes'!F38:F56))/12</f>
        <v>575000</v>
      </c>
      <c r="L38" s="309">
        <f>(SUMIF('Données Brutes'!A38:A56,"Charges de personnel",'Données Brutes'!F38:F56))/12</f>
        <v>575000</v>
      </c>
      <c r="M38" s="309">
        <f>(SUMIF('Données Brutes'!A38:A56,"Charges de personnel",'Données Brutes'!F38:F56))/12</f>
        <v>575000</v>
      </c>
      <c r="N38" s="309">
        <f>(SUMIF('Données Brutes'!A38:A56,"Charges de personnel",'Données Brutes'!F38:F56))/12</f>
        <v>575000</v>
      </c>
      <c r="O38" s="309">
        <f t="shared" si="4"/>
        <v>6900000</v>
      </c>
    </row>
    <row r="39" spans="2:15" ht="18.95" customHeight="1" x14ac:dyDescent="0.25">
      <c r="B39" s="110" t="s">
        <v>419</v>
      </c>
      <c r="C39" s="308">
        <f>(SUMIF('Données Brutes'!A38:A56,"Autres achats &amp; charges ext.",'Données Brutes'!F38:F56))/12</f>
        <v>387500</v>
      </c>
      <c r="D39" s="308">
        <f>(SUMIF('Données Brutes'!A38:A56,"Autres achats &amp; charges ext.",'Données Brutes'!F38:F56))/12</f>
        <v>387500</v>
      </c>
      <c r="E39" s="308">
        <f>(SUMIF('Données Brutes'!A38:A56,"Autres achats &amp; charges ext.",'Données Brutes'!F38:F56))/12</f>
        <v>387500</v>
      </c>
      <c r="F39" s="308">
        <f>(SUMIF('Données Brutes'!A38:A56,"Autres achats &amp; charges ext.",'Données Brutes'!F38:F56))/12</f>
        <v>387500</v>
      </c>
      <c r="G39" s="308">
        <f>(SUMIF('Données Brutes'!A38:A56,"Autres achats &amp; charges ext.",'Données Brutes'!F38:F56))/12</f>
        <v>387500</v>
      </c>
      <c r="H39" s="308">
        <f>(SUMIF('Données Brutes'!A38:A56,"Autres achats &amp; charges ext.",'Données Brutes'!F38:F56))/12</f>
        <v>387500</v>
      </c>
      <c r="I39" s="308">
        <f>(SUMIF('Données Brutes'!A38:A56,"Autres achats &amp; charges ext.",'Données Brutes'!F38:F56))/12</f>
        <v>387500</v>
      </c>
      <c r="J39" s="308">
        <f>(SUMIF('Données Brutes'!A38:A56,"Autres achats &amp; charges ext.",'Données Brutes'!F38:F56))/12</f>
        <v>387500</v>
      </c>
      <c r="K39" s="308">
        <f>(SUMIF('Données Brutes'!A38:A56,"Autres achats &amp; charges ext.",'Données Brutes'!F38:F56))/12</f>
        <v>387500</v>
      </c>
      <c r="L39" s="308">
        <f>(SUMIF('Données Brutes'!A38:A56,"Autres achats &amp; charges ext.",'Données Brutes'!F38:F56))/12</f>
        <v>387500</v>
      </c>
      <c r="M39" s="308">
        <f>(SUMIF('Données Brutes'!A38:A56,"Autres achats &amp; charges ext.",'Données Brutes'!F38:F56))/12</f>
        <v>387500</v>
      </c>
      <c r="N39" s="308">
        <f>(SUMIF('Données Brutes'!A38:A56,"Autres achats &amp; charges ext.",'Données Brutes'!F38:F56))/12</f>
        <v>387500</v>
      </c>
      <c r="O39" s="308">
        <f t="shared" si="4"/>
        <v>4650000</v>
      </c>
    </row>
    <row r="40" spans="2:15" ht="18.95" customHeight="1" x14ac:dyDescent="0.25">
      <c r="B40" s="109" t="s">
        <v>420</v>
      </c>
      <c r="C40" s="309">
        <f>(SUMIF('Données Brutes'!A38:A56,"Charges financières",'Données Brutes'!F38:F56))/12</f>
        <v>32500</v>
      </c>
      <c r="D40" s="309">
        <f>(SUMIF('Données Brutes'!A38:A56,"Charges financières",'Données Brutes'!F38:F56))/12</f>
        <v>32500</v>
      </c>
      <c r="E40" s="309">
        <f>(SUMIF('Données Brutes'!A38:A56,"Charges financières",'Données Brutes'!F38:F56))/12</f>
        <v>32500</v>
      </c>
      <c r="F40" s="309">
        <f>(SUMIF('Données Brutes'!A38:A56,"Charges financières",'Données Brutes'!F38:F56))/12</f>
        <v>32500</v>
      </c>
      <c r="G40" s="309">
        <f>(SUMIF('Données Brutes'!A38:A56,"Charges financières",'Données Brutes'!F38:F56))/12</f>
        <v>32500</v>
      </c>
      <c r="H40" s="309">
        <f>(SUMIF('Données Brutes'!A38:A56,"Charges financières",'Données Brutes'!F38:F56))/12</f>
        <v>32500</v>
      </c>
      <c r="I40" s="309">
        <f>(SUMIF('Données Brutes'!A38:A56,"Charges financières",'Données Brutes'!F38:F56))/12</f>
        <v>32500</v>
      </c>
      <c r="J40" s="309">
        <f>(SUMIF('Données Brutes'!A38:A56,"Charges financières",'Données Brutes'!F38:F56))/12</f>
        <v>32500</v>
      </c>
      <c r="K40" s="309">
        <f>(SUMIF('Données Brutes'!A38:A56,"Charges financières",'Données Brutes'!F38:F56))/12</f>
        <v>32500</v>
      </c>
      <c r="L40" s="309">
        <f>(SUMIF('Données Brutes'!A38:A56,"Charges financières",'Données Brutes'!F38:F56))/12</f>
        <v>32500</v>
      </c>
      <c r="M40" s="309">
        <f>(SUMIF('Données Brutes'!A38:A56,"Charges financières",'Données Brutes'!F38:F56))/12</f>
        <v>32500</v>
      </c>
      <c r="N40" s="309">
        <f>(SUMIF('Données Brutes'!A38:A56,"Charges financières",'Données Brutes'!F38:F56))/12</f>
        <v>32500</v>
      </c>
      <c r="O40" s="309">
        <f t="shared" si="4"/>
        <v>390000</v>
      </c>
    </row>
    <row r="41" spans="2:15" ht="18.95" customHeight="1" x14ac:dyDescent="0.25">
      <c r="B41" s="110" t="s">
        <v>421</v>
      </c>
      <c r="C41" s="308">
        <f>(SUMIF('Données Brutes'!B2:B26,"Dettes Non Courantes",'Données Brutes'!F2:F26)/5)/12</f>
        <v>100666.66666666667</v>
      </c>
      <c r="D41" s="308">
        <f>(SUMIF('Données Brutes'!B2:B26,"Dettes Non Courantes",'Données Brutes'!F2:F26)/5)/12</f>
        <v>100666.66666666667</v>
      </c>
      <c r="E41" s="308">
        <f>(SUMIF('Données Brutes'!B2:B26,"Dettes Non Courantes",'Données Brutes'!F2:F26)/5)/12</f>
        <v>100666.66666666667</v>
      </c>
      <c r="F41" s="308">
        <f>(SUMIF('Données Brutes'!B2:B26,"Dettes Non Courantes",'Données Brutes'!F2:F26)/5)/12</f>
        <v>100666.66666666667</v>
      </c>
      <c r="G41" s="308">
        <f>(SUMIF('Données Brutes'!B2:B26,"Dettes Non Courantes",'Données Brutes'!F2:F26)/5)/12</f>
        <v>100666.66666666667</v>
      </c>
      <c r="H41" s="308">
        <f>(SUMIF('Données Brutes'!B2:B26,"Dettes Non Courantes",'Données Brutes'!F2:F26)/5)/12</f>
        <v>100666.66666666667</v>
      </c>
      <c r="I41" s="308">
        <f>(SUMIF('Données Brutes'!B2:B26,"Dettes Non Courantes",'Données Brutes'!F2:F26)/5)/12</f>
        <v>100666.66666666667</v>
      </c>
      <c r="J41" s="308">
        <f>(SUMIF('Données Brutes'!B2:B26,"Dettes Non Courantes",'Données Brutes'!F2:F26)/5)/12</f>
        <v>100666.66666666667</v>
      </c>
      <c r="K41" s="308">
        <f>(SUMIF('Données Brutes'!B2:B26,"Dettes Non Courantes",'Données Brutes'!F2:F26)/5)/12</f>
        <v>100666.66666666667</v>
      </c>
      <c r="L41" s="308">
        <f>(SUMIF('Données Brutes'!B2:B26,"Dettes Non Courantes",'Données Brutes'!F2:F26)/5)/12</f>
        <v>100666.66666666667</v>
      </c>
      <c r="M41" s="308">
        <f>(SUMIF('Données Brutes'!B2:B26,"Dettes Non Courantes",'Données Brutes'!F2:F26)/5)/12</f>
        <v>100666.66666666667</v>
      </c>
      <c r="N41" s="308">
        <f>(SUMIF('Données Brutes'!B2:B26,"Dettes Non Courantes",'Données Brutes'!F2:F26)/5)/12</f>
        <v>100666.66666666667</v>
      </c>
      <c r="O41" s="308">
        <f t="shared" si="4"/>
        <v>1208000</v>
      </c>
    </row>
    <row r="42" spans="2:15" ht="21" customHeight="1" x14ac:dyDescent="0.25">
      <c r="B42" s="111" t="str">
        <f>"FLUX NET MENSUEL ("&amp;Accueil!F28&amp;")"</f>
        <v>FLUX NET MENSUEL (M€)</v>
      </c>
      <c r="C42" s="310">
        <f>C36-C37-C38-C39-C40-C41</f>
        <v>-121499.99999999993</v>
      </c>
      <c r="D42" s="310">
        <f>D36-D37-D38-D39-D40-D41</f>
        <v>79541.666666666817</v>
      </c>
      <c r="E42" s="310">
        <f>E36-E37-E38-E39-E40-E41</f>
        <v>280583.33333333331</v>
      </c>
      <c r="F42" s="310">
        <f>F36-F37-F38-F39-F40-F41</f>
        <v>349541.6666666668</v>
      </c>
      <c r="G42" s="172">
        <f>G36-G37-G38-G39-G40-G41</f>
        <v>418500.00000000006</v>
      </c>
      <c r="H42" s="310">
        <f t="shared" ref="H42:N42" si="5">H36-H37-H38-H39-H40-H41</f>
        <v>487458.33333333378</v>
      </c>
      <c r="I42" s="310">
        <f t="shared" si="5"/>
        <v>556416.66666666616</v>
      </c>
      <c r="J42" s="310">
        <f t="shared" si="5"/>
        <v>421416.66666666704</v>
      </c>
      <c r="K42" s="310">
        <f t="shared" si="5"/>
        <v>214541.6666666668</v>
      </c>
      <c r="L42" s="310">
        <f t="shared" si="5"/>
        <v>418500.00000000006</v>
      </c>
      <c r="M42" s="310">
        <f t="shared" si="5"/>
        <v>487458.33333333378</v>
      </c>
      <c r="N42" s="310">
        <f t="shared" si="5"/>
        <v>418500.00000000006</v>
      </c>
      <c r="O42" s="310">
        <f t="shared" si="4"/>
        <v>4010958.3333333349</v>
      </c>
    </row>
    <row r="43" spans="2:15" ht="21" customHeight="1" x14ac:dyDescent="0.25">
      <c r="B43" s="112" t="str">
        <f>"Trésorerie cumulée ("&amp;Accueil!F28&amp;")"</f>
        <v>Trésorerie cumulée (M€)</v>
      </c>
      <c r="C43" s="311">
        <f>(SUMIF('Données Brutes'!A2:A26,"Trésorerie active",'Données Brutes'!F2:F26)+SUMIF('Données Brutes'!A2:A26,"VMP",'Données Brutes'!F2:F26))+C42</f>
        <v>1828500</v>
      </c>
      <c r="D43" s="311">
        <f>C43+D42</f>
        <v>1908041.6666666667</v>
      </c>
      <c r="E43" s="311">
        <f>D43+E42</f>
        <v>2188625</v>
      </c>
      <c r="F43" s="311">
        <f>E43+F42</f>
        <v>2538166.666666667</v>
      </c>
      <c r="G43" s="172">
        <f>F43+G42</f>
        <v>2956666.666666667</v>
      </c>
      <c r="H43" s="311">
        <f t="shared" ref="H43:N43" si="6">G43+H42</f>
        <v>3444125.0000000009</v>
      </c>
      <c r="I43" s="311">
        <f t="shared" si="6"/>
        <v>4000541.666666667</v>
      </c>
      <c r="J43" s="311">
        <f t="shared" si="6"/>
        <v>4421958.333333334</v>
      </c>
      <c r="K43" s="311">
        <f t="shared" si="6"/>
        <v>4636500.0000000009</v>
      </c>
      <c r="L43" s="311">
        <f t="shared" si="6"/>
        <v>5055000.0000000009</v>
      </c>
      <c r="M43" s="311">
        <f t="shared" si="6"/>
        <v>5542458.3333333349</v>
      </c>
      <c r="N43" s="311">
        <f t="shared" si="6"/>
        <v>5960958.3333333349</v>
      </c>
      <c r="O43" s="311">
        <f>N43</f>
        <v>5960958.3333333349</v>
      </c>
    </row>
    <row r="44" spans="2:15" ht="21.95" customHeight="1" x14ac:dyDescent="0.25">
      <c r="B44" s="99" t="s">
        <v>422</v>
      </c>
      <c r="C44" s="113" t="str">
        <f t="shared" ref="C44:N44" si="7">IF(C43&gt;0,IF(C42&gt;0,"✅","⚠️"),"🔴")</f>
        <v>⚠️</v>
      </c>
      <c r="D44" s="113" t="str">
        <f t="shared" si="7"/>
        <v>✅</v>
      </c>
      <c r="E44" s="113" t="str">
        <f t="shared" si="7"/>
        <v>✅</v>
      </c>
      <c r="F44" s="113" t="str">
        <f t="shared" si="7"/>
        <v>✅</v>
      </c>
      <c r="G44" s="113" t="str">
        <f t="shared" si="7"/>
        <v>✅</v>
      </c>
      <c r="H44" s="113" t="str">
        <f t="shared" si="7"/>
        <v>✅</v>
      </c>
      <c r="I44" s="113" t="str">
        <f t="shared" si="7"/>
        <v>✅</v>
      </c>
      <c r="J44" s="113" t="str">
        <f t="shared" si="7"/>
        <v>✅</v>
      </c>
      <c r="K44" s="113" t="str">
        <f t="shared" si="7"/>
        <v>✅</v>
      </c>
      <c r="L44" s="113" t="str">
        <f t="shared" si="7"/>
        <v>✅</v>
      </c>
      <c r="M44" s="113" t="str">
        <f t="shared" si="7"/>
        <v>✅</v>
      </c>
      <c r="N44" s="113" t="str">
        <f t="shared" si="7"/>
        <v>✅</v>
      </c>
      <c r="O44" s="100" t="s">
        <v>386</v>
      </c>
    </row>
    <row r="45" spans="2:15" ht="8.1" customHeight="1" x14ac:dyDescent="0.25">
      <c r="B45" s="506"/>
      <c r="C45" s="506"/>
      <c r="D45" s="506"/>
      <c r="E45" s="506"/>
      <c r="F45" s="506"/>
      <c r="G45" s="506"/>
      <c r="H45" s="506"/>
      <c r="I45" s="506"/>
      <c r="J45" s="506"/>
      <c r="K45" s="506"/>
      <c r="L45" s="506"/>
      <c r="M45" s="506"/>
      <c r="N45" s="506"/>
      <c r="O45" s="506"/>
    </row>
    <row r="46" spans="2:15" ht="20.100000000000001" customHeight="1" x14ac:dyDescent="0.25">
      <c r="B46" s="114" t="s">
        <v>423</v>
      </c>
      <c r="C46" s="507"/>
      <c r="D46" s="507"/>
      <c r="E46" s="507"/>
      <c r="F46" s="507"/>
      <c r="G46" s="507"/>
      <c r="H46" s="507"/>
      <c r="I46" s="507"/>
      <c r="J46" s="507"/>
      <c r="K46" s="507"/>
      <c r="L46" s="507"/>
      <c r="M46" s="507"/>
      <c r="N46" s="507"/>
      <c r="O46" s="507"/>
    </row>
    <row r="47" spans="2:15" ht="17.100000000000001" customHeight="1" x14ac:dyDescent="0.25">
      <c r="B47" s="115" t="s">
        <v>424</v>
      </c>
      <c r="C47" s="1308" t="s">
        <v>425</v>
      </c>
      <c r="D47" s="1309"/>
      <c r="E47" s="1309"/>
      <c r="F47" s="1309"/>
      <c r="G47" s="1309"/>
      <c r="H47" s="1309"/>
      <c r="I47" s="1309"/>
      <c r="J47" s="1309"/>
      <c r="K47" s="1309"/>
      <c r="L47" s="1309"/>
      <c r="M47" s="1309"/>
      <c r="N47" s="1309"/>
      <c r="O47" s="1309"/>
    </row>
    <row r="48" spans="2:15" ht="17.100000000000001" customHeight="1" x14ac:dyDescent="0.25">
      <c r="B48" s="116" t="s">
        <v>426</v>
      </c>
      <c r="C48" s="1310" t="s">
        <v>427</v>
      </c>
      <c r="D48" s="1311"/>
      <c r="E48" s="1311"/>
      <c r="F48" s="1311"/>
      <c r="G48" s="1311"/>
      <c r="H48" s="1311"/>
      <c r="I48" s="1311"/>
      <c r="J48" s="1311"/>
      <c r="K48" s="1311"/>
      <c r="L48" s="1311"/>
      <c r="M48" s="1311"/>
      <c r="N48" s="1311"/>
      <c r="O48" s="1311"/>
    </row>
    <row r="49" spans="2:15" ht="17.100000000000001" customHeight="1" x14ac:dyDescent="0.25">
      <c r="B49" s="115" t="s">
        <v>428</v>
      </c>
      <c r="C49" s="1308" t="s">
        <v>429</v>
      </c>
      <c r="D49" s="1309"/>
      <c r="E49" s="1309"/>
      <c r="F49" s="1309"/>
      <c r="G49" s="1309"/>
      <c r="H49" s="1309"/>
      <c r="I49" s="1309"/>
      <c r="J49" s="1309"/>
      <c r="K49" s="1309"/>
      <c r="L49" s="1309"/>
      <c r="M49" s="1309"/>
      <c r="N49" s="1309"/>
      <c r="O49" s="1309"/>
    </row>
    <row r="50" spans="2:15" ht="17.100000000000001" customHeight="1" x14ac:dyDescent="0.25">
      <c r="B50" s="116" t="s">
        <v>430</v>
      </c>
      <c r="C50" s="1310" t="s">
        <v>431</v>
      </c>
      <c r="D50" s="1311"/>
      <c r="E50" s="1311"/>
      <c r="F50" s="1311"/>
      <c r="G50" s="1311"/>
      <c r="H50" s="1311"/>
      <c r="I50" s="1311"/>
      <c r="J50" s="1311"/>
      <c r="K50" s="1311"/>
      <c r="L50" s="1311"/>
      <c r="M50" s="1311"/>
      <c r="N50" s="1311"/>
      <c r="O50" s="1311"/>
    </row>
    <row r="51" spans="2:15" ht="18" customHeight="1" thickBot="1" x14ac:dyDescent="0.3">
      <c r="B51" s="96"/>
      <c r="C51" s="96"/>
      <c r="D51" s="96"/>
      <c r="E51" s="96"/>
      <c r="F51" s="96"/>
      <c r="G51" s="96"/>
      <c r="H51" s="96"/>
      <c r="I51" s="96"/>
      <c r="J51" s="96"/>
      <c r="K51" s="96"/>
      <c r="L51" s="96"/>
      <c r="M51" s="96"/>
      <c r="N51" s="96"/>
      <c r="O51" s="96"/>
    </row>
    <row r="52" spans="2:15" ht="20.100000000000001" customHeight="1" thickBot="1" x14ac:dyDescent="0.3">
      <c r="B52" s="811" t="str">
        <f>"TABLE DE SENSIBILITE CROISEE : INFLATION x CROISSANCE CA → IMPACT SUR TRESORERIE NETTE ("&amp;Accueil!F28&amp;")"</f>
        <v>TABLE DE SENSIBILITE CROISEE : INFLATION x CROISSANCE CA → IMPACT SUR TRESORERIE NETTE (M€)</v>
      </c>
    </row>
    <row r="53" spans="2:15" ht="18" customHeight="1" x14ac:dyDescent="0.25">
      <c r="B53" s="173" t="str">
        <f>"Impact simule sur la Tresorerie Nette 2025 ("&amp;Accueil!F28&amp;") selon taux d'inflation et variation du CA. Base: CA="&amp;TEXT(SUMIF('Données Brutes'!A38:A56,"Chiffre d'affaires net",'Données Brutes'!F38:F56)/Accueil!F27,"# ##0")&amp;" "&amp;Accueil!F28&amp;", Tresorerie="&amp;TEXT((SUMIF('Données Brutes'!A2:A26,"Trésorerie active",'Données Brutes'!F2:F26)+SUMIF('Données Brutes'!A2:A26,"VMP",'Données Brutes'!F2:F26))/Accueil!F27,"# ##0")&amp;" "&amp;Accueil!F28</f>
        <v>Impact simule sur la Tresorerie Nette 2025 (M€) selon taux d'inflation et variation du CA. Base: CA=32 M€, Tresorerie=2 M€</v>
      </c>
    </row>
    <row r="54" spans="2:15" ht="18" customHeight="1" thickBot="1" x14ac:dyDescent="0.3"/>
    <row r="55" spans="2:15" ht="18" customHeight="1" thickBot="1" x14ac:dyDescent="0.3">
      <c r="B55" s="812" t="s">
        <v>432</v>
      </c>
      <c r="C55" s="813">
        <v>-0.15</v>
      </c>
      <c r="D55" s="813">
        <v>-0.1</v>
      </c>
      <c r="E55" s="813">
        <v>-0.05</v>
      </c>
      <c r="F55" s="813">
        <v>0</v>
      </c>
      <c r="G55" s="813">
        <v>0.05</v>
      </c>
      <c r="H55" s="813">
        <v>0.1</v>
      </c>
      <c r="I55" s="814">
        <v>0.15</v>
      </c>
    </row>
    <row r="56" spans="2:15" x14ac:dyDescent="0.25">
      <c r="B56" s="179">
        <v>-0.02</v>
      </c>
      <c r="C56" s="180">
        <f>(SUMIF('Données Brutes'!A2:A26,"Trésorerie active",'Données Brutes'!F2:F26)+SUMIF('Données Brutes'!A2:A26,"VMP",'Données Brutes'!F2:F26))+SUMIF('Données Brutes'!A38:A56,"Chiffre d'affaires net",'Données Brutes'!F38:F56)*C$55-SUMIF('Données Brutes'!A38:A56,"Achats matières premières",'Données Brutes'!F38:F56)*$B56</f>
        <v>-2588000</v>
      </c>
      <c r="D56" s="180">
        <f>(SUMIF('Données Brutes'!A2:A26,"Trésorerie active",'Données Brutes'!F2:F26)+SUMIF('Données Brutes'!A2:A26,"VMP",'Données Brutes'!F2:F26))+SUMIF('Données Brutes'!A38:A56,"Chiffre d'affaires net",'Données Brutes'!F38:F56)*D$55-SUMIF('Données Brutes'!A38:A56,"Achats matières premières",'Données Brutes'!F38:F56)*$B56</f>
        <v>-968000</v>
      </c>
      <c r="E56" s="181">
        <f>(SUMIF('Données Brutes'!A2:A26,"Trésorerie active",'Données Brutes'!F2:F26)+SUMIF('Données Brutes'!A2:A26,"VMP",'Données Brutes'!F2:F26))+SUMIF('Données Brutes'!A38:A56,"Chiffre d'affaires net",'Données Brutes'!F38:F56)*E$55-SUMIF('Données Brutes'!A38:A56,"Achats matières premières",'Données Brutes'!F38:F56)*$B56</f>
        <v>652000</v>
      </c>
      <c r="F56" s="182">
        <f>(SUMIF('Données Brutes'!A2:A26,"Trésorerie active",'Données Brutes'!F2:F26)+SUMIF('Données Brutes'!A2:A26,"VMP",'Données Brutes'!F2:F26))+SUMIF('Données Brutes'!A38:A56,"Chiffre d'affaires net",'Données Brutes'!F38:F56)*F$55-SUMIF('Données Brutes'!A38:A56,"Achats matières premières",'Données Brutes'!F38:F56)*$B56</f>
        <v>2272000</v>
      </c>
      <c r="G56" s="183">
        <f>(SUMIF('Données Brutes'!A2:A26,"Trésorerie active",'Données Brutes'!F2:F26)+SUMIF('Données Brutes'!A2:A26,"VMP",'Données Brutes'!F2:F26))+SUMIF('Données Brutes'!A38:A56,"Chiffre d'affaires net",'Données Brutes'!F38:F56)*G$55-SUMIF('Données Brutes'!A38:A56,"Achats matières premières",'Données Brutes'!F38:F56)*$B56</f>
        <v>3892000</v>
      </c>
      <c r="H56" s="183">
        <f>(SUMIF('Données Brutes'!A2:A26,"Trésorerie active",'Données Brutes'!F2:F26)+SUMIF('Données Brutes'!A2:A26,"VMP",'Données Brutes'!F2:F26))+SUMIF('Données Brutes'!A38:A56,"Chiffre d'affaires net",'Données Brutes'!F38:F56)*H$55-SUMIF('Données Brutes'!A38:A56,"Achats matières premières",'Données Brutes'!F38:F56)*$B56</f>
        <v>5512000</v>
      </c>
      <c r="I56" s="183">
        <f>(SUMIF('Données Brutes'!A2:A26,"Trésorerie active",'Données Brutes'!F2:F26)+SUMIF('Données Brutes'!A2:A26,"VMP",'Données Brutes'!F2:F26))+SUMIF('Données Brutes'!A38:A56,"Chiffre d'affaires net",'Données Brutes'!F38:F56)*I$55-SUMIF('Données Brutes'!A38:A56,"Achats matières premières",'Données Brutes'!F38:F56)*$B56</f>
        <v>7132000</v>
      </c>
    </row>
    <row r="57" spans="2:15" x14ac:dyDescent="0.25">
      <c r="B57" s="179">
        <v>0</v>
      </c>
      <c r="C57" s="180">
        <f>(SUMIF('Données Brutes'!A2:A26,"Trésorerie active",'Données Brutes'!F2:F26)+SUMIF('Données Brutes'!A2:A26,"VMP",'Données Brutes'!F2:F26))+SUMIF('Données Brutes'!A38:A56,"Chiffre d'affaires net",'Données Brutes'!F38:F56)*C$55-SUMIF('Données Brutes'!A38:A56,"Achats matières premières",'Données Brutes'!F38:F56)*$B57</f>
        <v>-2910000</v>
      </c>
      <c r="D57" s="180">
        <f>(SUMIF('Données Brutes'!A2:A26,"Trésorerie active",'Données Brutes'!F2:F26)+SUMIF('Données Brutes'!A2:A26,"VMP",'Données Brutes'!F2:F26))+SUMIF('Données Brutes'!A38:A56,"Chiffre d'affaires net",'Données Brutes'!F38:F56)*D$55-SUMIF('Données Brutes'!A38:A56,"Achats matières premières",'Données Brutes'!F38:F56)*$B57</f>
        <v>-1290000</v>
      </c>
      <c r="E57" s="181">
        <f>(SUMIF('Données Brutes'!A2:A26,"Trésorerie active",'Données Brutes'!F2:F26)+SUMIF('Données Brutes'!A2:A26,"VMP",'Données Brutes'!F2:F26))+SUMIF('Données Brutes'!A38:A56,"Chiffre d'affaires net",'Données Brutes'!F38:F56)*E$55-SUMIF('Données Brutes'!A38:A56,"Achats matières premières",'Données Brutes'!F38:F56)*$B57</f>
        <v>330000</v>
      </c>
      <c r="F57" s="184">
        <f>(SUMIF('Données Brutes'!A2:A26,"Trésorerie active",'Données Brutes'!F2:F26)+SUMIF('Données Brutes'!A2:A26,"VMP",'Données Brutes'!F2:F26))+SUMIF('Données Brutes'!A38:A56,"Chiffre d'affaires net",'Données Brutes'!F38:F56)*F$55-SUMIF('Données Brutes'!A38:A56,"Achats matières premières",'Données Brutes'!F38:F56)*$B57</f>
        <v>1950000</v>
      </c>
      <c r="G57" s="183">
        <f>(SUMIF('Données Brutes'!A2:A26,"Trésorerie active",'Données Brutes'!F2:F26)+SUMIF('Données Brutes'!A2:A26,"VMP",'Données Brutes'!F2:F26))+SUMIF('Données Brutes'!A38:A56,"Chiffre d'affaires net",'Données Brutes'!F38:F56)*G$55-SUMIF('Données Brutes'!A38:A56,"Achats matières premières",'Données Brutes'!F38:F56)*$B57</f>
        <v>3570000</v>
      </c>
      <c r="H57" s="183">
        <f>(SUMIF('Données Brutes'!A2:A26,"Trésorerie active",'Données Brutes'!F2:F26)+SUMIF('Données Brutes'!A2:A26,"VMP",'Données Brutes'!F2:F26))+SUMIF('Données Brutes'!A38:A56,"Chiffre d'affaires net",'Données Brutes'!F38:F56)*H$55-SUMIF('Données Brutes'!A38:A56,"Achats matières premières",'Données Brutes'!F38:F56)*$B57</f>
        <v>5190000</v>
      </c>
      <c r="I57" s="183">
        <f>(SUMIF('Données Brutes'!A2:A26,"Trésorerie active",'Données Brutes'!F2:F26)+SUMIF('Données Brutes'!A2:A26,"VMP",'Données Brutes'!F2:F26))+SUMIF('Données Brutes'!A38:A56,"Chiffre d'affaires net",'Données Brutes'!F38:F56)*I$55-SUMIF('Données Brutes'!A38:A56,"Achats matières premières",'Données Brutes'!F38:F56)*$B57</f>
        <v>6810000</v>
      </c>
    </row>
    <row r="58" spans="2:15" x14ac:dyDescent="0.25">
      <c r="B58" s="179">
        <v>0.02</v>
      </c>
      <c r="C58" s="180">
        <f>(SUMIF('Données Brutes'!A2:A26,"Trésorerie active",'Données Brutes'!F2:F26)+SUMIF('Données Brutes'!A2:A26,"VMP",'Données Brutes'!F2:F26))+SUMIF('Données Brutes'!A38:A56,"Chiffre d'affaires net",'Données Brutes'!F38:F56)*C$55-SUMIF('Données Brutes'!A38:A56,"Achats matières premières",'Données Brutes'!F38:F56)*$B58</f>
        <v>-3232000</v>
      </c>
      <c r="D58" s="180">
        <f>(SUMIF('Données Brutes'!A2:A26,"Trésorerie active",'Données Brutes'!F2:F26)+SUMIF('Données Brutes'!A2:A26,"VMP",'Données Brutes'!F2:F26))+SUMIF('Données Brutes'!A38:A56,"Chiffre d'affaires net",'Données Brutes'!F38:F56)*D$55-SUMIF('Données Brutes'!A38:A56,"Achats matières premières",'Données Brutes'!F38:F56)*$B58</f>
        <v>-1612000</v>
      </c>
      <c r="E58" s="181">
        <f>(SUMIF('Données Brutes'!A2:A26,"Trésorerie active",'Données Brutes'!F2:F26)+SUMIF('Données Brutes'!A2:A26,"VMP",'Données Brutes'!F2:F26))+SUMIF('Données Brutes'!A38:A56,"Chiffre d'affaires net",'Données Brutes'!F38:F56)*E$55-SUMIF('Données Brutes'!A38:A56,"Achats matières premières",'Données Brutes'!F38:F56)*$B58</f>
        <v>8000</v>
      </c>
      <c r="F58" s="182">
        <f>(SUMIF('Données Brutes'!A2:A26,"Trésorerie active",'Données Brutes'!F2:F26)+SUMIF('Données Brutes'!A2:A26,"VMP",'Données Brutes'!F2:F26))+SUMIF('Données Brutes'!A38:A56,"Chiffre d'affaires net",'Données Brutes'!F38:F56)*F$55-SUMIF('Données Brutes'!A38:A56,"Achats matières premières",'Données Brutes'!F38:F56)*$B58</f>
        <v>1628000</v>
      </c>
      <c r="G58" s="183">
        <f>(SUMIF('Données Brutes'!A2:A26,"Trésorerie active",'Données Brutes'!F2:F26)+SUMIF('Données Brutes'!A2:A26,"VMP",'Données Brutes'!F2:F26))+SUMIF('Données Brutes'!A38:A56,"Chiffre d'affaires net",'Données Brutes'!F38:F56)*G$55-SUMIF('Données Brutes'!A38:A56,"Achats matières premières",'Données Brutes'!F38:F56)*$B58</f>
        <v>3248000</v>
      </c>
      <c r="H58" s="183">
        <f>(SUMIF('Données Brutes'!A2:A26,"Trésorerie active",'Données Brutes'!F2:F26)+SUMIF('Données Brutes'!A2:A26,"VMP",'Données Brutes'!F2:F26))+SUMIF('Données Brutes'!A38:A56,"Chiffre d'affaires net",'Données Brutes'!F38:F56)*H$55-SUMIF('Données Brutes'!A38:A56,"Achats matières premières",'Données Brutes'!F38:F56)*$B58</f>
        <v>4868000</v>
      </c>
      <c r="I58" s="183">
        <f>(SUMIF('Données Brutes'!A2:A26,"Trésorerie active",'Données Brutes'!F2:F26)+SUMIF('Données Brutes'!A2:A26,"VMP",'Données Brutes'!F2:F26))+SUMIF('Données Brutes'!A38:A56,"Chiffre d'affaires net",'Données Brutes'!F38:F56)*I$55-SUMIF('Données Brutes'!A38:A56,"Achats matières premières",'Données Brutes'!F38:F56)*$B58</f>
        <v>6488000</v>
      </c>
    </row>
    <row r="59" spans="2:15" x14ac:dyDescent="0.25">
      <c r="B59" s="179">
        <v>0.04</v>
      </c>
      <c r="C59" s="180">
        <f>(SUMIF('Données Brutes'!A2:A26,"Trésorerie active",'Données Brutes'!F2:F26)+SUMIF('Données Brutes'!A2:A26,"VMP",'Données Brutes'!F2:F26))+SUMIF('Données Brutes'!A38:A56,"Chiffre d'affaires net",'Données Brutes'!F38:F56)*C$55-SUMIF('Données Brutes'!A38:A56,"Achats matières premières",'Données Brutes'!F38:F56)*$B59</f>
        <v>-3554000</v>
      </c>
      <c r="D59" s="180">
        <f>(SUMIF('Données Brutes'!A2:A26,"Trésorerie active",'Données Brutes'!F2:F26)+SUMIF('Données Brutes'!A2:A26,"VMP",'Données Brutes'!F2:F26))+SUMIF('Données Brutes'!A38:A56,"Chiffre d'affaires net",'Données Brutes'!F38:F56)*D$55-SUMIF('Données Brutes'!A38:A56,"Achats matières premières",'Données Brutes'!F38:F56)*$B59</f>
        <v>-1934000</v>
      </c>
      <c r="E59" s="180">
        <f>(SUMIF('Données Brutes'!A2:A26,"Trésorerie active",'Données Brutes'!F2:F26)+SUMIF('Données Brutes'!A2:A26,"VMP",'Données Brutes'!F2:F26))+SUMIF('Données Brutes'!A38:A56,"Chiffre d'affaires net",'Données Brutes'!F38:F56)*E$55-SUMIF('Données Brutes'!A38:A56,"Achats matières premières",'Données Brutes'!F38:F56)*$B59</f>
        <v>-314000</v>
      </c>
      <c r="F59" s="182">
        <f>(SUMIF('Données Brutes'!A2:A26,"Trésorerie active",'Données Brutes'!F2:F26)+SUMIF('Données Brutes'!A2:A26,"VMP",'Données Brutes'!F2:F26))+SUMIF('Données Brutes'!A38:A56,"Chiffre d'affaires net",'Données Brutes'!F38:F56)*F$55-SUMIF('Données Brutes'!A38:A56,"Achats matières premières",'Données Brutes'!F38:F56)*$B59</f>
        <v>1306000</v>
      </c>
      <c r="G59" s="183">
        <f>(SUMIF('Données Brutes'!A2:A26,"Trésorerie active",'Données Brutes'!F2:F26)+SUMIF('Données Brutes'!A2:A26,"VMP",'Données Brutes'!F2:F26))+SUMIF('Données Brutes'!A38:A56,"Chiffre d'affaires net",'Données Brutes'!F38:F56)*G$55-SUMIF('Données Brutes'!A38:A56,"Achats matières premières",'Données Brutes'!F38:F56)*$B59</f>
        <v>2926000</v>
      </c>
      <c r="H59" s="183">
        <f>(SUMIF('Données Brutes'!A2:A26,"Trésorerie active",'Données Brutes'!F2:F26)+SUMIF('Données Brutes'!A2:A26,"VMP",'Données Brutes'!F2:F26))+SUMIF('Données Brutes'!A38:A56,"Chiffre d'affaires net",'Données Brutes'!F38:F56)*H$55-SUMIF('Données Brutes'!A38:A56,"Achats matières premières",'Données Brutes'!F38:F56)*$B59</f>
        <v>4546000</v>
      </c>
      <c r="I59" s="183">
        <f>(SUMIF('Données Brutes'!A2:A26,"Trésorerie active",'Données Brutes'!F2:F26)+SUMIF('Données Brutes'!A2:A26,"VMP",'Données Brutes'!F2:F26))+SUMIF('Données Brutes'!A38:A56,"Chiffre d'affaires net",'Données Brutes'!F38:F56)*I$55-SUMIF('Données Brutes'!A38:A56,"Achats matières premières",'Données Brutes'!F38:F56)*$B59</f>
        <v>6166000</v>
      </c>
    </row>
    <row r="60" spans="2:15" x14ac:dyDescent="0.25">
      <c r="B60" s="179">
        <v>0.06</v>
      </c>
      <c r="C60" s="180">
        <f>(SUMIF('Données Brutes'!A2:A26,"Trésorerie active",'Données Brutes'!F2:F26)+SUMIF('Données Brutes'!A2:A26,"VMP",'Données Brutes'!F2:F26))+SUMIF('Données Brutes'!A38:A56,"Chiffre d'affaires net",'Données Brutes'!F38:F56)*C$55-SUMIF('Données Brutes'!A38:A56,"Achats matières premières",'Données Brutes'!F38:F56)*$B60</f>
        <v>-3876000</v>
      </c>
      <c r="D60" s="180">
        <f>(SUMIF('Données Brutes'!A2:A26,"Trésorerie active",'Données Brutes'!F2:F26)+SUMIF('Données Brutes'!A2:A26,"VMP",'Données Brutes'!F2:F26))+SUMIF('Données Brutes'!A38:A56,"Chiffre d'affaires net",'Données Brutes'!F38:F56)*D$55-SUMIF('Données Brutes'!A38:A56,"Achats matières premières",'Données Brutes'!F38:F56)*$B60</f>
        <v>-2256000</v>
      </c>
      <c r="E60" s="180">
        <f>(SUMIF('Données Brutes'!A2:A26,"Trésorerie active",'Données Brutes'!F2:F26)+SUMIF('Données Brutes'!A2:A26,"VMP",'Données Brutes'!F2:F26))+SUMIF('Données Brutes'!A38:A56,"Chiffre d'affaires net",'Données Brutes'!F38:F56)*E$55-SUMIF('Données Brutes'!A38:A56,"Achats matières premières",'Données Brutes'!F38:F56)*$B60</f>
        <v>-636000</v>
      </c>
      <c r="F60" s="181">
        <f>(SUMIF('Données Brutes'!A2:A26,"Trésorerie active",'Données Brutes'!F2:F26)+SUMIF('Données Brutes'!A2:A26,"VMP",'Données Brutes'!F2:F26))+SUMIF('Données Brutes'!A38:A56,"Chiffre d'affaires net",'Données Brutes'!F38:F56)*F$55-SUMIF('Données Brutes'!A38:A56,"Achats matières premières",'Données Brutes'!F38:F56)*$B60</f>
        <v>984000</v>
      </c>
      <c r="G60" s="183">
        <f>(SUMIF('Données Brutes'!A2:A26,"Trésorerie active",'Données Brutes'!F2:F26)+SUMIF('Données Brutes'!A2:A26,"VMP",'Données Brutes'!F2:F26))+SUMIF('Données Brutes'!A38:A56,"Chiffre d'affaires net",'Données Brutes'!F38:F56)*G$55-SUMIF('Données Brutes'!A38:A56,"Achats matières premières",'Données Brutes'!F38:F56)*$B60</f>
        <v>2604000</v>
      </c>
      <c r="H60" s="183">
        <f>(SUMIF('Données Brutes'!A2:A26,"Trésorerie active",'Données Brutes'!F2:F26)+SUMIF('Données Brutes'!A2:A26,"VMP",'Données Brutes'!F2:F26))+SUMIF('Données Brutes'!A38:A56,"Chiffre d'affaires net",'Données Brutes'!F38:F56)*H$55-SUMIF('Données Brutes'!A38:A56,"Achats matières premières",'Données Brutes'!F38:F56)*$B60</f>
        <v>4224000</v>
      </c>
      <c r="I60" s="183">
        <f>(SUMIF('Données Brutes'!A2:A26,"Trésorerie active",'Données Brutes'!F2:F26)+SUMIF('Données Brutes'!A2:A26,"VMP",'Données Brutes'!F2:F26))+SUMIF('Données Brutes'!A38:A56,"Chiffre d'affaires net",'Données Brutes'!F38:F56)*I$55-SUMIF('Données Brutes'!A38:A56,"Achats matières premières",'Données Brutes'!F38:F56)*$B60</f>
        <v>5844000</v>
      </c>
    </row>
    <row r="61" spans="2:15" ht="15.75" thickBot="1" x14ac:dyDescent="0.3"/>
    <row r="62" spans="2:15" x14ac:dyDescent="0.25">
      <c r="B62" s="818" t="s">
        <v>433</v>
      </c>
      <c r="C62" s="817"/>
    </row>
    <row r="63" spans="2:15" x14ac:dyDescent="0.25">
      <c r="B63" s="819" t="s">
        <v>434</v>
      </c>
      <c r="C63" s="815" t="s">
        <v>435</v>
      </c>
    </row>
    <row r="64" spans="2:15" x14ac:dyDescent="0.25">
      <c r="B64" s="820" t="s">
        <v>436</v>
      </c>
      <c r="C64" s="815" t="s">
        <v>437</v>
      </c>
    </row>
    <row r="65" spans="2:5" x14ac:dyDescent="0.25">
      <c r="B65" s="821" t="s">
        <v>438</v>
      </c>
      <c r="C65" s="815" t="s">
        <v>439</v>
      </c>
    </row>
    <row r="66" spans="2:5" x14ac:dyDescent="0.25">
      <c r="B66" s="822" t="s">
        <v>440</v>
      </c>
      <c r="C66" s="815" t="s">
        <v>441</v>
      </c>
    </row>
    <row r="67" spans="2:5" ht="15.75" thickBot="1" x14ac:dyDescent="0.3">
      <c r="B67" s="823" t="s">
        <v>442</v>
      </c>
      <c r="C67" s="816" t="s">
        <v>443</v>
      </c>
    </row>
    <row r="69" spans="2:5" x14ac:dyDescent="0.25">
      <c r="B69" s="899" t="s">
        <v>1658</v>
      </c>
    </row>
    <row r="70" spans="2:5" x14ac:dyDescent="0.25">
      <c r="B70" s="900" t="s">
        <v>1405</v>
      </c>
      <c r="C70" s="900" t="s">
        <v>545</v>
      </c>
      <c r="D70" s="900" t="s">
        <v>123</v>
      </c>
      <c r="E70" s="900" t="s">
        <v>656</v>
      </c>
    </row>
    <row r="71" spans="2:5" x14ac:dyDescent="0.25">
      <c r="B71" s="901" t="s">
        <v>1659</v>
      </c>
      <c r="C71" s="902">
        <f>ECARTS_BU!AA10-ECARTS_BU!AA13-ECARTS_BU!AA14-ECARTS_BU!AA15-ECARTS_BU!AA17-ECARTS_BU!AA19-ECARTS_BU!AA20</f>
        <v>22840000</v>
      </c>
      <c r="D71" s="903" t="s">
        <v>1660</v>
      </c>
      <c r="E71" s="904" t="s">
        <v>1661</v>
      </c>
    </row>
    <row r="72" spans="2:5" x14ac:dyDescent="0.25">
      <c r="B72" s="874" t="s">
        <v>1662</v>
      </c>
      <c r="C72" s="905">
        <f>ECARTS_BU!H30-ECARTS_BU!H28-ECARTS_BU!H29</f>
        <v>-200000</v>
      </c>
      <c r="D72" s="906" t="str">
        <f>IF(C72&gt;0,"✅ Fav.","🔴 Défav.")</f>
        <v>🔴 Défav.</v>
      </c>
      <c r="E72" s="17" t="s">
        <v>1663</v>
      </c>
    </row>
    <row r="73" spans="2:5" x14ac:dyDescent="0.25">
      <c r="B73" s="870" t="s">
        <v>1664</v>
      </c>
      <c r="C73" s="907">
        <f>ECARTS_BU!H28</f>
        <v>0</v>
      </c>
      <c r="D73" s="908" t="str">
        <f>IF(C73&gt;0,"✅ Fav.",IF(C73=0,"—","🔴 Défav."))</f>
        <v>—</v>
      </c>
      <c r="E73" s="909" t="s">
        <v>1665</v>
      </c>
    </row>
    <row r="74" spans="2:5" x14ac:dyDescent="0.25">
      <c r="B74" s="874" t="s">
        <v>1666</v>
      </c>
      <c r="C74" s="905">
        <f>-(ECARTS_BU!AB13-ECARTS_BU!AA13)</f>
        <v>76500</v>
      </c>
      <c r="D74" s="906" t="str">
        <f>IF(C74&gt;0,"✅ Fav.","🔴 Défav.")</f>
        <v>✅ Fav.</v>
      </c>
      <c r="E74" s="17" t="s">
        <v>1667</v>
      </c>
    </row>
    <row r="75" spans="2:5" x14ac:dyDescent="0.25">
      <c r="B75" s="870" t="s">
        <v>1668</v>
      </c>
      <c r="C75" s="907">
        <f>-(ECARTS_BU!AB14-ECARTS_BU!AA14)</f>
        <v>-20280</v>
      </c>
      <c r="D75" s="908" t="str">
        <f>IF(C75&gt;0,"✅ Fav.","🔴 Défav.")</f>
        <v>🔴 Défav.</v>
      </c>
      <c r="E75" s="909" t="s">
        <v>1669</v>
      </c>
    </row>
    <row r="76" spans="2:5" x14ac:dyDescent="0.25">
      <c r="B76" s="874" t="s">
        <v>1670</v>
      </c>
      <c r="C76" s="905">
        <f>-(ECARTS_BU!AB17-ECARTS_BU!AA17)</f>
        <v>13000</v>
      </c>
      <c r="D76" s="906" t="str">
        <f>IF(C76&gt;0,"✅ Fav.","🔴 Défav.")</f>
        <v>✅ Fav.</v>
      </c>
      <c r="E76" s="17" t="s">
        <v>1671</v>
      </c>
    </row>
    <row r="77" spans="2:5" x14ac:dyDescent="0.25">
      <c r="B77" s="870" t="s">
        <v>1672</v>
      </c>
      <c r="C77" s="907">
        <f>-(ECARTS_BU!AB19+ECARTS_BU!AB20-ECARTS_BU!AA19-ECARTS_BU!AA20)</f>
        <v>-23000</v>
      </c>
      <c r="D77" s="908" t="str">
        <f>IF(C77&gt;0,"✅ Fav.","🔴 Défav.")</f>
        <v>🔴 Défav.</v>
      </c>
      <c r="E77" s="909" t="s">
        <v>1673</v>
      </c>
    </row>
    <row r="78" spans="2:5" x14ac:dyDescent="0.25">
      <c r="B78" s="901" t="s">
        <v>1674</v>
      </c>
      <c r="C78" s="902">
        <f>ECARTS_BU!AB10-ECARTS_BU!AB13-ECARTS_BU!AB14-ECARTS_BU!AB15-ECARTS_BU!AB17-ECARTS_BU!AB19-ECARTS_BU!AB20</f>
        <v>22676220</v>
      </c>
      <c r="D78" s="910" t="str">
        <f>IF(C78&gt;C71,"✅ &gt; Budget","🔴 &lt; Budget")</f>
        <v>🔴 &lt; Budget</v>
      </c>
      <c r="E78" s="904" t="s">
        <v>1661</v>
      </c>
    </row>
    <row r="79" spans="2:5" x14ac:dyDescent="0.25">
      <c r="B79" s="911" t="s">
        <v>1675</v>
      </c>
      <c r="C79" s="912">
        <f>C78-C71</f>
        <v>-163780</v>
      </c>
      <c r="D79" s="913" t="str">
        <f>IF(C79&gt;0,"✅","🔴")</f>
        <v>🔴</v>
      </c>
      <c r="E79" s="914" t="str">
        <f>"Contrôle: "&amp;IF(ABS(C79-SUM(C72:C77))&lt;1,"✅ Boucle","🔴 Ecart")</f>
        <v>Contrôle: 🔴 Ecart</v>
      </c>
    </row>
    <row r="80" spans="2:5" x14ac:dyDescent="0.25">
      <c r="B80" s="17" t="s">
        <v>1676</v>
      </c>
      <c r="C80" s="915">
        <f>IFERROR(ECARTS_BU!G73/(ECARTS_BU!G71/ECARTS_BU!G69),0)</f>
        <v>-2622542.8240632382</v>
      </c>
      <c r="D80" s="17" t="str">
        <f>"Croiss. impl. : "&amp;ROUND((C80/ECARTS_BU!AB10-1)*100,1)&amp;"%"</f>
        <v>Croiss. impl. : -120%</v>
      </c>
      <c r="E80" s="17" t="s">
        <v>1677</v>
      </c>
    </row>
  </sheetData>
  <mergeCells count="9">
    <mergeCell ref="C47:O47"/>
    <mergeCell ref="C48:O48"/>
    <mergeCell ref="C49:O49"/>
    <mergeCell ref="C50:O50"/>
    <mergeCell ref="B1:O1"/>
    <mergeCell ref="B2:O2"/>
    <mergeCell ref="B4:O4"/>
    <mergeCell ref="B21:O21"/>
    <mergeCell ref="B34:O34"/>
  </mergeCells>
  <conditionalFormatting sqref="C15 E15:F15">
    <cfRule type="cellIs" dxfId="62" priority="11" operator="greaterThan">
      <formula>0</formula>
    </cfRule>
    <cfRule type="cellIs" dxfId="61" priority="12" operator="lessThan">
      <formula>0</formula>
    </cfRule>
  </conditionalFormatting>
  <conditionalFormatting sqref="C19">
    <cfRule type="containsText" dxfId="60" priority="3" operator="containsText" text="Dégradé">
      <formula>NOT(ISERROR(SEARCH("Dégradé",C19)))</formula>
    </cfRule>
  </conditionalFormatting>
  <conditionalFormatting sqref="C19:F19">
    <cfRule type="containsText" dxfId="59" priority="5" operator="containsText" text="✅">
      <formula>NOT(ISERROR(SEARCH("✅",C19)))</formula>
    </cfRule>
    <cfRule type="containsText" dxfId="58" priority="6" operator="containsText" text="⚠️">
      <formula>NOT(ISERROR(SEARCH("⚠️",C19)))</formula>
    </cfRule>
    <cfRule type="containsText" dxfId="57" priority="7" operator="containsText" text="🔴">
      <formula>NOT(ISERROR(SEARCH("🔴",C19)))</formula>
    </cfRule>
  </conditionalFormatting>
  <conditionalFormatting sqref="C42:F43 H42:N43">
    <cfRule type="cellIs" dxfId="56" priority="9" operator="lessThan">
      <formula>0</formula>
    </cfRule>
  </conditionalFormatting>
  <conditionalFormatting sqref="C56:I60">
    <cfRule type="cellIs" dxfId="55" priority="17" operator="greaterThan">
      <formula>2500000</formula>
    </cfRule>
    <cfRule type="cellIs" dxfId="54" priority="18" operator="between">
      <formula>1000000</formula>
      <formula>2500000</formula>
    </cfRule>
    <cfRule type="cellIs" dxfId="53" priority="19" operator="between">
      <formula>0</formula>
      <formula>1000000</formula>
    </cfRule>
    <cfRule type="cellIs" dxfId="52" priority="20" operator="lessThan">
      <formula>0</formula>
    </cfRule>
  </conditionalFormatting>
  <conditionalFormatting sqref="C42:N42">
    <cfRule type="cellIs" dxfId="51" priority="8" operator="greaterThan">
      <formula>0</formula>
    </cfRule>
    <cfRule type="cellIs" dxfId="50" priority="16" operator="lessThan">
      <formula>0</formula>
    </cfRule>
  </conditionalFormatting>
  <conditionalFormatting sqref="D19">
    <cfRule type="containsText" dxfId="49" priority="4" operator="containsText" text="Déficitaire">
      <formula>NOT(ISERROR(SEARCH("Déficitaire",D19)))</formula>
    </cfRule>
  </conditionalFormatting>
  <conditionalFormatting sqref="E19">
    <cfRule type="containsText" dxfId="48" priority="1" operator="containsText" text="Dégradé">
      <formula>NOT(ISERROR(SEARCH("Dégradé",E19)))</formula>
    </cfRule>
    <cfRule type="containsText" dxfId="47" priority="2" operator="containsText" text="Meilleur">
      <formula>NOT(ISERROR(SEARCH("Meilleur",E19)))</formula>
    </cfRule>
  </conditionalFormatting>
  <conditionalFormatting sqref="F24:F31">
    <cfRule type="cellIs" dxfId="46" priority="13" operator="greaterThan">
      <formula>0</formula>
    </cfRule>
    <cfRule type="cellIs" dxfId="45" priority="14" operator="lessThan">
      <formula>0</formula>
    </cfRule>
  </conditionalFormatting>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E0EFA-AA1D-4474-A482-CE09C18D5966}">
  <sheetPr>
    <tabColor rgb="FF2E75B6"/>
    <pageSetUpPr fitToPage="1"/>
  </sheetPr>
  <dimension ref="A1:L135"/>
  <sheetViews>
    <sheetView showGridLines="0" zoomScaleNormal="100" workbookViewId="0">
      <pane ySplit="7" topLeftCell="A8" activePane="bottomLeft" state="frozen"/>
      <selection pane="bottomLeft" activeCell="C38" sqref="C38"/>
    </sheetView>
  </sheetViews>
  <sheetFormatPr baseColWidth="10" defaultColWidth="8.7109375" defaultRowHeight="15" x14ac:dyDescent="0.25"/>
  <cols>
    <col min="1" max="1" width="28" style="572" customWidth="1"/>
    <col min="2" max="2" width="36.42578125" style="572" customWidth="1"/>
    <col min="3" max="3" width="24.85546875" style="572" bestFit="1" customWidth="1"/>
    <col min="4" max="4" width="16.85546875" style="572" customWidth="1"/>
    <col min="5" max="5" width="27.5703125" style="572" bestFit="1" customWidth="1"/>
    <col min="6" max="6" width="16" style="572" customWidth="1"/>
    <col min="7" max="7" width="23.85546875" style="572" customWidth="1"/>
    <col min="8" max="8" width="16" style="572" customWidth="1"/>
    <col min="9" max="9" width="14" style="572" customWidth="1"/>
    <col min="10" max="12" width="16" style="572" customWidth="1"/>
    <col min="13" max="13" width="3" style="572" customWidth="1"/>
    <col min="14" max="14" width="16" style="572" customWidth="1"/>
    <col min="15" max="15" width="14" style="572" customWidth="1"/>
    <col min="16" max="16384" width="8.7109375" style="572"/>
  </cols>
  <sheetData>
    <row r="1" spans="1:12" ht="39.75" customHeight="1" x14ac:dyDescent="0.25">
      <c r="A1" s="1336" t="s">
        <v>1058</v>
      </c>
      <c r="B1" s="1337"/>
      <c r="C1" s="1337"/>
      <c r="D1" s="1337"/>
      <c r="E1" s="1337"/>
      <c r="F1" s="1337"/>
      <c r="G1" s="1337"/>
      <c r="H1" s="1337"/>
      <c r="I1" s="1337"/>
      <c r="J1" s="1337"/>
      <c r="K1" s="1337"/>
      <c r="L1" s="1338"/>
    </row>
    <row r="2" spans="1:12" ht="7.5" customHeight="1" x14ac:dyDescent="0.25">
      <c r="A2" s="656"/>
      <c r="L2" s="657"/>
    </row>
    <row r="3" spans="1:12" ht="15" customHeight="1" x14ac:dyDescent="0.25">
      <c r="A3" s="658" t="s">
        <v>1059</v>
      </c>
      <c r="B3" s="574" t="s">
        <v>1060</v>
      </c>
      <c r="D3" s="573" t="s">
        <v>1061</v>
      </c>
      <c r="E3" s="575" t="s">
        <v>1062</v>
      </c>
      <c r="G3" s="573" t="s">
        <v>1063</v>
      </c>
      <c r="H3" s="575" t="s">
        <v>1064</v>
      </c>
      <c r="L3" s="657"/>
    </row>
    <row r="4" spans="1:12" x14ac:dyDescent="0.25">
      <c r="A4" s="656"/>
      <c r="L4" s="657"/>
    </row>
    <row r="5" spans="1:12" ht="15" customHeight="1" x14ac:dyDescent="0.25">
      <c r="A5" s="1339" t="s">
        <v>1065</v>
      </c>
      <c r="B5" s="1340"/>
      <c r="C5" s="1340"/>
      <c r="D5" s="1340"/>
      <c r="E5" s="1340"/>
      <c r="F5" s="1340"/>
      <c r="G5" s="1340"/>
      <c r="H5" s="1340"/>
      <c r="I5" s="1340"/>
      <c r="J5" s="1340"/>
      <c r="K5" s="1340"/>
      <c r="L5" s="1341"/>
    </row>
    <row r="6" spans="1:12" ht="7.5" customHeight="1" thickBot="1" x14ac:dyDescent="0.3">
      <c r="A6" s="659"/>
      <c r="B6" s="660"/>
      <c r="C6" s="660"/>
      <c r="D6" s="660"/>
      <c r="E6" s="660"/>
      <c r="F6" s="660"/>
      <c r="G6" s="660"/>
      <c r="H6" s="660"/>
      <c r="I6" s="660"/>
      <c r="J6" s="660"/>
      <c r="K6" s="660"/>
      <c r="L6" s="661"/>
    </row>
    <row r="7" spans="1:12" ht="30" customHeight="1" x14ac:dyDescent="0.25">
      <c r="A7" s="655" t="s">
        <v>1066</v>
      </c>
      <c r="B7" s="655" t="s">
        <v>1067</v>
      </c>
      <c r="C7" s="655" t="s">
        <v>1068</v>
      </c>
      <c r="D7" s="655" t="s">
        <v>1069</v>
      </c>
      <c r="E7" s="655" t="s">
        <v>1070</v>
      </c>
      <c r="F7" s="655" t="s">
        <v>1071</v>
      </c>
      <c r="G7" s="655" t="s">
        <v>1072</v>
      </c>
      <c r="H7" s="655" t="s">
        <v>1073</v>
      </c>
      <c r="I7" s="655" t="s">
        <v>1074</v>
      </c>
      <c r="J7" s="655" t="s">
        <v>1075</v>
      </c>
      <c r="K7" s="655" t="s">
        <v>1076</v>
      </c>
      <c r="L7" s="655" t="s">
        <v>1077</v>
      </c>
    </row>
    <row r="8" spans="1:12" ht="15" customHeight="1" x14ac:dyDescent="0.25">
      <c r="A8" s="576" t="s">
        <v>1078</v>
      </c>
      <c r="B8" s="576" t="s">
        <v>1079</v>
      </c>
      <c r="C8" s="577">
        <v>5000</v>
      </c>
      <c r="D8" s="578">
        <v>62500</v>
      </c>
      <c r="E8" s="577">
        <v>12000</v>
      </c>
      <c r="F8" s="578">
        <v>158400</v>
      </c>
      <c r="G8" s="577">
        <v>11500</v>
      </c>
      <c r="H8" s="578">
        <f t="shared" ref="H8:H22" si="0">G8*(D8+F8)/(C8+E8)</f>
        <v>149432.35294117648</v>
      </c>
      <c r="I8" s="577">
        <f t="shared" ref="I8:J22" si="1">C8+E8-G8</f>
        <v>5500</v>
      </c>
      <c r="J8" s="578">
        <f t="shared" si="1"/>
        <v>71467.647058823524</v>
      </c>
      <c r="K8" s="578">
        <v>68750</v>
      </c>
      <c r="L8" s="578">
        <f t="shared" ref="L8:L22" si="2">MAX(0,J8-K8)</f>
        <v>2717.6470588235243</v>
      </c>
    </row>
    <row r="9" spans="1:12" ht="15" customHeight="1" x14ac:dyDescent="0.25">
      <c r="A9" s="575" t="s">
        <v>1080</v>
      </c>
      <c r="B9" s="575" t="s">
        <v>1079</v>
      </c>
      <c r="C9" s="579">
        <v>3200</v>
      </c>
      <c r="D9" s="580">
        <v>44800</v>
      </c>
      <c r="E9" s="579">
        <v>8500</v>
      </c>
      <c r="F9" s="580">
        <v>124100</v>
      </c>
      <c r="G9" s="579">
        <v>8800</v>
      </c>
      <c r="H9" s="580">
        <f t="shared" si="0"/>
        <v>127035.89743589744</v>
      </c>
      <c r="I9" s="579">
        <f t="shared" si="1"/>
        <v>2900</v>
      </c>
      <c r="J9" s="580">
        <f t="shared" si="1"/>
        <v>41864.102564102563</v>
      </c>
      <c r="K9" s="580">
        <v>37700</v>
      </c>
      <c r="L9" s="580">
        <f t="shared" si="2"/>
        <v>4164.1025641025626</v>
      </c>
    </row>
    <row r="10" spans="1:12" ht="15" customHeight="1" x14ac:dyDescent="0.25">
      <c r="A10" s="576" t="s">
        <v>1081</v>
      </c>
      <c r="B10" s="576" t="s">
        <v>1079</v>
      </c>
      <c r="C10" s="577">
        <v>1800</v>
      </c>
      <c r="D10" s="578">
        <v>36000</v>
      </c>
      <c r="E10" s="577">
        <v>6200</v>
      </c>
      <c r="F10" s="578">
        <v>130200</v>
      </c>
      <c r="G10" s="577">
        <v>5900</v>
      </c>
      <c r="H10" s="578">
        <f t="shared" si="0"/>
        <v>122572.5</v>
      </c>
      <c r="I10" s="577">
        <f t="shared" si="1"/>
        <v>2100</v>
      </c>
      <c r="J10" s="578">
        <f t="shared" si="1"/>
        <v>43627.5</v>
      </c>
      <c r="K10" s="578">
        <v>44100</v>
      </c>
      <c r="L10" s="578">
        <f t="shared" si="2"/>
        <v>0</v>
      </c>
    </row>
    <row r="11" spans="1:12" ht="15" customHeight="1" x14ac:dyDescent="0.25">
      <c r="A11" s="575" t="s">
        <v>1082</v>
      </c>
      <c r="B11" s="575" t="s">
        <v>1079</v>
      </c>
      <c r="C11" s="579">
        <v>2500</v>
      </c>
      <c r="D11" s="580">
        <v>30000</v>
      </c>
      <c r="E11" s="579">
        <v>7000</v>
      </c>
      <c r="F11" s="580">
        <v>91000</v>
      </c>
      <c r="G11" s="579">
        <v>7300</v>
      </c>
      <c r="H11" s="580">
        <f t="shared" si="0"/>
        <v>92978.947368421053</v>
      </c>
      <c r="I11" s="579">
        <f t="shared" si="1"/>
        <v>2200</v>
      </c>
      <c r="J11" s="580">
        <f t="shared" si="1"/>
        <v>28021.052631578947</v>
      </c>
      <c r="K11" s="580">
        <v>24200</v>
      </c>
      <c r="L11" s="580">
        <f t="shared" si="2"/>
        <v>3821.0526315789466</v>
      </c>
    </row>
    <row r="12" spans="1:12" ht="15" customHeight="1" x14ac:dyDescent="0.25">
      <c r="A12" s="576" t="s">
        <v>1083</v>
      </c>
      <c r="B12" s="576" t="s">
        <v>1084</v>
      </c>
      <c r="C12" s="577">
        <v>800</v>
      </c>
      <c r="D12" s="578">
        <v>48000</v>
      </c>
      <c r="E12" s="577">
        <v>2400</v>
      </c>
      <c r="F12" s="578">
        <v>153600</v>
      </c>
      <c r="G12" s="577">
        <v>2600</v>
      </c>
      <c r="H12" s="578">
        <f t="shared" si="0"/>
        <v>163800</v>
      </c>
      <c r="I12" s="577">
        <f t="shared" si="1"/>
        <v>600</v>
      </c>
      <c r="J12" s="578">
        <f t="shared" si="1"/>
        <v>37800</v>
      </c>
      <c r="K12" s="578">
        <v>36000</v>
      </c>
      <c r="L12" s="578">
        <f t="shared" si="2"/>
        <v>1800</v>
      </c>
    </row>
    <row r="13" spans="1:12" ht="15" customHeight="1" x14ac:dyDescent="0.25">
      <c r="A13" s="575" t="s">
        <v>1085</v>
      </c>
      <c r="B13" s="575" t="s">
        <v>1084</v>
      </c>
      <c r="C13" s="579">
        <v>450</v>
      </c>
      <c r="D13" s="580">
        <v>31500</v>
      </c>
      <c r="E13" s="579">
        <v>1800</v>
      </c>
      <c r="F13" s="580">
        <v>131400</v>
      </c>
      <c r="G13" s="579">
        <v>1950</v>
      </c>
      <c r="H13" s="580">
        <f t="shared" si="0"/>
        <v>141180</v>
      </c>
      <c r="I13" s="579">
        <f t="shared" si="1"/>
        <v>300</v>
      </c>
      <c r="J13" s="580">
        <f t="shared" si="1"/>
        <v>21720</v>
      </c>
      <c r="K13" s="580">
        <v>19500</v>
      </c>
      <c r="L13" s="580">
        <f t="shared" si="2"/>
        <v>2220</v>
      </c>
    </row>
    <row r="14" spans="1:12" ht="15" customHeight="1" x14ac:dyDescent="0.25">
      <c r="A14" s="576" t="s">
        <v>1086</v>
      </c>
      <c r="B14" s="576" t="s">
        <v>1087</v>
      </c>
      <c r="C14" s="577">
        <v>2000</v>
      </c>
      <c r="D14" s="578">
        <v>90000</v>
      </c>
      <c r="E14" s="577">
        <v>6500</v>
      </c>
      <c r="F14" s="578">
        <v>305500</v>
      </c>
      <c r="G14" s="577">
        <v>6800</v>
      </c>
      <c r="H14" s="578">
        <f t="shared" si="0"/>
        <v>316400</v>
      </c>
      <c r="I14" s="577">
        <f t="shared" si="1"/>
        <v>1700</v>
      </c>
      <c r="J14" s="578">
        <f t="shared" si="1"/>
        <v>79100</v>
      </c>
      <c r="K14" s="578">
        <v>73100</v>
      </c>
      <c r="L14" s="578">
        <f t="shared" si="2"/>
        <v>6000</v>
      </c>
    </row>
    <row r="15" spans="1:12" ht="15" customHeight="1" x14ac:dyDescent="0.25">
      <c r="A15" s="575" t="s">
        <v>1088</v>
      </c>
      <c r="B15" s="575" t="s">
        <v>1087</v>
      </c>
      <c r="C15" s="579">
        <v>1500</v>
      </c>
      <c r="D15" s="580">
        <v>63000</v>
      </c>
      <c r="E15" s="579">
        <v>5200</v>
      </c>
      <c r="F15" s="580">
        <v>226200</v>
      </c>
      <c r="G15" s="579">
        <v>5400</v>
      </c>
      <c r="H15" s="580">
        <f t="shared" si="0"/>
        <v>233086.56716417911</v>
      </c>
      <c r="I15" s="579">
        <f t="shared" si="1"/>
        <v>1300</v>
      </c>
      <c r="J15" s="580">
        <f t="shared" si="1"/>
        <v>56113.432835820888</v>
      </c>
      <c r="K15" s="580">
        <v>53300</v>
      </c>
      <c r="L15" s="580">
        <f t="shared" si="2"/>
        <v>2813.4328358208877</v>
      </c>
    </row>
    <row r="16" spans="1:12" ht="15" customHeight="1" x14ac:dyDescent="0.25">
      <c r="A16" s="576" t="s">
        <v>1089</v>
      </c>
      <c r="B16" s="576" t="s">
        <v>1087</v>
      </c>
      <c r="C16" s="577">
        <v>900</v>
      </c>
      <c r="D16" s="578">
        <v>54000</v>
      </c>
      <c r="E16" s="577">
        <v>3800</v>
      </c>
      <c r="F16" s="578">
        <v>235600</v>
      </c>
      <c r="G16" s="577">
        <v>3600</v>
      </c>
      <c r="H16" s="578">
        <f t="shared" si="0"/>
        <v>221821.27659574468</v>
      </c>
      <c r="I16" s="577">
        <f t="shared" si="1"/>
        <v>1100</v>
      </c>
      <c r="J16" s="578">
        <f t="shared" si="1"/>
        <v>67778.723404255317</v>
      </c>
      <c r="K16" s="578">
        <v>71500</v>
      </c>
      <c r="L16" s="578">
        <f t="shared" si="2"/>
        <v>0</v>
      </c>
    </row>
    <row r="17" spans="1:12" ht="15" customHeight="1" x14ac:dyDescent="0.25">
      <c r="A17" s="575" t="s">
        <v>1090</v>
      </c>
      <c r="B17" s="575" t="s">
        <v>1087</v>
      </c>
      <c r="C17" s="579">
        <v>1200</v>
      </c>
      <c r="D17" s="580">
        <v>48000</v>
      </c>
      <c r="E17" s="579">
        <v>4100</v>
      </c>
      <c r="F17" s="580">
        <v>172200</v>
      </c>
      <c r="G17" s="579">
        <v>4500</v>
      </c>
      <c r="H17" s="580">
        <f t="shared" si="0"/>
        <v>186962.2641509434</v>
      </c>
      <c r="I17" s="579">
        <f t="shared" si="1"/>
        <v>800</v>
      </c>
      <c r="J17" s="580">
        <f t="shared" si="1"/>
        <v>33237.735849056597</v>
      </c>
      <c r="K17" s="580">
        <v>28000</v>
      </c>
      <c r="L17" s="580">
        <f t="shared" si="2"/>
        <v>5237.7358490565966</v>
      </c>
    </row>
    <row r="18" spans="1:12" ht="15" customHeight="1" x14ac:dyDescent="0.25">
      <c r="A18" s="576" t="s">
        <v>1091</v>
      </c>
      <c r="B18" s="576" t="s">
        <v>1092</v>
      </c>
      <c r="C18" s="577">
        <v>3000</v>
      </c>
      <c r="D18" s="578">
        <v>45000</v>
      </c>
      <c r="E18" s="577">
        <v>9000</v>
      </c>
      <c r="F18" s="578">
        <v>139500</v>
      </c>
      <c r="G18" s="577">
        <v>9500</v>
      </c>
      <c r="H18" s="578">
        <f t="shared" si="0"/>
        <v>146062.5</v>
      </c>
      <c r="I18" s="577">
        <f t="shared" si="1"/>
        <v>2500</v>
      </c>
      <c r="J18" s="578">
        <f t="shared" si="1"/>
        <v>38437.5</v>
      </c>
      <c r="K18" s="578">
        <v>37500</v>
      </c>
      <c r="L18" s="578">
        <f t="shared" si="2"/>
        <v>937.5</v>
      </c>
    </row>
    <row r="19" spans="1:12" ht="15" customHeight="1" x14ac:dyDescent="0.25">
      <c r="A19" s="575" t="s">
        <v>1093</v>
      </c>
      <c r="B19" s="575" t="s">
        <v>1092</v>
      </c>
      <c r="C19" s="579">
        <v>2200</v>
      </c>
      <c r="D19" s="580">
        <v>33000</v>
      </c>
      <c r="E19" s="579">
        <v>6800</v>
      </c>
      <c r="F19" s="580">
        <v>108800</v>
      </c>
      <c r="G19" s="579">
        <v>7100</v>
      </c>
      <c r="H19" s="580">
        <f t="shared" si="0"/>
        <v>111864.44444444444</v>
      </c>
      <c r="I19" s="579">
        <f t="shared" si="1"/>
        <v>1900</v>
      </c>
      <c r="J19" s="580">
        <f t="shared" si="1"/>
        <v>29935.555555555562</v>
      </c>
      <c r="K19" s="580">
        <v>26600</v>
      </c>
      <c r="L19" s="580">
        <f t="shared" si="2"/>
        <v>3335.555555555562</v>
      </c>
    </row>
    <row r="20" spans="1:12" ht="15" customHeight="1" x14ac:dyDescent="0.25">
      <c r="A20" s="576" t="s">
        <v>1094</v>
      </c>
      <c r="B20" s="576" t="s">
        <v>1092</v>
      </c>
      <c r="C20" s="577">
        <v>1600</v>
      </c>
      <c r="D20" s="578">
        <v>24000</v>
      </c>
      <c r="E20" s="577">
        <v>5500</v>
      </c>
      <c r="F20" s="578">
        <v>88000</v>
      </c>
      <c r="G20" s="577">
        <v>5200</v>
      </c>
      <c r="H20" s="578">
        <f t="shared" si="0"/>
        <v>82028.169014084502</v>
      </c>
      <c r="I20" s="577">
        <f t="shared" si="1"/>
        <v>1900</v>
      </c>
      <c r="J20" s="578">
        <f t="shared" si="1"/>
        <v>29971.830985915498</v>
      </c>
      <c r="K20" s="578">
        <v>30400</v>
      </c>
      <c r="L20" s="578">
        <f t="shared" si="2"/>
        <v>0</v>
      </c>
    </row>
    <row r="21" spans="1:12" ht="15" customHeight="1" x14ac:dyDescent="0.25">
      <c r="A21" s="575" t="s">
        <v>1095</v>
      </c>
      <c r="B21" s="575" t="s">
        <v>1092</v>
      </c>
      <c r="C21" s="579">
        <v>800</v>
      </c>
      <c r="D21" s="580">
        <v>16000</v>
      </c>
      <c r="E21" s="579">
        <v>3200</v>
      </c>
      <c r="F21" s="580">
        <v>57600</v>
      </c>
      <c r="G21" s="579">
        <v>3500</v>
      </c>
      <c r="H21" s="580">
        <f t="shared" si="0"/>
        <v>64400</v>
      </c>
      <c r="I21" s="579">
        <f t="shared" si="1"/>
        <v>500</v>
      </c>
      <c r="J21" s="580">
        <f t="shared" si="1"/>
        <v>9200</v>
      </c>
      <c r="K21" s="580">
        <v>7500</v>
      </c>
      <c r="L21" s="580">
        <f t="shared" si="2"/>
        <v>1700</v>
      </c>
    </row>
    <row r="22" spans="1:12" ht="15" customHeight="1" x14ac:dyDescent="0.25">
      <c r="A22" s="576" t="s">
        <v>1096</v>
      </c>
      <c r="B22" s="576" t="s">
        <v>1092</v>
      </c>
      <c r="C22" s="577">
        <v>500</v>
      </c>
      <c r="D22" s="578">
        <v>12500</v>
      </c>
      <c r="E22" s="577">
        <v>2000</v>
      </c>
      <c r="F22" s="578">
        <v>38000</v>
      </c>
      <c r="G22" s="577">
        <v>1800</v>
      </c>
      <c r="H22" s="578">
        <f t="shared" si="0"/>
        <v>36360</v>
      </c>
      <c r="I22" s="577">
        <f t="shared" si="1"/>
        <v>700</v>
      </c>
      <c r="J22" s="578">
        <f t="shared" si="1"/>
        <v>14140</v>
      </c>
      <c r="K22" s="578">
        <v>19600</v>
      </c>
      <c r="L22" s="578">
        <f t="shared" si="2"/>
        <v>0</v>
      </c>
    </row>
    <row r="23" spans="1:12" ht="15" customHeight="1" x14ac:dyDescent="0.25">
      <c r="A23" s="678" t="s">
        <v>1304</v>
      </c>
      <c r="B23" s="678" t="s">
        <v>1305</v>
      </c>
      <c r="C23" s="676"/>
      <c r="D23" s="679">
        <f>(SUMIF('Données Brutes'!A2:A26,"Stocks matières premières",'Données Brutes'!D2:D26)+SUMIF('Données Brutes'!A2:A26,"Stocks produits finis",'Données Brutes'!D2:D26)+SUMIF('Données Brutes'!A2:A26,"Stocks en-cours de production",'Données Brutes'!D2:D26)+SUMIF('Données Brutes'!A2:A26,"Stocks marchandises",'Données Brutes'!D2:D26))-SUM(D8:D22)</f>
        <v>4131700</v>
      </c>
      <c r="E23" s="676"/>
      <c r="F23" s="677"/>
      <c r="G23" s="676"/>
      <c r="H23" s="677"/>
      <c r="I23" s="676"/>
      <c r="J23" s="679">
        <f>(SUMIF('Données Brutes'!A2:A26,"Stocks matières premières",'Données Brutes'!F2:F26)+SUMIF('Données Brutes'!A2:A26,"Stocks produits finis",'Données Brutes'!F2:F26)+SUMIF('Données Brutes'!A2:A26,"Stocks en-cours de production",'Données Brutes'!F2:F26)+SUMIF('Données Brutes'!A2:A26,"Stocks marchandises",'Données Brutes'!F2:F26))-SUM(J8:J22)</f>
        <v>4997584.9191148914</v>
      </c>
      <c r="K23" s="677"/>
      <c r="L23" s="677"/>
    </row>
    <row r="24" spans="1:12" ht="6" customHeight="1" thickBot="1" x14ac:dyDescent="0.3"/>
    <row r="25" spans="1:12" ht="15" customHeight="1" x14ac:dyDescent="0.25">
      <c r="A25" s="863" t="s">
        <v>1097</v>
      </c>
      <c r="B25" s="581"/>
      <c r="C25" s="582">
        <f t="shared" ref="C25:L25" si="3">SUMIF($B$8:$B$22,"Matieres premieres",C$8:C$22)</f>
        <v>12500</v>
      </c>
      <c r="D25" s="583">
        <f t="shared" si="3"/>
        <v>173300</v>
      </c>
      <c r="E25" s="582">
        <f t="shared" si="3"/>
        <v>33700</v>
      </c>
      <c r="F25" s="583">
        <f t="shared" si="3"/>
        <v>503700</v>
      </c>
      <c r="G25" s="582">
        <f t="shared" si="3"/>
        <v>33500</v>
      </c>
      <c r="H25" s="583">
        <f t="shared" si="3"/>
        <v>492019.69774549495</v>
      </c>
      <c r="I25" s="582">
        <f t="shared" si="3"/>
        <v>12700</v>
      </c>
      <c r="J25" s="583">
        <f t="shared" si="3"/>
        <v>184980.30225450505</v>
      </c>
      <c r="K25" s="583">
        <f t="shared" si="3"/>
        <v>174750</v>
      </c>
      <c r="L25" s="583">
        <f t="shared" si="3"/>
        <v>10702.802254505033</v>
      </c>
    </row>
    <row r="26" spans="1:12" ht="15" customHeight="1" x14ac:dyDescent="0.25">
      <c r="A26" s="864" t="s">
        <v>1098</v>
      </c>
      <c r="B26" s="581"/>
      <c r="C26" s="582">
        <f t="shared" ref="C26:L26" si="4">SUMIF($B$8:$B$22,"En-cours",C$8:C$22)</f>
        <v>1250</v>
      </c>
      <c r="D26" s="583">
        <f t="shared" si="4"/>
        <v>79500</v>
      </c>
      <c r="E26" s="582">
        <f t="shared" si="4"/>
        <v>4200</v>
      </c>
      <c r="F26" s="583">
        <f t="shared" si="4"/>
        <v>285000</v>
      </c>
      <c r="G26" s="582">
        <f t="shared" si="4"/>
        <v>4550</v>
      </c>
      <c r="H26" s="583">
        <f t="shared" si="4"/>
        <v>304980</v>
      </c>
      <c r="I26" s="582">
        <f t="shared" si="4"/>
        <v>900</v>
      </c>
      <c r="J26" s="583">
        <f t="shared" si="4"/>
        <v>59520</v>
      </c>
      <c r="K26" s="583">
        <f t="shared" si="4"/>
        <v>55500</v>
      </c>
      <c r="L26" s="583">
        <f t="shared" si="4"/>
        <v>4020</v>
      </c>
    </row>
    <row r="27" spans="1:12" ht="15" customHeight="1" x14ac:dyDescent="0.25">
      <c r="A27" s="864" t="s">
        <v>1099</v>
      </c>
      <c r="B27" s="581"/>
      <c r="C27" s="582">
        <f t="shared" ref="C27:L27" si="5">SUMIF($B$8:$B$22,"Produits finis",C$8:C$22)</f>
        <v>5600</v>
      </c>
      <c r="D27" s="583">
        <f t="shared" si="5"/>
        <v>255000</v>
      </c>
      <c r="E27" s="582">
        <f t="shared" si="5"/>
        <v>19600</v>
      </c>
      <c r="F27" s="583">
        <f t="shared" si="5"/>
        <v>939500</v>
      </c>
      <c r="G27" s="582">
        <f t="shared" si="5"/>
        <v>20300</v>
      </c>
      <c r="H27" s="583">
        <f t="shared" si="5"/>
        <v>958270.1079108672</v>
      </c>
      <c r="I27" s="582">
        <f t="shared" si="5"/>
        <v>4900</v>
      </c>
      <c r="J27" s="583">
        <f t="shared" si="5"/>
        <v>236229.8920891328</v>
      </c>
      <c r="K27" s="583">
        <f t="shared" si="5"/>
        <v>225900</v>
      </c>
      <c r="L27" s="583">
        <f t="shared" si="5"/>
        <v>14051.168684877484</v>
      </c>
    </row>
    <row r="28" spans="1:12" ht="15" customHeight="1" thickBot="1" x14ac:dyDescent="0.3">
      <c r="A28" s="865" t="s">
        <v>1100</v>
      </c>
      <c r="B28" s="581"/>
      <c r="C28" s="582">
        <f t="shared" ref="C28:L28" si="6">SUMIF($B$8:$B$22,"Marchandises",C$8:C$22)</f>
        <v>8100</v>
      </c>
      <c r="D28" s="583">
        <f t="shared" si="6"/>
        <v>130500</v>
      </c>
      <c r="E28" s="582">
        <f t="shared" si="6"/>
        <v>26500</v>
      </c>
      <c r="F28" s="583">
        <f t="shared" si="6"/>
        <v>431900</v>
      </c>
      <c r="G28" s="582">
        <f t="shared" si="6"/>
        <v>27100</v>
      </c>
      <c r="H28" s="583">
        <f t="shared" si="6"/>
        <v>440715.11345852894</v>
      </c>
      <c r="I28" s="582">
        <f t="shared" si="6"/>
        <v>7500</v>
      </c>
      <c r="J28" s="583">
        <f t="shared" si="6"/>
        <v>121684.88654147106</v>
      </c>
      <c r="K28" s="583">
        <f t="shared" si="6"/>
        <v>121600</v>
      </c>
      <c r="L28" s="583">
        <f t="shared" si="6"/>
        <v>5973.055555555562</v>
      </c>
    </row>
    <row r="29" spans="1:12" ht="24.75" customHeight="1" thickTop="1" thickBot="1" x14ac:dyDescent="0.3">
      <c r="A29" s="866" t="s">
        <v>1101</v>
      </c>
      <c r="B29" s="584"/>
      <c r="C29" s="585">
        <f t="shared" ref="C29:L29" si="7">SUM(C25:C28)</f>
        <v>27450</v>
      </c>
      <c r="D29" s="586">
        <f>SUM(D25:D28)+D23</f>
        <v>4770000</v>
      </c>
      <c r="E29" s="585">
        <f t="shared" si="7"/>
        <v>84000</v>
      </c>
      <c r="F29" s="586">
        <f t="shared" si="7"/>
        <v>2160100</v>
      </c>
      <c r="G29" s="585">
        <f t="shared" si="7"/>
        <v>85450</v>
      </c>
      <c r="H29" s="586">
        <f t="shared" si="7"/>
        <v>2195984.9191148914</v>
      </c>
      <c r="I29" s="585">
        <f t="shared" si="7"/>
        <v>26000</v>
      </c>
      <c r="J29" s="586">
        <f>SUM(J25:J28)+J23</f>
        <v>5600000</v>
      </c>
      <c r="K29" s="586">
        <f t="shared" si="7"/>
        <v>577750</v>
      </c>
      <c r="L29" s="586">
        <f t="shared" si="7"/>
        <v>34747.02649493808</v>
      </c>
    </row>
    <row r="30" spans="1:12" ht="6" customHeight="1" thickBot="1" x14ac:dyDescent="0.3"/>
    <row r="31" spans="1:12" ht="15" customHeight="1" x14ac:dyDescent="0.25">
      <c r="A31" s="662" t="s">
        <v>1102</v>
      </c>
      <c r="B31" s="670" t="str">
        <f>IF(ABS(J29-(D29+F29-H29))&lt;0.01,"Equilibre OK","ECART DETECTE")</f>
        <v>ECART DETECTE</v>
      </c>
      <c r="C31" s="663"/>
      <c r="D31" s="664" t="s">
        <v>1103</v>
      </c>
      <c r="E31" s="665"/>
    </row>
    <row r="32" spans="1:12" ht="15" customHeight="1" thickBot="1" x14ac:dyDescent="0.3">
      <c r="A32" s="666" t="s">
        <v>1104</v>
      </c>
      <c r="B32" s="671" t="s">
        <v>1105</v>
      </c>
      <c r="C32" s="660"/>
      <c r="D32" s="660"/>
      <c r="E32" s="661"/>
    </row>
    <row r="33" spans="1:12" ht="7.5" customHeight="1" thickBot="1" x14ac:dyDescent="0.3"/>
    <row r="34" spans="1:12" ht="30" customHeight="1" thickBot="1" x14ac:dyDescent="0.3">
      <c r="A34" s="1342" t="s">
        <v>1106</v>
      </c>
      <c r="B34" s="1343"/>
      <c r="C34" s="1343"/>
      <c r="D34" s="1343"/>
      <c r="E34" s="1343"/>
      <c r="F34" s="1343"/>
      <c r="G34" s="1343"/>
      <c r="H34" s="1343"/>
      <c r="I34" s="1343"/>
      <c r="J34" s="1343"/>
      <c r="K34" s="1343"/>
      <c r="L34" s="1344"/>
    </row>
    <row r="35" spans="1:12" ht="15.75" thickBot="1" x14ac:dyDescent="0.3"/>
    <row r="36" spans="1:12" ht="15" customHeight="1" thickBot="1" x14ac:dyDescent="0.3">
      <c r="A36" s="1345" t="s">
        <v>1107</v>
      </c>
      <c r="B36" s="1346"/>
      <c r="C36" s="1346"/>
      <c r="D36" s="1346"/>
      <c r="E36" s="1346"/>
      <c r="F36" s="1346"/>
      <c r="G36" s="1346"/>
      <c r="H36" s="1347"/>
    </row>
    <row r="37" spans="1:12" ht="15" customHeight="1" x14ac:dyDescent="0.25">
      <c r="A37" s="889" t="s">
        <v>1</v>
      </c>
      <c r="B37" s="889" t="s">
        <v>1108</v>
      </c>
      <c r="C37" s="889" t="s">
        <v>1109</v>
      </c>
      <c r="D37" s="889" t="s">
        <v>1110</v>
      </c>
      <c r="E37" s="889" t="s">
        <v>1111</v>
      </c>
      <c r="F37" s="889" t="s">
        <v>1112</v>
      </c>
      <c r="G37" s="889" t="s">
        <v>1113</v>
      </c>
      <c r="H37" s="889" t="s">
        <v>1114</v>
      </c>
    </row>
    <row r="38" spans="1:12" ht="15" customHeight="1" x14ac:dyDescent="0.25">
      <c r="A38" s="589" t="s">
        <v>1115</v>
      </c>
      <c r="B38" s="589" t="s">
        <v>1116</v>
      </c>
      <c r="C38" s="590">
        <v>5000</v>
      </c>
      <c r="D38" s="591">
        <v>12.5</v>
      </c>
      <c r="E38" s="591">
        <v>62500</v>
      </c>
      <c r="F38" s="590">
        <v>5000</v>
      </c>
      <c r="G38" s="591">
        <v>62500</v>
      </c>
      <c r="H38" s="591">
        <v>12.5</v>
      </c>
    </row>
    <row r="39" spans="1:12" ht="15" customHeight="1" x14ac:dyDescent="0.25">
      <c r="A39" s="576" t="s">
        <v>1117</v>
      </c>
      <c r="B39" s="576" t="s">
        <v>1118</v>
      </c>
      <c r="C39" s="577">
        <v>4000</v>
      </c>
      <c r="D39" s="578">
        <v>13.2</v>
      </c>
      <c r="E39" s="578">
        <v>52800</v>
      </c>
      <c r="F39" s="577">
        <v>9000</v>
      </c>
      <c r="G39" s="578">
        <v>115300</v>
      </c>
      <c r="H39" s="578">
        <v>12.81</v>
      </c>
    </row>
    <row r="40" spans="1:12" ht="15" customHeight="1" x14ac:dyDescent="0.25">
      <c r="A40" s="589" t="s">
        <v>1119</v>
      </c>
      <c r="B40" s="589" t="s">
        <v>1120</v>
      </c>
      <c r="C40" s="590">
        <v>-3500</v>
      </c>
      <c r="D40" s="591">
        <v>12.81</v>
      </c>
      <c r="E40" s="591">
        <v>44838.89</v>
      </c>
      <c r="F40" s="590">
        <v>5500</v>
      </c>
      <c r="G40" s="591">
        <v>70461.11</v>
      </c>
      <c r="H40" s="591">
        <v>12.81</v>
      </c>
    </row>
    <row r="41" spans="1:12" ht="15" customHeight="1" x14ac:dyDescent="0.25">
      <c r="A41" s="576" t="s">
        <v>1121</v>
      </c>
      <c r="B41" s="576" t="s">
        <v>1122</v>
      </c>
      <c r="C41" s="577">
        <v>4500</v>
      </c>
      <c r="D41" s="578">
        <v>13.5</v>
      </c>
      <c r="E41" s="578">
        <v>60750</v>
      </c>
      <c r="F41" s="577">
        <v>10000</v>
      </c>
      <c r="G41" s="578">
        <v>131211.10999999999</v>
      </c>
      <c r="H41" s="578">
        <v>13.12</v>
      </c>
    </row>
    <row r="42" spans="1:12" ht="15" customHeight="1" x14ac:dyDescent="0.25">
      <c r="A42" s="589" t="s">
        <v>1123</v>
      </c>
      <c r="B42" s="589" t="s">
        <v>1120</v>
      </c>
      <c r="C42" s="590">
        <v>-4200</v>
      </c>
      <c r="D42" s="591">
        <v>13.12</v>
      </c>
      <c r="E42" s="591">
        <v>55108.67</v>
      </c>
      <c r="F42" s="590">
        <v>5800</v>
      </c>
      <c r="G42" s="591">
        <v>76102.44</v>
      </c>
      <c r="H42" s="591">
        <v>13.12</v>
      </c>
    </row>
    <row r="43" spans="1:12" ht="15" customHeight="1" x14ac:dyDescent="0.25">
      <c r="A43" s="576" t="s">
        <v>1124</v>
      </c>
      <c r="B43" s="576" t="s">
        <v>1125</v>
      </c>
      <c r="C43" s="577">
        <v>3500</v>
      </c>
      <c r="D43" s="578">
        <v>12.8</v>
      </c>
      <c r="E43" s="578">
        <v>44800</v>
      </c>
      <c r="F43" s="577">
        <v>9300</v>
      </c>
      <c r="G43" s="578">
        <v>120902.44</v>
      </c>
      <c r="H43" s="578">
        <v>13</v>
      </c>
    </row>
    <row r="44" spans="1:12" ht="15" customHeight="1" x14ac:dyDescent="0.25">
      <c r="A44" s="589" t="s">
        <v>1126</v>
      </c>
      <c r="B44" s="589" t="s">
        <v>1120</v>
      </c>
      <c r="C44" s="590">
        <v>-3800</v>
      </c>
      <c r="D44" s="591">
        <v>13</v>
      </c>
      <c r="E44" s="591">
        <v>49401</v>
      </c>
      <c r="F44" s="590">
        <v>5500</v>
      </c>
      <c r="G44" s="591">
        <v>71501.440000000002</v>
      </c>
      <c r="H44" s="591">
        <v>13</v>
      </c>
    </row>
    <row r="45" spans="1:12" ht="15" customHeight="1" x14ac:dyDescent="0.25">
      <c r="A45" s="592" t="s">
        <v>1127</v>
      </c>
      <c r="B45" s="592" t="s">
        <v>1128</v>
      </c>
      <c r="C45" s="593"/>
      <c r="D45" s="593"/>
      <c r="E45" s="593"/>
      <c r="F45" s="594">
        <v>5500</v>
      </c>
      <c r="G45" s="595">
        <v>71501.440000000002</v>
      </c>
      <c r="H45" s="595">
        <v>13</v>
      </c>
    </row>
    <row r="46" spans="1:12" ht="15" customHeight="1" x14ac:dyDescent="0.25">
      <c r="A46" s="1328" t="s">
        <v>1129</v>
      </c>
      <c r="B46" s="1328"/>
      <c r="C46" s="1328"/>
      <c r="D46" s="1328"/>
      <c r="E46" s="1328"/>
      <c r="F46" s="1328"/>
      <c r="G46" s="1328"/>
      <c r="H46" s="1328"/>
    </row>
    <row r="47" spans="1:12" ht="15.75" thickBot="1" x14ac:dyDescent="0.3"/>
    <row r="48" spans="1:12" ht="15" customHeight="1" thickBot="1" x14ac:dyDescent="0.3">
      <c r="A48" s="1333" t="s">
        <v>1130</v>
      </c>
      <c r="B48" s="1334"/>
      <c r="C48" s="1334"/>
      <c r="D48" s="1334"/>
      <c r="E48" s="1334"/>
      <c r="F48" s="1334"/>
      <c r="G48" s="1334"/>
      <c r="H48" s="1335"/>
    </row>
    <row r="49" spans="1:8" ht="23.25" customHeight="1" x14ac:dyDescent="0.25">
      <c r="A49" s="890" t="s">
        <v>1</v>
      </c>
      <c r="B49" s="890" t="s">
        <v>1108</v>
      </c>
      <c r="C49" s="890" t="s">
        <v>1109</v>
      </c>
      <c r="D49" s="890" t="s">
        <v>1131</v>
      </c>
      <c r="E49" s="890" t="s">
        <v>1132</v>
      </c>
      <c r="F49" s="890" t="s">
        <v>1112</v>
      </c>
      <c r="G49" s="890" t="s">
        <v>1133</v>
      </c>
      <c r="H49" s="890" t="s">
        <v>1113</v>
      </c>
    </row>
    <row r="50" spans="1:8" ht="15" customHeight="1" x14ac:dyDescent="0.25">
      <c r="A50" s="596" t="s">
        <v>1115</v>
      </c>
      <c r="B50" s="596" t="s">
        <v>1116</v>
      </c>
      <c r="C50" s="597">
        <v>5000</v>
      </c>
      <c r="D50" s="596" t="s">
        <v>386</v>
      </c>
      <c r="E50" s="598" t="s">
        <v>386</v>
      </c>
      <c r="F50" s="597">
        <v>5000</v>
      </c>
      <c r="G50" s="596" t="s">
        <v>1134</v>
      </c>
      <c r="H50" s="599">
        <v>62500</v>
      </c>
    </row>
    <row r="51" spans="1:8" ht="23.25" customHeight="1" x14ac:dyDescent="0.25">
      <c r="A51" s="576" t="s">
        <v>1117</v>
      </c>
      <c r="B51" s="576" t="s">
        <v>1118</v>
      </c>
      <c r="C51" s="577">
        <v>4000</v>
      </c>
      <c r="D51" s="576" t="s">
        <v>386</v>
      </c>
      <c r="E51" s="600" t="s">
        <v>386</v>
      </c>
      <c r="F51" s="577">
        <v>9000</v>
      </c>
      <c r="G51" s="576" t="s">
        <v>1135</v>
      </c>
      <c r="H51" s="578">
        <v>115300</v>
      </c>
    </row>
    <row r="52" spans="1:8" ht="23.25" customHeight="1" x14ac:dyDescent="0.25">
      <c r="A52" s="596" t="s">
        <v>1119</v>
      </c>
      <c r="B52" s="596" t="s">
        <v>1120</v>
      </c>
      <c r="C52" s="597">
        <v>-3500</v>
      </c>
      <c r="D52" s="596" t="s">
        <v>1136</v>
      </c>
      <c r="E52" s="599">
        <v>43750</v>
      </c>
      <c r="F52" s="597">
        <v>5500</v>
      </c>
      <c r="G52" s="596" t="s">
        <v>1137</v>
      </c>
      <c r="H52" s="599">
        <v>71550</v>
      </c>
    </row>
    <row r="53" spans="1:8" ht="34.5" customHeight="1" x14ac:dyDescent="0.25">
      <c r="A53" s="576" t="s">
        <v>1121</v>
      </c>
      <c r="B53" s="576" t="s">
        <v>1122</v>
      </c>
      <c r="C53" s="577">
        <v>4500</v>
      </c>
      <c r="D53" s="576" t="s">
        <v>386</v>
      </c>
      <c r="E53" s="600" t="s">
        <v>386</v>
      </c>
      <c r="F53" s="577">
        <v>10000</v>
      </c>
      <c r="G53" s="576" t="s">
        <v>1138</v>
      </c>
      <c r="H53" s="578">
        <v>132300</v>
      </c>
    </row>
    <row r="54" spans="1:8" ht="23.25" customHeight="1" x14ac:dyDescent="0.25">
      <c r="A54" s="596" t="s">
        <v>1123</v>
      </c>
      <c r="B54" s="596" t="s">
        <v>1120</v>
      </c>
      <c r="C54" s="597">
        <v>-4200</v>
      </c>
      <c r="D54" s="596" t="s">
        <v>1139</v>
      </c>
      <c r="E54" s="599">
        <v>54390</v>
      </c>
      <c r="F54" s="597">
        <v>5800</v>
      </c>
      <c r="G54" s="596" t="s">
        <v>1140</v>
      </c>
      <c r="H54" s="599">
        <v>77910</v>
      </c>
    </row>
    <row r="55" spans="1:8" ht="34.5" customHeight="1" x14ac:dyDescent="0.25">
      <c r="A55" s="576" t="s">
        <v>1124</v>
      </c>
      <c r="B55" s="576" t="s">
        <v>1125</v>
      </c>
      <c r="C55" s="577">
        <v>3500</v>
      </c>
      <c r="D55" s="576" t="s">
        <v>386</v>
      </c>
      <c r="E55" s="600" t="s">
        <v>386</v>
      </c>
      <c r="F55" s="577">
        <v>9300</v>
      </c>
      <c r="G55" s="576" t="s">
        <v>1141</v>
      </c>
      <c r="H55" s="578">
        <v>122710</v>
      </c>
    </row>
    <row r="56" spans="1:8" ht="23.25" customHeight="1" x14ac:dyDescent="0.25">
      <c r="A56" s="596" t="s">
        <v>1126</v>
      </c>
      <c r="B56" s="596" t="s">
        <v>1120</v>
      </c>
      <c r="C56" s="597">
        <v>-3800</v>
      </c>
      <c r="D56" s="596" t="s">
        <v>1142</v>
      </c>
      <c r="E56" s="599">
        <v>50910</v>
      </c>
      <c r="F56" s="597">
        <v>5500</v>
      </c>
      <c r="G56" s="596" t="s">
        <v>1143</v>
      </c>
      <c r="H56" s="599">
        <v>71800</v>
      </c>
    </row>
    <row r="57" spans="1:8" ht="23.25" customHeight="1" x14ac:dyDescent="0.25">
      <c r="A57" s="592" t="s">
        <v>1127</v>
      </c>
      <c r="B57" s="592" t="s">
        <v>1128</v>
      </c>
      <c r="C57" s="593"/>
      <c r="D57" s="592" t="s">
        <v>386</v>
      </c>
      <c r="E57" s="593" t="s">
        <v>386</v>
      </c>
      <c r="F57" s="594">
        <v>5500</v>
      </c>
      <c r="G57" s="592" t="s">
        <v>1143</v>
      </c>
      <c r="H57" s="595">
        <v>71800</v>
      </c>
    </row>
    <row r="58" spans="1:8" ht="15" customHeight="1" x14ac:dyDescent="0.25">
      <c r="A58" s="1328" t="s">
        <v>1144</v>
      </c>
      <c r="B58" s="1328"/>
      <c r="C58" s="1328"/>
      <c r="D58" s="1328"/>
      <c r="E58" s="1328"/>
      <c r="F58" s="1328"/>
      <c r="G58" s="1328"/>
      <c r="H58" s="1328"/>
    </row>
    <row r="59" spans="1:8" ht="15.75" thickBot="1" x14ac:dyDescent="0.3"/>
    <row r="60" spans="1:8" ht="15" customHeight="1" thickBot="1" x14ac:dyDescent="0.3">
      <c r="A60" s="1329" t="s">
        <v>1145</v>
      </c>
      <c r="B60" s="1330"/>
      <c r="C60" s="1330"/>
      <c r="D60" s="1330"/>
      <c r="E60" s="1330"/>
      <c r="F60" s="1330"/>
      <c r="G60" s="1330"/>
      <c r="H60" s="1331"/>
    </row>
    <row r="61" spans="1:8" ht="23.25" customHeight="1" x14ac:dyDescent="0.25">
      <c r="A61" s="891" t="s">
        <v>1</v>
      </c>
      <c r="B61" s="891" t="s">
        <v>1108</v>
      </c>
      <c r="C61" s="891" t="s">
        <v>1109</v>
      </c>
      <c r="D61" s="891" t="s">
        <v>1131</v>
      </c>
      <c r="E61" s="891" t="s">
        <v>1132</v>
      </c>
      <c r="F61" s="891" t="s">
        <v>1112</v>
      </c>
      <c r="G61" s="891" t="s">
        <v>1133</v>
      </c>
      <c r="H61" s="891" t="s">
        <v>1113</v>
      </c>
    </row>
    <row r="62" spans="1:8" ht="15" customHeight="1" x14ac:dyDescent="0.25">
      <c r="A62" s="601" t="s">
        <v>1115</v>
      </c>
      <c r="B62" s="601" t="s">
        <v>1116</v>
      </c>
      <c r="C62" s="602">
        <v>5000</v>
      </c>
      <c r="D62" s="601" t="s">
        <v>386</v>
      </c>
      <c r="E62" s="603" t="s">
        <v>386</v>
      </c>
      <c r="F62" s="602">
        <v>5000</v>
      </c>
      <c r="G62" s="601" t="s">
        <v>1134</v>
      </c>
      <c r="H62" s="604">
        <v>62500</v>
      </c>
    </row>
    <row r="63" spans="1:8" ht="23.25" customHeight="1" x14ac:dyDescent="0.25">
      <c r="A63" s="576" t="s">
        <v>1117</v>
      </c>
      <c r="B63" s="576" t="s">
        <v>1118</v>
      </c>
      <c r="C63" s="577">
        <v>4000</v>
      </c>
      <c r="D63" s="576" t="s">
        <v>386</v>
      </c>
      <c r="E63" s="600" t="s">
        <v>386</v>
      </c>
      <c r="F63" s="577">
        <v>9000</v>
      </c>
      <c r="G63" s="576" t="s">
        <v>1135</v>
      </c>
      <c r="H63" s="578">
        <v>115300</v>
      </c>
    </row>
    <row r="64" spans="1:8" ht="23.25" customHeight="1" x14ac:dyDescent="0.25">
      <c r="A64" s="601" t="s">
        <v>1119</v>
      </c>
      <c r="B64" s="601" t="s">
        <v>1120</v>
      </c>
      <c r="C64" s="602">
        <v>-3500</v>
      </c>
      <c r="D64" s="601" t="s">
        <v>1146</v>
      </c>
      <c r="E64" s="604">
        <v>46200</v>
      </c>
      <c r="F64" s="602">
        <v>5500</v>
      </c>
      <c r="G64" s="601" t="s">
        <v>1147</v>
      </c>
      <c r="H64" s="604">
        <v>69100</v>
      </c>
    </row>
    <row r="65" spans="1:8" ht="34.5" customHeight="1" x14ac:dyDescent="0.25">
      <c r="A65" s="576" t="s">
        <v>1121</v>
      </c>
      <c r="B65" s="576" t="s">
        <v>1122</v>
      </c>
      <c r="C65" s="577">
        <v>4500</v>
      </c>
      <c r="D65" s="576" t="s">
        <v>386</v>
      </c>
      <c r="E65" s="600" t="s">
        <v>386</v>
      </c>
      <c r="F65" s="577">
        <v>10000</v>
      </c>
      <c r="G65" s="576" t="s">
        <v>1148</v>
      </c>
      <c r="H65" s="578">
        <v>129850</v>
      </c>
    </row>
    <row r="66" spans="1:8" ht="34.5" customHeight="1" x14ac:dyDescent="0.25">
      <c r="A66" s="601" t="s">
        <v>1123</v>
      </c>
      <c r="B66" s="601" t="s">
        <v>1120</v>
      </c>
      <c r="C66" s="602">
        <v>-4200</v>
      </c>
      <c r="D66" s="601" t="s">
        <v>1149</v>
      </c>
      <c r="E66" s="604">
        <v>56700</v>
      </c>
      <c r="F66" s="602">
        <v>5800</v>
      </c>
      <c r="G66" s="601" t="s">
        <v>1150</v>
      </c>
      <c r="H66" s="604">
        <v>73150</v>
      </c>
    </row>
    <row r="67" spans="1:8" ht="45.75" customHeight="1" x14ac:dyDescent="0.25">
      <c r="A67" s="576" t="s">
        <v>1124</v>
      </c>
      <c r="B67" s="576" t="s">
        <v>1125</v>
      </c>
      <c r="C67" s="577">
        <v>3500</v>
      </c>
      <c r="D67" s="576" t="s">
        <v>386</v>
      </c>
      <c r="E67" s="600" t="s">
        <v>386</v>
      </c>
      <c r="F67" s="577">
        <v>9300</v>
      </c>
      <c r="G67" s="576" t="s">
        <v>1151</v>
      </c>
      <c r="H67" s="578">
        <v>117950</v>
      </c>
    </row>
    <row r="68" spans="1:8" ht="23.25" customHeight="1" x14ac:dyDescent="0.25">
      <c r="A68" s="601" t="s">
        <v>1126</v>
      </c>
      <c r="B68" s="601" t="s">
        <v>1120</v>
      </c>
      <c r="C68" s="602">
        <v>-3800</v>
      </c>
      <c r="D68" s="601" t="s">
        <v>1152</v>
      </c>
      <c r="E68" s="604">
        <v>48850</v>
      </c>
      <c r="F68" s="602">
        <v>5500</v>
      </c>
      <c r="G68" s="601" t="s">
        <v>1147</v>
      </c>
      <c r="H68" s="604">
        <v>69100</v>
      </c>
    </row>
    <row r="69" spans="1:8" ht="23.25" customHeight="1" x14ac:dyDescent="0.25">
      <c r="A69" s="605" t="s">
        <v>1127</v>
      </c>
      <c r="B69" s="605" t="s">
        <v>1128</v>
      </c>
      <c r="C69" s="606"/>
      <c r="D69" s="605" t="s">
        <v>386</v>
      </c>
      <c r="E69" s="606" t="s">
        <v>386</v>
      </c>
      <c r="F69" s="607">
        <v>5500</v>
      </c>
      <c r="G69" s="605" t="s">
        <v>1147</v>
      </c>
      <c r="H69" s="608">
        <v>69100</v>
      </c>
    </row>
    <row r="70" spans="1:8" ht="15" customHeight="1" x14ac:dyDescent="0.25">
      <c r="A70" s="1328" t="s">
        <v>1153</v>
      </c>
      <c r="B70" s="1328"/>
      <c r="C70" s="1328"/>
      <c r="D70" s="1328"/>
      <c r="E70" s="1328"/>
      <c r="F70" s="1328"/>
      <c r="G70" s="1328"/>
      <c r="H70" s="1328"/>
    </row>
    <row r="71" spans="1:8" ht="7.5" customHeight="1" thickBot="1" x14ac:dyDescent="0.3"/>
    <row r="72" spans="1:8" ht="17.25" customHeight="1" thickBot="1" x14ac:dyDescent="0.35">
      <c r="A72" s="1324" t="s">
        <v>1154</v>
      </c>
      <c r="B72" s="1325"/>
      <c r="C72" s="1325"/>
      <c r="D72" s="1325"/>
      <c r="E72" s="1326"/>
    </row>
    <row r="73" spans="1:8" ht="15" customHeight="1" x14ac:dyDescent="0.25">
      <c r="A73" s="892" t="s">
        <v>92</v>
      </c>
      <c r="B73" s="892" t="s">
        <v>1060</v>
      </c>
      <c r="C73" s="892" t="s">
        <v>1155</v>
      </c>
      <c r="D73" s="892" t="s">
        <v>1156</v>
      </c>
      <c r="E73" s="892" t="s">
        <v>577</v>
      </c>
    </row>
    <row r="74" spans="1:8" ht="23.25" customHeight="1" x14ac:dyDescent="0.25">
      <c r="A74" s="610" t="s">
        <v>1157</v>
      </c>
      <c r="B74" s="578">
        <v>149339</v>
      </c>
      <c r="C74" s="578">
        <v>149050</v>
      </c>
      <c r="D74" s="578">
        <v>151750</v>
      </c>
      <c r="E74" s="610" t="s">
        <v>1158</v>
      </c>
    </row>
    <row r="75" spans="1:8" ht="34.5" customHeight="1" x14ac:dyDescent="0.25">
      <c r="A75" s="611" t="s">
        <v>1159</v>
      </c>
      <c r="B75" s="612">
        <v>5500</v>
      </c>
      <c r="C75" s="612">
        <v>5500</v>
      </c>
      <c r="D75" s="612">
        <v>5500</v>
      </c>
      <c r="E75" s="611" t="s">
        <v>1160</v>
      </c>
    </row>
    <row r="76" spans="1:8" ht="34.5" customHeight="1" x14ac:dyDescent="0.25">
      <c r="A76" s="610" t="s">
        <v>1161</v>
      </c>
      <c r="B76" s="578">
        <v>71501.440000000002</v>
      </c>
      <c r="C76" s="578">
        <v>71800</v>
      </c>
      <c r="D76" s="578">
        <v>69100</v>
      </c>
      <c r="E76" s="610" t="s">
        <v>1162</v>
      </c>
    </row>
    <row r="77" spans="1:8" ht="15" customHeight="1" x14ac:dyDescent="0.25">
      <c r="A77" s="611" t="s">
        <v>1163</v>
      </c>
      <c r="B77" s="580">
        <v>12.99</v>
      </c>
      <c r="C77" s="580">
        <v>12.96</v>
      </c>
      <c r="D77" s="580">
        <v>13.2</v>
      </c>
      <c r="E77" s="611"/>
    </row>
    <row r="78" spans="1:8" ht="23.25" customHeight="1" x14ac:dyDescent="0.25">
      <c r="A78" s="610" t="s">
        <v>1164</v>
      </c>
      <c r="B78" s="600" t="s">
        <v>1165</v>
      </c>
      <c r="C78" s="578">
        <v>-289</v>
      </c>
      <c r="D78" s="578">
        <v>2411</v>
      </c>
      <c r="E78" s="610" t="s">
        <v>1166</v>
      </c>
    </row>
    <row r="79" spans="1:8" ht="23.25" customHeight="1" x14ac:dyDescent="0.25">
      <c r="A79" s="611" t="s">
        <v>1167</v>
      </c>
      <c r="B79" s="612" t="s">
        <v>1165</v>
      </c>
      <c r="C79" s="580">
        <v>298.56</v>
      </c>
      <c r="D79" s="580">
        <v>-2401.44</v>
      </c>
      <c r="E79" s="611" t="s">
        <v>1168</v>
      </c>
    </row>
    <row r="80" spans="1:8" ht="23.25" customHeight="1" x14ac:dyDescent="0.25">
      <c r="A80" s="613" t="s">
        <v>1169</v>
      </c>
      <c r="B80" s="614" t="s">
        <v>1170</v>
      </c>
      <c r="C80" s="614" t="s">
        <v>1170</v>
      </c>
      <c r="D80" s="614" t="s">
        <v>1171</v>
      </c>
      <c r="E80" s="613" t="s">
        <v>1172</v>
      </c>
    </row>
    <row r="81" spans="1:12" ht="15" customHeight="1" x14ac:dyDescent="0.25">
      <c r="A81" s="615" t="s">
        <v>1173</v>
      </c>
      <c r="B81" s="616" t="s">
        <v>1174</v>
      </c>
      <c r="C81" s="616" t="s">
        <v>1174</v>
      </c>
      <c r="D81" s="616" t="s">
        <v>1171</v>
      </c>
      <c r="E81" s="615" t="s">
        <v>1175</v>
      </c>
    </row>
    <row r="82" spans="1:12" ht="7.5" customHeight="1" thickBot="1" x14ac:dyDescent="0.3"/>
    <row r="83" spans="1:12" ht="27.75" customHeight="1" thickBot="1" x14ac:dyDescent="0.35">
      <c r="A83" s="1324" t="s">
        <v>1176</v>
      </c>
      <c r="B83" s="1325"/>
      <c r="C83" s="1325"/>
      <c r="D83" s="1325"/>
      <c r="E83" s="1325"/>
      <c r="F83" s="1325"/>
      <c r="G83" s="1325"/>
      <c r="H83" s="1325"/>
      <c r="I83" s="1325"/>
      <c r="J83" s="1325"/>
      <c r="K83" s="1325"/>
      <c r="L83" s="1326"/>
    </row>
    <row r="84" spans="1:12" ht="15" customHeight="1" x14ac:dyDescent="0.25">
      <c r="A84" s="648" t="s">
        <v>1177</v>
      </c>
      <c r="B84" s="649" t="s">
        <v>112</v>
      </c>
      <c r="C84" s="650" t="s">
        <v>656</v>
      </c>
    </row>
    <row r="85" spans="1:12" ht="15" customHeight="1" x14ac:dyDescent="0.25">
      <c r="A85" s="651" t="s">
        <v>1178</v>
      </c>
      <c r="B85" s="667">
        <f>SUMIF('Données Brutes'!A38:A58,"Achats matières premières",'Données Brutes'!E38:E58)+SUMIF('Données Brutes'!A38:A58,"Variation stocks MP",'Données Brutes'!E38:E58)</f>
        <v>14500000</v>
      </c>
      <c r="C85" s="668" t="s">
        <v>1296</v>
      </c>
    </row>
    <row r="86" spans="1:12" ht="15" customHeight="1" x14ac:dyDescent="0.25">
      <c r="A86" s="651" t="s">
        <v>1179</v>
      </c>
      <c r="B86" s="652">
        <f>SUMIF('Données Brutes'!A38:A58,"Achats matières premières",'Données Brutes'!E38:E58)+SUMIF('Données Brutes'!A38:A58,"Variation stocks MP",'Données Brutes'!E38:E58)+SUMIF('Données Brutes'!A38:A58,"Autres achats &amp; charges ext.",'Données Brutes'!E38:E58)</f>
        <v>18800000</v>
      </c>
      <c r="C86" s="668" t="s">
        <v>1297</v>
      </c>
    </row>
    <row r="87" spans="1:12" ht="15" customHeight="1" thickBot="1" x14ac:dyDescent="0.3">
      <c r="A87" s="653" t="s">
        <v>1180</v>
      </c>
      <c r="B87" s="654">
        <f>SUMIF('Données Brutes'!A38:A58,"Chiffre d'affaires net",'Données Brutes'!E38:E58)</f>
        <v>29800000</v>
      </c>
      <c r="C87" s="669" t="s">
        <v>1298</v>
      </c>
    </row>
    <row r="88" spans="1:12" ht="6" customHeight="1" x14ac:dyDescent="0.25"/>
    <row r="89" spans="1:12" ht="15" customHeight="1" x14ac:dyDescent="0.25">
      <c r="A89" s="609" t="s">
        <v>92</v>
      </c>
      <c r="B89" s="609" t="s">
        <v>773</v>
      </c>
      <c r="C89" s="609" t="s">
        <v>1181</v>
      </c>
      <c r="D89" s="609" t="s">
        <v>1182</v>
      </c>
      <c r="E89" s="609" t="s">
        <v>111</v>
      </c>
      <c r="F89" s="609" t="s">
        <v>125</v>
      </c>
    </row>
    <row r="90" spans="1:12" ht="34.5" customHeight="1" x14ac:dyDescent="0.25">
      <c r="A90" s="610" t="s">
        <v>1183</v>
      </c>
      <c r="B90" s="610" t="s">
        <v>1184</v>
      </c>
      <c r="C90" s="617">
        <f>B85/((SUMIF($B$8:$B$22,"Matieres premieres",$D$8:$D$22)+SUMIF($B$8:$B$22,"Matieres premieres",$J$8:$J$22))/2)</f>
        <v>80.942211496181557</v>
      </c>
      <c r="D90" s="576" t="s">
        <v>1185</v>
      </c>
      <c r="E90" s="576" t="str">
        <f>IF(C90&gt;=6,"OK","Alerte")</f>
        <v>OK</v>
      </c>
      <c r="F90" s="610" t="s">
        <v>1186</v>
      </c>
    </row>
    <row r="91" spans="1:12" ht="34.5" customHeight="1" x14ac:dyDescent="0.25">
      <c r="A91" s="611" t="s">
        <v>1187</v>
      </c>
      <c r="B91" s="611" t="s">
        <v>1188</v>
      </c>
      <c r="C91" s="618">
        <f>B86/((SUMIF($B$8:$B$22,"Produits finis",$D$8:$D$22)+SUMIF($B$8:$B$22,"Produits finis",$J$8:$J$22))/2)</f>
        <v>76.542573254433677</v>
      </c>
      <c r="D91" s="575" t="s">
        <v>1189</v>
      </c>
      <c r="E91" s="575" t="str">
        <f>IF(C91&gt;=8,"OK","Alerte")</f>
        <v>OK</v>
      </c>
      <c r="F91" s="611" t="s">
        <v>1190</v>
      </c>
    </row>
    <row r="92" spans="1:12" ht="23.25" customHeight="1" x14ac:dyDescent="0.25">
      <c r="A92" s="610" t="s">
        <v>1191</v>
      </c>
      <c r="B92" s="610" t="s">
        <v>1192</v>
      </c>
      <c r="C92" s="617">
        <f>B87/((SUM(D8:D22)+SUM(J8:J22))/2)</f>
        <v>48.036814348611109</v>
      </c>
      <c r="D92" s="576" t="s">
        <v>1193</v>
      </c>
      <c r="E92" s="576" t="str">
        <f>IF(C92&gt;=5,"OK","Alerte")</f>
        <v>OK</v>
      </c>
      <c r="F92" s="610" t="s">
        <v>1194</v>
      </c>
    </row>
    <row r="93" spans="1:12" ht="34.5" customHeight="1" x14ac:dyDescent="0.25">
      <c r="A93" s="611" t="s">
        <v>1195</v>
      </c>
      <c r="B93" s="611" t="s">
        <v>1196</v>
      </c>
      <c r="C93" s="618">
        <f>365/C90</f>
        <v>4.5093900111342871</v>
      </c>
      <c r="D93" s="575" t="s">
        <v>324</v>
      </c>
      <c r="E93" s="575" t="str">
        <f>IF(C93&lt;=60,"OK","Alerte")</f>
        <v>OK</v>
      </c>
      <c r="F93" s="611" t="s">
        <v>1197</v>
      </c>
    </row>
    <row r="94" spans="1:12" ht="23.25" customHeight="1" x14ac:dyDescent="0.25">
      <c r="A94" s="610" t="s">
        <v>1198</v>
      </c>
      <c r="B94" s="610" t="s">
        <v>1199</v>
      </c>
      <c r="C94" s="617">
        <f>365/C91</f>
        <v>4.7685880482056779</v>
      </c>
      <c r="D94" s="576" t="s">
        <v>322</v>
      </c>
      <c r="E94" s="576" t="str">
        <f>IF(C94&lt;=45,"OK","Alerte")</f>
        <v>OK</v>
      </c>
      <c r="F94" s="610" t="s">
        <v>1200</v>
      </c>
    </row>
    <row r="95" spans="1:12" ht="23.25" customHeight="1" x14ac:dyDescent="0.25">
      <c r="A95" s="611" t="s">
        <v>1201</v>
      </c>
      <c r="B95" s="611" t="s">
        <v>1202</v>
      </c>
      <c r="C95" s="618">
        <f>365/C92</f>
        <v>7.5983390020648454</v>
      </c>
      <c r="D95" s="575" t="s">
        <v>1203</v>
      </c>
      <c r="E95" s="575" t="str">
        <f>IF(C95&lt;=73,"OK","Alerte")</f>
        <v>OK</v>
      </c>
      <c r="F95" s="611" t="s">
        <v>1204</v>
      </c>
    </row>
    <row r="96" spans="1:12" ht="23.25" customHeight="1" x14ac:dyDescent="0.25">
      <c r="A96" s="610" t="s">
        <v>1205</v>
      </c>
      <c r="B96" s="610" t="s">
        <v>1206</v>
      </c>
      <c r="C96" s="617">
        <f>SUM(J8:J22)/(SUM(H8:H22)/365)</f>
        <v>100.12887730198516</v>
      </c>
      <c r="D96" s="576" t="s">
        <v>1207</v>
      </c>
      <c r="E96" s="576" t="str">
        <f>IF(AND(C96&gt;=15,C96&lt;=30),"OK","Alerte")</f>
        <v>Alerte</v>
      </c>
      <c r="F96" s="610" t="s">
        <v>1208</v>
      </c>
    </row>
    <row r="97" spans="1:6" ht="23.25" customHeight="1" x14ac:dyDescent="0.25">
      <c r="A97" s="611" t="s">
        <v>1209</v>
      </c>
      <c r="B97" s="611" t="s">
        <v>1210</v>
      </c>
      <c r="C97" s="618">
        <f>IF(SUM(J8:J22)&gt;0,SUM(L8:L22)/SUM(J8:J22)*100,0)</f>
        <v>5.7679542889074762</v>
      </c>
      <c r="D97" s="575" t="s">
        <v>1211</v>
      </c>
      <c r="E97" s="575" t="str">
        <f>IF(C97&lt;=5,"OK","Alerte")</f>
        <v>Alerte</v>
      </c>
      <c r="F97" s="611" t="s">
        <v>1212</v>
      </c>
    </row>
    <row r="98" spans="1:6" ht="34.5" customHeight="1" x14ac:dyDescent="0.25">
      <c r="A98" s="610" t="s">
        <v>1213</v>
      </c>
      <c r="B98" s="610" t="s">
        <v>1214</v>
      </c>
      <c r="C98" s="576">
        <v>1.5</v>
      </c>
      <c r="D98" s="576" t="s">
        <v>1215</v>
      </c>
      <c r="E98" s="576" t="str">
        <f>IF(C98&lt;=2,"OK","Alerte")</f>
        <v>OK</v>
      </c>
      <c r="F98" s="610" t="s">
        <v>1216</v>
      </c>
    </row>
    <row r="99" spans="1:6" ht="6" customHeight="1" x14ac:dyDescent="0.25"/>
    <row r="100" spans="1:6" ht="15" customHeight="1" x14ac:dyDescent="0.25">
      <c r="A100" s="1332" t="s">
        <v>1217</v>
      </c>
      <c r="B100" s="1332"/>
      <c r="C100" s="1332"/>
      <c r="D100" s="1332"/>
      <c r="E100" s="1332"/>
      <c r="F100" s="1332"/>
    </row>
    <row r="101" spans="1:6" ht="45.75" customHeight="1" x14ac:dyDescent="0.25">
      <c r="A101" s="610" t="s">
        <v>1218</v>
      </c>
      <c r="B101" s="610" t="s">
        <v>1219</v>
      </c>
      <c r="C101" s="619">
        <f>C109*C110*SQRT(C111)</f>
        <v>319.52112606211193</v>
      </c>
      <c r="D101" s="576" t="s">
        <v>1220</v>
      </c>
      <c r="E101" s="576" t="s">
        <v>386</v>
      </c>
      <c r="F101" s="610" t="s">
        <v>1221</v>
      </c>
    </row>
    <row r="102" spans="1:6" ht="34.5" customHeight="1" x14ac:dyDescent="0.25">
      <c r="A102" s="611" t="s">
        <v>1222</v>
      </c>
      <c r="B102" s="611" t="s">
        <v>1223</v>
      </c>
      <c r="C102" s="620">
        <f>ROUND(SUM(G8:G22)/365*C111+C101,0)</f>
        <v>3831</v>
      </c>
      <c r="D102" s="575" t="s">
        <v>386</v>
      </c>
      <c r="E102" s="575" t="s">
        <v>386</v>
      </c>
      <c r="F102" s="611" t="s">
        <v>1224</v>
      </c>
    </row>
    <row r="103" spans="1:6" ht="45.75" customHeight="1" x14ac:dyDescent="0.25">
      <c r="A103" s="610" t="s">
        <v>1225</v>
      </c>
      <c r="B103" s="610" t="s">
        <v>1226</v>
      </c>
      <c r="C103" s="619">
        <f>ROUND(SQRT(2*SUM(G8:G22)*C112/C113),0)</f>
        <v>3202</v>
      </c>
      <c r="D103" s="576" t="s">
        <v>386</v>
      </c>
      <c r="E103" s="576" t="s">
        <v>386</v>
      </c>
      <c r="F103" s="610" t="s">
        <v>1227</v>
      </c>
    </row>
    <row r="104" spans="1:6" ht="23.25" customHeight="1" x14ac:dyDescent="0.25">
      <c r="A104" s="611" t="s">
        <v>1228</v>
      </c>
      <c r="B104" s="611" t="s">
        <v>1229</v>
      </c>
      <c r="C104" s="575" t="s">
        <v>386</v>
      </c>
      <c r="D104" s="575" t="s">
        <v>1230</v>
      </c>
      <c r="E104" s="575" t="s">
        <v>386</v>
      </c>
      <c r="F104" s="611" t="s">
        <v>1231</v>
      </c>
    </row>
    <row r="105" spans="1:6" ht="34.5" customHeight="1" x14ac:dyDescent="0.25">
      <c r="A105" s="610" t="s">
        <v>1232</v>
      </c>
      <c r="B105" s="610" t="s">
        <v>1233</v>
      </c>
      <c r="C105" s="619">
        <f>(SUM(J8:J22)-SUM(D8:D22))/B87*100</f>
        <v>-0.12041919166070834</v>
      </c>
      <c r="D105" s="576" t="s">
        <v>1234</v>
      </c>
      <c r="E105" s="576" t="s">
        <v>386</v>
      </c>
      <c r="F105" s="610" t="s">
        <v>1235</v>
      </c>
    </row>
    <row r="106" spans="1:6" ht="7.5" customHeight="1" thickBot="1" x14ac:dyDescent="0.3"/>
    <row r="107" spans="1:6" ht="15" customHeight="1" thickBot="1" x14ac:dyDescent="0.3">
      <c r="A107" s="1321" t="s">
        <v>1236</v>
      </c>
      <c r="B107" s="1322"/>
      <c r="C107" s="1322"/>
      <c r="D107" s="1322"/>
      <c r="E107" s="1322"/>
      <c r="F107" s="1323"/>
    </row>
    <row r="108" spans="1:6" ht="15" customHeight="1" x14ac:dyDescent="0.25">
      <c r="A108" s="655" t="s">
        <v>1237</v>
      </c>
      <c r="B108" s="655" t="s">
        <v>1238</v>
      </c>
      <c r="C108" s="655" t="s">
        <v>112</v>
      </c>
      <c r="D108" s="655" t="s">
        <v>566</v>
      </c>
      <c r="E108" s="655" t="s">
        <v>1239</v>
      </c>
      <c r="F108" s="655"/>
    </row>
    <row r="109" spans="1:6" ht="42.75" customHeight="1" x14ac:dyDescent="0.25">
      <c r="A109" s="621" t="s">
        <v>1240</v>
      </c>
      <c r="B109" s="622" t="s">
        <v>1241</v>
      </c>
      <c r="C109" s="623">
        <v>1.65</v>
      </c>
      <c r="D109" s="624"/>
      <c r="E109" s="625" t="s">
        <v>1242</v>
      </c>
    </row>
    <row r="110" spans="1:6" ht="21.75" customHeight="1" x14ac:dyDescent="0.25">
      <c r="A110" s="621" t="s">
        <v>1243</v>
      </c>
      <c r="B110" s="622" t="s">
        <v>1244</v>
      </c>
      <c r="C110" s="626">
        <v>50</v>
      </c>
      <c r="D110" s="624" t="s">
        <v>1245</v>
      </c>
      <c r="E110" s="625" t="s">
        <v>1246</v>
      </c>
    </row>
    <row r="111" spans="1:6" ht="21.75" customHeight="1" x14ac:dyDescent="0.25">
      <c r="A111" s="621" t="s">
        <v>1247</v>
      </c>
      <c r="B111" s="622" t="s">
        <v>1248</v>
      </c>
      <c r="C111" s="626">
        <v>15</v>
      </c>
      <c r="D111" s="624" t="s">
        <v>1249</v>
      </c>
      <c r="E111" s="625" t="s">
        <v>1250</v>
      </c>
    </row>
    <row r="112" spans="1:6" ht="21.75" customHeight="1" x14ac:dyDescent="0.25">
      <c r="A112" s="621" t="s">
        <v>1251</v>
      </c>
      <c r="B112" s="622" t="s">
        <v>1252</v>
      </c>
      <c r="C112" s="626">
        <v>150</v>
      </c>
      <c r="D112" s="624" t="s">
        <v>1253</v>
      </c>
      <c r="E112" s="625" t="s">
        <v>1254</v>
      </c>
    </row>
    <row r="113" spans="1:12" ht="32.25" customHeight="1" x14ac:dyDescent="0.25">
      <c r="A113" s="621" t="s">
        <v>1255</v>
      </c>
      <c r="B113" s="622" t="s">
        <v>1256</v>
      </c>
      <c r="C113" s="623">
        <v>2.5</v>
      </c>
      <c r="D113" s="624" t="s">
        <v>1257</v>
      </c>
      <c r="E113" s="625" t="s">
        <v>1258</v>
      </c>
    </row>
    <row r="114" spans="1:12" ht="6" customHeight="1" x14ac:dyDescent="0.25"/>
    <row r="115" spans="1:12" ht="15" customHeight="1" x14ac:dyDescent="0.25">
      <c r="A115" s="1193" t="s">
        <v>1259</v>
      </c>
      <c r="B115" s="1193"/>
    </row>
    <row r="116" spans="1:12" ht="15" customHeight="1" x14ac:dyDescent="0.25">
      <c r="A116" s="627" t="s">
        <v>1260</v>
      </c>
      <c r="C116" s="628">
        <f>C109*C110*SQRT(C111)</f>
        <v>319.52112606211193</v>
      </c>
      <c r="D116" s="588" t="s">
        <v>1261</v>
      </c>
      <c r="E116" s="629" t="s">
        <v>1262</v>
      </c>
    </row>
    <row r="117" spans="1:12" ht="15" customHeight="1" x14ac:dyDescent="0.25">
      <c r="A117" s="627" t="s">
        <v>1222</v>
      </c>
      <c r="C117" s="628">
        <f>ROUND(SUM(G8:G22)/365*C111+C116,0)</f>
        <v>3831</v>
      </c>
      <c r="D117" s="588" t="s">
        <v>1261</v>
      </c>
      <c r="E117" s="629" t="s">
        <v>1263</v>
      </c>
    </row>
    <row r="118" spans="1:12" ht="15" customHeight="1" x14ac:dyDescent="0.25">
      <c r="A118" s="627" t="s">
        <v>1264</v>
      </c>
      <c r="C118" s="628">
        <f>ROUND(SQRT(2*SUM(G8:G22)*C112/C113),0)</f>
        <v>3202</v>
      </c>
      <c r="D118" s="588" t="s">
        <v>1261</v>
      </c>
      <c r="E118" s="629" t="s">
        <v>1265</v>
      </c>
    </row>
    <row r="119" spans="1:12" ht="15" customHeight="1" x14ac:dyDescent="0.25">
      <c r="A119" s="627" t="s">
        <v>1266</v>
      </c>
      <c r="C119" s="628">
        <f>IF(C118&gt;0,ROUND(SUM(G8:G22)/C118,1),0)</f>
        <v>26.7</v>
      </c>
      <c r="D119" s="588" t="s">
        <v>1267</v>
      </c>
      <c r="E119" s="629" t="s">
        <v>1268</v>
      </c>
    </row>
    <row r="120" spans="1:12" ht="15" customHeight="1" x14ac:dyDescent="0.25">
      <c r="A120" s="627" t="s">
        <v>1269</v>
      </c>
      <c r="C120" s="628">
        <f>IF(C118&gt;0,ROUND(SUM(G8:G22)/C118*C112+C118/2*C113,2),0)</f>
        <v>8005.47</v>
      </c>
      <c r="D120" s="588" t="s">
        <v>1270</v>
      </c>
      <c r="E120" s="629" t="s">
        <v>1271</v>
      </c>
    </row>
    <row r="122" spans="1:12" ht="7.5" customHeight="1" thickBot="1" x14ac:dyDescent="0.3"/>
    <row r="123" spans="1:12" ht="27.75" customHeight="1" thickBot="1" x14ac:dyDescent="0.35">
      <c r="A123" s="1324" t="s">
        <v>1272</v>
      </c>
      <c r="B123" s="1325"/>
      <c r="C123" s="1325"/>
      <c r="D123" s="1325"/>
      <c r="E123" s="1325"/>
      <c r="F123" s="1325"/>
      <c r="G123" s="1325"/>
      <c r="H123" s="1325"/>
      <c r="I123" s="1325"/>
      <c r="J123" s="1325"/>
      <c r="K123" s="1325"/>
      <c r="L123" s="1326"/>
    </row>
    <row r="124" spans="1:12" ht="23.25" customHeight="1" x14ac:dyDescent="0.25">
      <c r="A124" s="892" t="s">
        <v>1273</v>
      </c>
      <c r="B124" s="892" t="s">
        <v>1274</v>
      </c>
      <c r="C124" s="892" t="s">
        <v>1275</v>
      </c>
      <c r="D124" s="892" t="s">
        <v>1276</v>
      </c>
      <c r="E124" s="892" t="s">
        <v>1277</v>
      </c>
      <c r="F124" s="892" t="s">
        <v>94</v>
      </c>
    </row>
    <row r="125" spans="1:12" ht="23.25" customHeight="1" x14ac:dyDescent="0.25">
      <c r="A125" s="576" t="s">
        <v>1278</v>
      </c>
      <c r="B125" s="576" t="s">
        <v>1279</v>
      </c>
      <c r="C125" s="576" t="s">
        <v>1280</v>
      </c>
      <c r="D125" s="681" t="s">
        <v>1307</v>
      </c>
      <c r="E125" s="630">
        <f>STOCKS!J29</f>
        <v>5600000</v>
      </c>
      <c r="F125" s="680" t="s">
        <v>1306</v>
      </c>
    </row>
    <row r="126" spans="1:12" ht="23.25" customHeight="1" x14ac:dyDescent="0.25">
      <c r="A126" s="575" t="s">
        <v>1282</v>
      </c>
      <c r="B126" s="575" t="s">
        <v>1283</v>
      </c>
      <c r="C126" s="575" t="s">
        <v>1280</v>
      </c>
      <c r="D126" s="682" t="s">
        <v>1308</v>
      </c>
      <c r="E126" s="632">
        <f>+STOCKS!L29</f>
        <v>34747.02649493808</v>
      </c>
      <c r="F126" s="680" t="s">
        <v>1306</v>
      </c>
    </row>
    <row r="127" spans="1:12" ht="15" customHeight="1" x14ac:dyDescent="0.25">
      <c r="A127" s="576" t="s">
        <v>1284</v>
      </c>
      <c r="B127" s="576" t="s">
        <v>1191</v>
      </c>
      <c r="C127" s="576" t="s">
        <v>1285</v>
      </c>
      <c r="D127" s="681" t="s">
        <v>1309</v>
      </c>
      <c r="E127" s="633">
        <f>STOCKS!C92</f>
        <v>48.036814348611109</v>
      </c>
      <c r="F127" s="680" t="s">
        <v>1306</v>
      </c>
    </row>
    <row r="128" spans="1:12" ht="23.25" customHeight="1" x14ac:dyDescent="0.25">
      <c r="A128" s="575" t="s">
        <v>1287</v>
      </c>
      <c r="B128" s="575" t="s">
        <v>1288</v>
      </c>
      <c r="C128" s="575" t="s">
        <v>1285</v>
      </c>
      <c r="D128" s="682" t="s">
        <v>1310</v>
      </c>
      <c r="E128" s="634">
        <f>STOCKS!C95</f>
        <v>7.5983390020648454</v>
      </c>
      <c r="F128" s="680" t="s">
        <v>1306</v>
      </c>
    </row>
    <row r="129" spans="1:12" ht="15" customHeight="1" x14ac:dyDescent="0.25">
      <c r="A129" s="576" t="s">
        <v>1287</v>
      </c>
      <c r="B129" s="576" t="s">
        <v>1288</v>
      </c>
      <c r="C129" s="576" t="s">
        <v>1289</v>
      </c>
      <c r="D129" s="681" t="s">
        <v>1311</v>
      </c>
      <c r="E129" s="633">
        <f>STOCKS!C95</f>
        <v>7.5983390020648454</v>
      </c>
      <c r="F129" s="680" t="s">
        <v>1306</v>
      </c>
    </row>
    <row r="130" spans="1:12" ht="23.25" customHeight="1" x14ac:dyDescent="0.25">
      <c r="A130" s="575" t="s">
        <v>1290</v>
      </c>
      <c r="B130" s="575" t="s">
        <v>243</v>
      </c>
      <c r="C130" s="575" t="s">
        <v>1291</v>
      </c>
      <c r="D130" s="682" t="s">
        <v>1312</v>
      </c>
      <c r="E130" s="635">
        <f>STOCKS!J29-STOCKS!D29</f>
        <v>830000</v>
      </c>
      <c r="F130" s="680" t="s">
        <v>1306</v>
      </c>
    </row>
    <row r="131" spans="1:12" x14ac:dyDescent="0.25">
      <c r="A131" s="918" t="s">
        <v>1679</v>
      </c>
      <c r="B131" s="918" t="s">
        <v>1680</v>
      </c>
      <c r="C131" s="918" t="s">
        <v>1681</v>
      </c>
      <c r="D131" s="919" t="str">
        <f>IF(ABS(STOCKS!H28-ABS(ECARTS_BU!AB13))&lt;5000,"✅ Cohérent","⚠️ Écart : "&amp;TEXT(STOCKS!H28-ABS(ECARTS_BU!AB13),"#,##0")&amp;"€")</f>
        <v>⚠️ Écart : -3215784,887€</v>
      </c>
      <c r="E131" s="920">
        <f>STOCKS!H28</f>
        <v>440715.11345852894</v>
      </c>
      <c r="F131" s="921" t="str">
        <f>IF(ABS(SUM(ECARTS_BU!AB13)-STOCKS!H28)&lt;5000,"✅ Lié","⚠️ Écart")</f>
        <v>⚠️ Écart</v>
      </c>
    </row>
    <row r="132" spans="1:12" ht="7.5" customHeight="1" x14ac:dyDescent="0.25">
      <c r="A132" s="922" t="s">
        <v>1682</v>
      </c>
      <c r="B132" s="922" t="s">
        <v>1683</v>
      </c>
      <c r="C132" s="922" t="s">
        <v>1684</v>
      </c>
      <c r="D132" s="923" t="str">
        <f>IF(ABS('Données Brutes'!F48-PLAN_AMORT!N20)&lt;1,"✅","ℹ️ Partiel: "&amp;TEXT(PLAN_AMORT!N20/1000,"#,##0")&amp;"k / "&amp;TEXT('Données Brutes'!F48/1000,"#,##0")&amp;"k")</f>
        <v>ℹ️ Partiel: 301,689k / 1450,0k</v>
      </c>
      <c r="E132" s="924">
        <f>PLAN_AMORT!N20</f>
        <v>301688.68</v>
      </c>
      <c r="F132" s="921" t="str">
        <f>IF(PLAN_AMORT!B63="✅ COHÉRENT","✅ Lié","⚠️ Vérif.")</f>
        <v>✅ Lié</v>
      </c>
    </row>
    <row r="133" spans="1:12" ht="15" customHeight="1" x14ac:dyDescent="0.25">
      <c r="A133" s="1327" t="s">
        <v>1299</v>
      </c>
      <c r="B133" s="1187"/>
      <c r="C133" s="1187"/>
      <c r="D133" s="1187"/>
      <c r="E133" s="1187"/>
      <c r="F133" s="1187"/>
      <c r="G133" s="1187"/>
      <c r="H133" s="1187"/>
      <c r="I133" s="1187"/>
      <c r="J133" s="1187"/>
      <c r="K133" s="1187"/>
      <c r="L133" s="1187"/>
    </row>
    <row r="134" spans="1:12" x14ac:dyDescent="0.25">
      <c r="A134" s="672" t="s">
        <v>1300</v>
      </c>
      <c r="B134" s="673">
        <f>J29</f>
        <v>5600000</v>
      </c>
      <c r="C134" s="672" t="s">
        <v>1301</v>
      </c>
      <c r="D134" s="673">
        <f>SUMIF('Données Brutes'!A2:A26,"Stocks matières premières",'Données Brutes'!F2:F26)+SUMIF('Données Brutes'!A2:A26,"Stocks produits finis",'Données Brutes'!F2:F26)+SUMIF('Données Brutes'!A2:A26,"Stocks en-cours de production",'Données Brutes'!F2:F26)+SUMIF('Données Brutes'!A2:A26,"Stocks marchandises",'Données Brutes'!F2:F26)</f>
        <v>5600000</v>
      </c>
      <c r="E134" s="674" t="s">
        <v>1302</v>
      </c>
      <c r="F134" s="675">
        <f>B134-D134</f>
        <v>0</v>
      </c>
    </row>
    <row r="135" spans="1:12" x14ac:dyDescent="0.25">
      <c r="A135" s="674" t="s">
        <v>1303</v>
      </c>
      <c r="B135" s="674" t="str">
        <f>IF(F134=0,"✅ Stocks détaillés réconciliés avec bilan (Données Brutes 2025)","🚨 ECART "&amp;TEXT(F134,"#,##0")&amp;" EUR — vérifier les montants")</f>
        <v>✅ Stocks détaillés réconciliés avec bilan (Données Brutes 2025)</v>
      </c>
    </row>
  </sheetData>
  <mergeCells count="16">
    <mergeCell ref="A48:H48"/>
    <mergeCell ref="A1:L1"/>
    <mergeCell ref="A5:L5"/>
    <mergeCell ref="A34:L34"/>
    <mergeCell ref="A36:H36"/>
    <mergeCell ref="A46:H46"/>
    <mergeCell ref="A107:F107"/>
    <mergeCell ref="A115:B115"/>
    <mergeCell ref="A123:L123"/>
    <mergeCell ref="A133:L133"/>
    <mergeCell ref="A58:H58"/>
    <mergeCell ref="A60:H60"/>
    <mergeCell ref="A70:H70"/>
    <mergeCell ref="A72:E72"/>
    <mergeCell ref="A83:L83"/>
    <mergeCell ref="A100:F100"/>
  </mergeCells>
  <dataValidations count="1">
    <dataValidation type="list" promptTitle="Methode" prompt="Selectionner la methode" sqref="B3" xr:uid="{7C4ECC5B-40B1-4971-9D4E-B803273C053C}">
      <formula1>"CUMP,FIFO,LIFO"</formula1>
      <formula2>0</formula2>
    </dataValidation>
  </dataValidations>
  <pageMargins left="0.75" right="0.75" top="1" bottom="1" header="0.511811023622047" footer="0.511811023622047"/>
  <pageSetup orientation="landscape" horizontalDpi="300" verticalDpi="30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5842B-2121-4C43-973F-AACE3A21F03C}">
  <sheetPr>
    <tabColor rgb="FF548235"/>
  </sheetPr>
  <dimension ref="A1:P64"/>
  <sheetViews>
    <sheetView showGridLines="0" topLeftCell="A36" workbookViewId="0">
      <selection activeCell="B63" sqref="B63"/>
    </sheetView>
  </sheetViews>
  <sheetFormatPr baseColWidth="10" defaultRowHeight="15" x14ac:dyDescent="0.25"/>
  <cols>
    <col min="1" max="1" width="71.42578125" customWidth="1"/>
    <col min="2" max="2" width="30" customWidth="1"/>
    <col min="3" max="3" width="38.140625" customWidth="1"/>
    <col min="4" max="11" width="15.28515625" customWidth="1"/>
    <col min="12" max="14" width="18.140625" customWidth="1"/>
    <col min="15" max="15" width="21.85546875" customWidth="1"/>
    <col min="16" max="16" width="30.140625" customWidth="1"/>
  </cols>
  <sheetData>
    <row r="1" spans="1:16" ht="42" customHeight="1" thickBot="1" x14ac:dyDescent="0.3">
      <c r="A1" s="1348" t="s">
        <v>1315</v>
      </c>
      <c r="B1" s="1349"/>
      <c r="C1" s="1349"/>
      <c r="D1" s="1349"/>
      <c r="E1" s="1349"/>
      <c r="F1" s="1349"/>
      <c r="G1" s="1349"/>
      <c r="H1" s="1349"/>
      <c r="I1" s="1349"/>
      <c r="J1" s="1349"/>
      <c r="K1" s="1349"/>
      <c r="L1" s="1349"/>
      <c r="M1" s="1349"/>
      <c r="N1" s="1349"/>
      <c r="O1" s="1349"/>
      <c r="P1" s="1350"/>
    </row>
    <row r="2" spans="1:16" ht="6" customHeight="1" x14ac:dyDescent="0.25"/>
    <row r="3" spans="1:16" x14ac:dyDescent="0.25">
      <c r="A3" s="975" t="s">
        <v>1316</v>
      </c>
      <c r="B3" s="684" t="s">
        <v>1317</v>
      </c>
      <c r="D3" s="974" t="s">
        <v>1318</v>
      </c>
      <c r="E3" s="685" t="s">
        <v>1319</v>
      </c>
      <c r="G3" s="974" t="s">
        <v>1320</v>
      </c>
      <c r="H3" s="685" t="s">
        <v>1321</v>
      </c>
      <c r="J3" s="683" t="s">
        <v>1322</v>
      </c>
      <c r="K3" s="686" t="s">
        <v>1323</v>
      </c>
    </row>
    <row r="5" spans="1:16" x14ac:dyDescent="0.25">
      <c r="A5" s="1351" t="s">
        <v>1324</v>
      </c>
      <c r="B5" s="1176"/>
      <c r="C5" s="1176"/>
      <c r="D5" s="1176"/>
      <c r="E5" s="1176"/>
      <c r="F5" s="1176"/>
      <c r="G5" s="1176"/>
      <c r="H5" s="1176"/>
      <c r="I5" s="1176"/>
      <c r="J5" s="1176"/>
      <c r="K5" s="1176"/>
      <c r="L5" s="1176"/>
      <c r="M5" s="1176"/>
      <c r="N5" s="1176"/>
      <c r="O5" s="1176"/>
      <c r="P5" s="1176"/>
    </row>
    <row r="6" spans="1:16" ht="6" customHeight="1" x14ac:dyDescent="0.25"/>
    <row r="7" spans="1:16" ht="27.95" customHeight="1" x14ac:dyDescent="0.3">
      <c r="A7" s="687" t="s">
        <v>1325</v>
      </c>
    </row>
    <row r="8" spans="1:16" ht="35.1" customHeight="1" x14ac:dyDescent="0.25">
      <c r="A8" s="688" t="s">
        <v>1326</v>
      </c>
      <c r="B8" s="688" t="s">
        <v>1327</v>
      </c>
      <c r="C8" s="688" t="s">
        <v>1328</v>
      </c>
      <c r="D8" s="688" t="s">
        <v>1329</v>
      </c>
      <c r="E8" s="688" t="s">
        <v>1330</v>
      </c>
      <c r="F8" s="688" t="s">
        <v>1331</v>
      </c>
      <c r="G8" s="688" t="s">
        <v>1332</v>
      </c>
      <c r="H8" s="688" t="s">
        <v>1333</v>
      </c>
      <c r="I8" s="688" t="s">
        <v>1334</v>
      </c>
      <c r="J8" s="688" t="s">
        <v>1335</v>
      </c>
      <c r="K8" s="688" t="s">
        <v>1336</v>
      </c>
      <c r="L8" s="688" t="s">
        <v>1337</v>
      </c>
      <c r="M8" s="688" t="s">
        <v>1338</v>
      </c>
      <c r="N8" s="688" t="s">
        <v>1339</v>
      </c>
      <c r="O8" s="688" t="s">
        <v>1340</v>
      </c>
      <c r="P8" s="688" t="s">
        <v>1341</v>
      </c>
    </row>
    <row r="9" spans="1:16" x14ac:dyDescent="0.25">
      <c r="A9" s="689" t="s">
        <v>1342</v>
      </c>
      <c r="B9" s="689" t="s">
        <v>1343</v>
      </c>
      <c r="C9" s="690">
        <v>44199</v>
      </c>
      <c r="D9" s="691">
        <v>850000</v>
      </c>
      <c r="E9" s="689">
        <v>20</v>
      </c>
      <c r="F9" s="689" t="s">
        <v>1344</v>
      </c>
      <c r="G9" s="689" t="s">
        <v>386</v>
      </c>
      <c r="H9" s="692">
        <v>0.05</v>
      </c>
      <c r="I9" s="689" t="s">
        <v>386</v>
      </c>
      <c r="J9" s="691">
        <v>0</v>
      </c>
      <c r="K9" s="691">
        <f t="shared" ref="K9:K18" si="0">D9-J9</f>
        <v>850000</v>
      </c>
      <c r="L9" s="691">
        <v>162916.67000000001</v>
      </c>
      <c r="M9" s="691">
        <f t="shared" ref="M9:M18" si="1">D9-L9</f>
        <v>687083.33</v>
      </c>
      <c r="N9" s="691">
        <f>K9/E9</f>
        <v>42500</v>
      </c>
      <c r="O9" s="691">
        <f t="shared" ref="O9:O18" si="2">M9-N9</f>
        <v>644583.32999999996</v>
      </c>
      <c r="P9" s="17" t="s">
        <v>1345</v>
      </c>
    </row>
    <row r="10" spans="1:16" x14ac:dyDescent="0.25">
      <c r="A10" s="693" t="s">
        <v>1346</v>
      </c>
      <c r="B10" s="693" t="s">
        <v>1347</v>
      </c>
      <c r="C10" s="1088">
        <v>44727</v>
      </c>
      <c r="D10" s="694">
        <v>320000</v>
      </c>
      <c r="E10" s="693">
        <v>8</v>
      </c>
      <c r="F10" s="693" t="s">
        <v>1348</v>
      </c>
      <c r="G10" s="695">
        <v>2.25</v>
      </c>
      <c r="H10" s="696">
        <v>0.125</v>
      </c>
      <c r="I10" s="697">
        <v>0.28125</v>
      </c>
      <c r="J10" s="694">
        <v>0</v>
      </c>
      <c r="K10" s="694">
        <f t="shared" si="0"/>
        <v>320000</v>
      </c>
      <c r="L10" s="694">
        <v>181809.08</v>
      </c>
      <c r="M10" s="694">
        <f t="shared" si="1"/>
        <v>138190.92000000001</v>
      </c>
      <c r="N10" s="694">
        <f>ROUND(M10*I10,2)</f>
        <v>38866.199999999997</v>
      </c>
      <c r="O10" s="694">
        <f t="shared" si="2"/>
        <v>99324.720000000016</v>
      </c>
      <c r="P10" s="698" t="s">
        <v>386</v>
      </c>
    </row>
    <row r="11" spans="1:16" x14ac:dyDescent="0.25">
      <c r="A11" s="689" t="s">
        <v>1349</v>
      </c>
      <c r="B11" s="689" t="s">
        <v>1350</v>
      </c>
      <c r="C11" s="690">
        <v>44927</v>
      </c>
      <c r="D11" s="691">
        <v>35000</v>
      </c>
      <c r="E11" s="689">
        <v>5</v>
      </c>
      <c r="F11" s="689" t="s">
        <v>1344</v>
      </c>
      <c r="G11" s="689" t="s">
        <v>386</v>
      </c>
      <c r="H11" s="692">
        <v>0.2</v>
      </c>
      <c r="I11" s="689" t="s">
        <v>386</v>
      </c>
      <c r="J11" s="691">
        <v>3000</v>
      </c>
      <c r="K11" s="691">
        <f t="shared" si="0"/>
        <v>32000</v>
      </c>
      <c r="L11" s="691">
        <v>12800</v>
      </c>
      <c r="M11" s="691">
        <f t="shared" si="1"/>
        <v>22200</v>
      </c>
      <c r="N11" s="691">
        <f>K11/E11</f>
        <v>6400</v>
      </c>
      <c r="O11" s="691">
        <f t="shared" si="2"/>
        <v>15800</v>
      </c>
      <c r="P11" s="17" t="s">
        <v>1351</v>
      </c>
    </row>
    <row r="12" spans="1:16" x14ac:dyDescent="0.25">
      <c r="A12" s="693" t="s">
        <v>1352</v>
      </c>
      <c r="B12" s="693" t="s">
        <v>1353</v>
      </c>
      <c r="C12" s="699">
        <v>45300</v>
      </c>
      <c r="D12" s="694">
        <v>180000</v>
      </c>
      <c r="E12" s="693">
        <v>3</v>
      </c>
      <c r="F12" s="693" t="s">
        <v>1344</v>
      </c>
      <c r="G12" s="693" t="s">
        <v>386</v>
      </c>
      <c r="H12" s="696">
        <v>0.33333299999999999</v>
      </c>
      <c r="I12" s="693" t="s">
        <v>386</v>
      </c>
      <c r="J12" s="694">
        <v>0</v>
      </c>
      <c r="K12" s="694">
        <f t="shared" si="0"/>
        <v>180000</v>
      </c>
      <c r="L12" s="694">
        <v>20000</v>
      </c>
      <c r="M12" s="694">
        <f t="shared" si="1"/>
        <v>160000</v>
      </c>
      <c r="N12" s="694">
        <f>K12/E12</f>
        <v>60000</v>
      </c>
      <c r="O12" s="694">
        <f t="shared" si="2"/>
        <v>100000</v>
      </c>
      <c r="P12" s="698" t="s">
        <v>1354</v>
      </c>
    </row>
    <row r="13" spans="1:16" x14ac:dyDescent="0.25">
      <c r="A13" s="689" t="s">
        <v>1355</v>
      </c>
      <c r="B13" s="689" t="s">
        <v>1356</v>
      </c>
      <c r="C13" s="690">
        <v>45658</v>
      </c>
      <c r="D13" s="691">
        <v>120000</v>
      </c>
      <c r="E13" s="689">
        <v>10</v>
      </c>
      <c r="F13" s="689" t="s">
        <v>1344</v>
      </c>
      <c r="G13" s="689" t="s">
        <v>386</v>
      </c>
      <c r="H13" s="692">
        <v>0.1</v>
      </c>
      <c r="I13" s="689" t="s">
        <v>386</v>
      </c>
      <c r="J13" s="691">
        <v>0</v>
      </c>
      <c r="K13" s="691">
        <f t="shared" si="0"/>
        <v>120000</v>
      </c>
      <c r="L13" s="691">
        <v>0</v>
      </c>
      <c r="M13" s="691">
        <f t="shared" si="1"/>
        <v>120000</v>
      </c>
      <c r="N13" s="691">
        <f>K13/E13</f>
        <v>12000</v>
      </c>
      <c r="O13" s="691">
        <f t="shared" si="2"/>
        <v>108000</v>
      </c>
      <c r="P13" s="17" t="s">
        <v>1354</v>
      </c>
    </row>
    <row r="14" spans="1:16" x14ac:dyDescent="0.25">
      <c r="A14" s="693" t="s">
        <v>1357</v>
      </c>
      <c r="B14" s="693" t="s">
        <v>1358</v>
      </c>
      <c r="C14" s="699">
        <v>45661</v>
      </c>
      <c r="D14" s="694">
        <v>25000</v>
      </c>
      <c r="E14" s="693">
        <v>7</v>
      </c>
      <c r="F14" s="693" t="s">
        <v>1344</v>
      </c>
      <c r="G14" s="693" t="s">
        <v>386</v>
      </c>
      <c r="H14" s="696">
        <v>0.14285700000000001</v>
      </c>
      <c r="I14" s="693" t="s">
        <v>386</v>
      </c>
      <c r="J14" s="694">
        <v>0</v>
      </c>
      <c r="K14" s="694">
        <f t="shared" si="0"/>
        <v>25000</v>
      </c>
      <c r="L14" s="694">
        <v>0</v>
      </c>
      <c r="M14" s="694">
        <f t="shared" si="1"/>
        <v>25000</v>
      </c>
      <c r="N14" s="694">
        <f>ROUND(K14/E14*(DATE(2025,12,31)-C14+1)/365,2)</f>
        <v>3542.07</v>
      </c>
      <c r="O14" s="694">
        <f t="shared" si="2"/>
        <v>21457.93</v>
      </c>
      <c r="P14" s="698" t="s">
        <v>386</v>
      </c>
    </row>
    <row r="15" spans="1:16" x14ac:dyDescent="0.25">
      <c r="A15" s="689" t="s">
        <v>1359</v>
      </c>
      <c r="B15" s="689" t="s">
        <v>1360</v>
      </c>
      <c r="C15" s="690">
        <v>45664</v>
      </c>
      <c r="D15" s="691">
        <v>450000</v>
      </c>
      <c r="E15" s="689">
        <v>10</v>
      </c>
      <c r="F15" s="689" t="s">
        <v>1348</v>
      </c>
      <c r="G15" s="700">
        <v>2.25</v>
      </c>
      <c r="H15" s="692">
        <v>0.1</v>
      </c>
      <c r="I15" s="701">
        <v>0.22500000000000001</v>
      </c>
      <c r="J15" s="691">
        <v>0</v>
      </c>
      <c r="K15" s="691">
        <f t="shared" si="0"/>
        <v>450000</v>
      </c>
      <c r="L15" s="691">
        <v>0</v>
      </c>
      <c r="M15" s="691">
        <f t="shared" si="1"/>
        <v>450000</v>
      </c>
      <c r="N15" s="691">
        <f>ROUND(K15*I15*(DATE(2025,12,31)-C15+1)/365,2)</f>
        <v>99585.62</v>
      </c>
      <c r="O15" s="691">
        <f t="shared" si="2"/>
        <v>350414.38</v>
      </c>
      <c r="P15" s="17" t="s">
        <v>1361</v>
      </c>
    </row>
    <row r="16" spans="1:16" x14ac:dyDescent="0.25">
      <c r="A16" s="693" t="s">
        <v>1362</v>
      </c>
      <c r="B16" s="693" t="s">
        <v>1363</v>
      </c>
      <c r="C16" s="699">
        <v>44562</v>
      </c>
      <c r="D16" s="694">
        <v>95000</v>
      </c>
      <c r="E16" s="693">
        <v>10</v>
      </c>
      <c r="F16" s="693" t="s">
        <v>1344</v>
      </c>
      <c r="G16" s="693" t="s">
        <v>386</v>
      </c>
      <c r="H16" s="696">
        <v>0.1</v>
      </c>
      <c r="I16" s="693" t="s">
        <v>386</v>
      </c>
      <c r="J16" s="694">
        <v>0</v>
      </c>
      <c r="K16" s="694">
        <f t="shared" si="0"/>
        <v>95000</v>
      </c>
      <c r="L16" s="694">
        <v>28500</v>
      </c>
      <c r="M16" s="694">
        <f t="shared" si="1"/>
        <v>66500</v>
      </c>
      <c r="N16" s="694">
        <f>K16/E16</f>
        <v>9500</v>
      </c>
      <c r="O16" s="694">
        <f t="shared" si="2"/>
        <v>57000</v>
      </c>
      <c r="P16" s="698" t="s">
        <v>386</v>
      </c>
    </row>
    <row r="17" spans="1:16" x14ac:dyDescent="0.25">
      <c r="A17" s="689" t="s">
        <v>1364</v>
      </c>
      <c r="B17" s="689" t="s">
        <v>1365</v>
      </c>
      <c r="C17" s="690">
        <v>45667</v>
      </c>
      <c r="D17" s="691">
        <v>42000</v>
      </c>
      <c r="E17" s="689">
        <v>3</v>
      </c>
      <c r="F17" s="689" t="s">
        <v>1344</v>
      </c>
      <c r="G17" s="689" t="s">
        <v>386</v>
      </c>
      <c r="H17" s="692">
        <v>0.33333299999999999</v>
      </c>
      <c r="I17" s="689" t="s">
        <v>386</v>
      </c>
      <c r="J17" s="691">
        <v>0</v>
      </c>
      <c r="K17" s="691">
        <f t="shared" si="0"/>
        <v>42000</v>
      </c>
      <c r="L17" s="691">
        <v>0</v>
      </c>
      <c r="M17" s="691">
        <f t="shared" si="1"/>
        <v>42000</v>
      </c>
      <c r="N17" s="691">
        <f>ROUND(K17/E17*(DATE(2025,12,31)-C17+1)/365,2)</f>
        <v>13654.79</v>
      </c>
      <c r="O17" s="691">
        <f t="shared" si="2"/>
        <v>28345.21</v>
      </c>
      <c r="P17" s="17" t="s">
        <v>386</v>
      </c>
    </row>
    <row r="18" spans="1:16" x14ac:dyDescent="0.25">
      <c r="A18" s="693" t="s">
        <v>1366</v>
      </c>
      <c r="B18" s="693" t="s">
        <v>1367</v>
      </c>
      <c r="C18" s="699">
        <v>45292</v>
      </c>
      <c r="D18" s="694">
        <v>68000</v>
      </c>
      <c r="E18" s="693">
        <v>5</v>
      </c>
      <c r="F18" s="693" t="s">
        <v>1368</v>
      </c>
      <c r="G18" s="693" t="s">
        <v>386</v>
      </c>
      <c r="H18" s="696">
        <v>0.2</v>
      </c>
      <c r="I18" s="693" t="s">
        <v>386</v>
      </c>
      <c r="J18" s="694">
        <v>0</v>
      </c>
      <c r="K18" s="694">
        <f t="shared" si="0"/>
        <v>68000</v>
      </c>
      <c r="L18" s="694">
        <v>16320</v>
      </c>
      <c r="M18" s="694">
        <f t="shared" si="1"/>
        <v>51680</v>
      </c>
      <c r="N18" s="694">
        <v>15640</v>
      </c>
      <c r="O18" s="694">
        <f t="shared" si="2"/>
        <v>36040</v>
      </c>
      <c r="P18" s="698" t="s">
        <v>1369</v>
      </c>
    </row>
    <row r="20" spans="1:16" x14ac:dyDescent="0.25">
      <c r="A20" s="778" t="s">
        <v>415</v>
      </c>
      <c r="B20" s="778" t="s">
        <v>1565</v>
      </c>
      <c r="C20" s="570"/>
      <c r="D20" s="779">
        <f>SUM(D9:D18)</f>
        <v>2185000</v>
      </c>
      <c r="E20" s="779"/>
      <c r="F20" s="779"/>
      <c r="G20" s="779"/>
      <c r="H20" s="779"/>
      <c r="I20" s="779"/>
      <c r="J20" s="779"/>
      <c r="K20" s="779">
        <f>SUM(K9:K18)</f>
        <v>2182000</v>
      </c>
      <c r="L20" s="779">
        <f>SUM(L9:L18)</f>
        <v>422345.75</v>
      </c>
      <c r="M20" s="779">
        <f>SUM(M9:M18)</f>
        <v>1762654.25</v>
      </c>
      <c r="N20" s="779">
        <f>SUM(N9:N18)</f>
        <v>301688.68</v>
      </c>
      <c r="O20" s="779">
        <f>SUM(O9:O18)</f>
        <v>1460965.5699999998</v>
      </c>
      <c r="P20" s="570"/>
    </row>
    <row r="21" spans="1:16" ht="15.75" thickBot="1" x14ac:dyDescent="0.3"/>
    <row r="22" spans="1:16" ht="19.5" thickBot="1" x14ac:dyDescent="0.35">
      <c r="A22" s="965" t="s">
        <v>1566</v>
      </c>
    </row>
    <row r="23" spans="1:16" ht="15.75" thickBot="1" x14ac:dyDescent="0.3"/>
    <row r="24" spans="1:16" ht="16.5" thickBot="1" x14ac:dyDescent="0.3">
      <c r="A24" s="966" t="s">
        <v>1567</v>
      </c>
    </row>
    <row r="26" spans="1:16" x14ac:dyDescent="0.25">
      <c r="A26" s="780" t="s">
        <v>541</v>
      </c>
      <c r="B26" s="780" t="s">
        <v>1342</v>
      </c>
      <c r="C26" s="780" t="s">
        <v>1346</v>
      </c>
      <c r="D26" s="780" t="s">
        <v>1349</v>
      </c>
      <c r="E26" s="780" t="s">
        <v>1352</v>
      </c>
      <c r="F26" s="780" t="s">
        <v>1355</v>
      </c>
      <c r="G26" s="780" t="s">
        <v>1357</v>
      </c>
      <c r="H26" s="780" t="s">
        <v>1359</v>
      </c>
      <c r="I26" s="780" t="s">
        <v>1362</v>
      </c>
      <c r="J26" s="780" t="s">
        <v>1364</v>
      </c>
      <c r="K26" s="780" t="s">
        <v>1366</v>
      </c>
      <c r="L26" s="780" t="s">
        <v>1568</v>
      </c>
      <c r="M26" s="780" t="s">
        <v>1569</v>
      </c>
      <c r="N26" s="780" t="s">
        <v>1570</v>
      </c>
    </row>
    <row r="27" spans="1:16" x14ac:dyDescent="0.25">
      <c r="A27" s="781"/>
      <c r="B27" s="781" t="s">
        <v>1571</v>
      </c>
      <c r="C27" s="781" t="s">
        <v>1572</v>
      </c>
      <c r="D27" s="781" t="s">
        <v>1573</v>
      </c>
      <c r="E27" s="781" t="s">
        <v>1353</v>
      </c>
      <c r="F27" s="781" t="s">
        <v>1356</v>
      </c>
      <c r="G27" s="781" t="s">
        <v>1358</v>
      </c>
      <c r="H27" s="781" t="s">
        <v>1572</v>
      </c>
      <c r="I27" s="781" t="s">
        <v>1574</v>
      </c>
      <c r="J27" s="781" t="s">
        <v>1575</v>
      </c>
      <c r="K27" s="781" t="s">
        <v>1576</v>
      </c>
      <c r="L27" s="781"/>
      <c r="M27" s="781"/>
      <c r="N27" s="781"/>
    </row>
    <row r="28" spans="1:16" x14ac:dyDescent="0.25">
      <c r="A28" s="41">
        <v>2021</v>
      </c>
      <c r="B28" s="190">
        <f>MIN($K$9/$E$9, $K$9)</f>
        <v>42500</v>
      </c>
      <c r="C28" s="190">
        <v>0</v>
      </c>
      <c r="D28" s="190">
        <v>0</v>
      </c>
      <c r="E28" s="190">
        <v>0</v>
      </c>
      <c r="F28" s="190">
        <v>0</v>
      </c>
      <c r="G28" s="190">
        <v>0</v>
      </c>
      <c r="H28" s="190">
        <v>0</v>
      </c>
      <c r="I28" s="190">
        <v>0</v>
      </c>
      <c r="J28" s="190">
        <v>0</v>
      </c>
      <c r="K28" s="190">
        <v>0</v>
      </c>
      <c r="L28" s="784">
        <f t="shared" ref="L28:L47" si="3">SUM(B28:K28)</f>
        <v>42500</v>
      </c>
      <c r="M28" s="784">
        <f>L28</f>
        <v>42500</v>
      </c>
      <c r="N28" s="784">
        <f t="shared" ref="N28:N47" si="4">$D$20-M28</f>
        <v>2142500</v>
      </c>
    </row>
    <row r="29" spans="1:16" x14ac:dyDescent="0.25">
      <c r="A29" s="1">
        <v>2022</v>
      </c>
      <c r="B29" s="172">
        <f>MAX(0,MIN($K$9/$E$9, $K$9-SUM(B$28:B28)))</f>
        <v>42500</v>
      </c>
      <c r="C29" s="172">
        <f>MAX(0,MIN($K$10/$E$10, $K$10-SUM(C$28:C28)))</f>
        <v>40000</v>
      </c>
      <c r="D29" s="172">
        <v>0</v>
      </c>
      <c r="E29" s="172">
        <v>0</v>
      </c>
      <c r="F29" s="172">
        <v>0</v>
      </c>
      <c r="G29" s="172">
        <v>0</v>
      </c>
      <c r="H29" s="172">
        <v>0</v>
      </c>
      <c r="I29" s="172">
        <f>MAX(0,MIN($K$16/$E$16, $K$16-SUM(I$28:I28)))</f>
        <v>9500</v>
      </c>
      <c r="J29" s="172">
        <v>0</v>
      </c>
      <c r="K29" s="172">
        <v>0</v>
      </c>
      <c r="L29" s="785">
        <f t="shared" si="3"/>
        <v>92000</v>
      </c>
      <c r="M29" s="785">
        <f t="shared" ref="M29:M47" si="5">M28+L29</f>
        <v>134500</v>
      </c>
      <c r="N29" s="785">
        <f t="shared" si="4"/>
        <v>2050500</v>
      </c>
    </row>
    <row r="30" spans="1:16" x14ac:dyDescent="0.25">
      <c r="A30" s="41">
        <v>2023</v>
      </c>
      <c r="B30" s="190">
        <f>MAX(0,MIN($K$9/$E$9, $K$9-SUM(B$28:B29)))</f>
        <v>42500</v>
      </c>
      <c r="C30" s="190">
        <f>MAX(0,MIN($K$10/$E$10, $K$10-SUM(C$28:C29)))</f>
        <v>40000</v>
      </c>
      <c r="D30" s="190">
        <f>MAX(0,MIN($K$11/$E$11, $K$11-SUM(D$28:D29)))</f>
        <v>6400</v>
      </c>
      <c r="E30" s="190">
        <v>0</v>
      </c>
      <c r="F30" s="190">
        <v>0</v>
      </c>
      <c r="G30" s="190">
        <v>0</v>
      </c>
      <c r="H30" s="190">
        <v>0</v>
      </c>
      <c r="I30" s="190">
        <f>MAX(0,MIN($K$16/$E$16, $K$16-SUM(I$28:I29)))</f>
        <v>9500</v>
      </c>
      <c r="J30" s="190">
        <v>0</v>
      </c>
      <c r="K30" s="190">
        <v>0</v>
      </c>
      <c r="L30" s="784">
        <f t="shared" si="3"/>
        <v>98400</v>
      </c>
      <c r="M30" s="784">
        <f t="shared" si="5"/>
        <v>232900</v>
      </c>
      <c r="N30" s="784">
        <f t="shared" si="4"/>
        <v>1952100</v>
      </c>
    </row>
    <row r="31" spans="1:16" x14ac:dyDescent="0.25">
      <c r="A31" s="1">
        <v>2024</v>
      </c>
      <c r="B31" s="172">
        <f>MAX(0,MIN($K$9/$E$9, $K$9-SUM(B$28:B30)))</f>
        <v>42500</v>
      </c>
      <c r="C31" s="172">
        <f>MAX(0,MIN($K$10/$E$10, $K$10-SUM(C$28:C30)))</f>
        <v>40000</v>
      </c>
      <c r="D31" s="172">
        <f>MAX(0,MIN($K$11/$E$11, $K$11-SUM(D$28:D30)))</f>
        <v>6400</v>
      </c>
      <c r="E31" s="172">
        <f>MAX(0,MIN($K$12/$E$12, $K$12-SUM(E$28:E30)))</f>
        <v>60000</v>
      </c>
      <c r="F31" s="172">
        <v>0</v>
      </c>
      <c r="G31" s="172">
        <v>0</v>
      </c>
      <c r="H31" s="172">
        <v>0</v>
      </c>
      <c r="I31" s="172">
        <f>MAX(0,MIN($K$16/$E$16, $K$16-SUM(I$28:I30)))</f>
        <v>9500</v>
      </c>
      <c r="J31" s="172">
        <v>0</v>
      </c>
      <c r="K31" s="172">
        <f>MAX(0,MIN($K$18/$E$18, $K$18-SUM(K$28:K30)))</f>
        <v>13600</v>
      </c>
      <c r="L31" s="785">
        <f t="shared" si="3"/>
        <v>172000</v>
      </c>
      <c r="M31" s="785">
        <f t="shared" si="5"/>
        <v>404900</v>
      </c>
      <c r="N31" s="785">
        <f t="shared" si="4"/>
        <v>1780100</v>
      </c>
    </row>
    <row r="32" spans="1:16" x14ac:dyDescent="0.25">
      <c r="A32" s="782">
        <v>2025</v>
      </c>
      <c r="B32" s="783">
        <f>MIN(N9, $K$9-SUM(B$28:B31))</f>
        <v>42500</v>
      </c>
      <c r="C32" s="783">
        <f>MIN(N10, $K$10-SUM(C$28:C31))</f>
        <v>38866.199999999997</v>
      </c>
      <c r="D32" s="783">
        <f>MIN(N11, $K$11-SUM(D$28:D31))</f>
        <v>6400</v>
      </c>
      <c r="E32" s="783">
        <f>MIN(N12, $K$12-SUM(E$28:E31))</f>
        <v>60000</v>
      </c>
      <c r="F32" s="783">
        <f>MIN(N13, $K$13-SUM(F$28:F31))</f>
        <v>12000</v>
      </c>
      <c r="G32" s="783">
        <f>MIN(N14, $K$14-SUM(G$28:G31))</f>
        <v>3542.07</v>
      </c>
      <c r="H32" s="783">
        <f>MIN(N15, $K$15-SUM(H$28:H31))</f>
        <v>99585.62</v>
      </c>
      <c r="I32" s="783">
        <f>MIN(N16, $K$16-SUM(I$28:I31))</f>
        <v>9500</v>
      </c>
      <c r="J32" s="783">
        <f>MIN(N17, $K$17-SUM(J$28:J31))</f>
        <v>13654.79</v>
      </c>
      <c r="K32" s="783">
        <f>MIN(N18, $K$18-SUM(K$28:K31))</f>
        <v>15640</v>
      </c>
      <c r="L32" s="783">
        <f t="shared" si="3"/>
        <v>301688.68</v>
      </c>
      <c r="M32" s="783">
        <f t="shared" si="5"/>
        <v>706588.67999999993</v>
      </c>
      <c r="N32" s="783">
        <f t="shared" si="4"/>
        <v>1478411.32</v>
      </c>
    </row>
    <row r="33" spans="1:14" x14ac:dyDescent="0.25">
      <c r="A33" s="1">
        <v>2026</v>
      </c>
      <c r="B33" s="172">
        <f>MAX(0,MIN($K$9/$E$9, $K$9-SUM(B$28:B32)))</f>
        <v>42500</v>
      </c>
      <c r="C33" s="172">
        <f>MAX(0,MIN($K$10/$E$10, $K$10-SUM(C$28:C32)))</f>
        <v>40000</v>
      </c>
      <c r="D33" s="172">
        <f>MAX(0,MIN($K$11/$E$11, $K$11-SUM(D$28:D32)))</f>
        <v>6400</v>
      </c>
      <c r="E33" s="172">
        <f>MAX(0,MIN($K$12/$E$12, $K$12-SUM(E$28:E32)))</f>
        <v>60000</v>
      </c>
      <c r="F33" s="172">
        <f>MAX(0,MIN($K$13/$E$13, $K$13-SUM(F$28:F32)))</f>
        <v>12000</v>
      </c>
      <c r="G33" s="172">
        <f>MAX(0,MIN($K$14/$E$14, $K$14-SUM(G$28:G32)))</f>
        <v>3571.4285714285716</v>
      </c>
      <c r="H33" s="172">
        <f>MAX(0,MIN($K$15/$E$15, $K$15-SUM(H$28:H32)))</f>
        <v>45000</v>
      </c>
      <c r="I33" s="172">
        <f>MAX(0,MIN($K$16/$E$16, $K$16-SUM(I$28:I32)))</f>
        <v>9500</v>
      </c>
      <c r="J33" s="172">
        <f>MAX(0,MIN($K$17/$E$17, $K$17-SUM(J$28:J32)))</f>
        <v>14000</v>
      </c>
      <c r="K33" s="172">
        <f>MAX(0,MIN($K$18/$E$18, $K$18-SUM(K$28:K32)))</f>
        <v>13600</v>
      </c>
      <c r="L33" s="785">
        <f t="shared" si="3"/>
        <v>246571.42857142858</v>
      </c>
      <c r="M33" s="785">
        <f t="shared" si="5"/>
        <v>953160.10857142857</v>
      </c>
      <c r="N33" s="785">
        <f t="shared" si="4"/>
        <v>1231839.8914285714</v>
      </c>
    </row>
    <row r="34" spans="1:14" x14ac:dyDescent="0.25">
      <c r="A34" s="41">
        <v>2027</v>
      </c>
      <c r="B34" s="190">
        <f>MAX(0,MIN($K$9/$E$9, $K$9-SUM(B$28:B33)))</f>
        <v>42500</v>
      </c>
      <c r="C34" s="190">
        <f>MAX(0,MIN($K$10/$E$10, $K$10-SUM(C$28:C33)))</f>
        <v>40000</v>
      </c>
      <c r="D34" s="190">
        <f>MAX(0,MIN($K$11/$E$11, $K$11-SUM(D$28:D33)))</f>
        <v>6400</v>
      </c>
      <c r="E34" s="190">
        <f>MAX(0,MIN($K$12/$E$12, $K$12-SUM(E$28:E33)))</f>
        <v>0</v>
      </c>
      <c r="F34" s="190">
        <f>MAX(0,MIN($K$13/$E$13, $K$13-SUM(F$28:F33)))</f>
        <v>12000</v>
      </c>
      <c r="G34" s="190">
        <f>MAX(0,MIN($K$14/$E$14, $K$14-SUM(G$28:G33)))</f>
        <v>3571.4285714285716</v>
      </c>
      <c r="H34" s="190">
        <f>MAX(0,MIN($K$15/$E$15, $K$15-SUM(H$28:H33)))</f>
        <v>45000</v>
      </c>
      <c r="I34" s="190">
        <f>MAX(0,MIN($K$16/$E$16, $K$16-SUM(I$28:I33)))</f>
        <v>9500</v>
      </c>
      <c r="J34" s="190">
        <f>MAX(0,MIN($K$17/$E$17, $K$17-SUM(J$28:J33)))</f>
        <v>14000</v>
      </c>
      <c r="K34" s="190">
        <f>MAX(0,MIN($K$18/$E$18, $K$18-SUM(K$28:K33)))</f>
        <v>13600</v>
      </c>
      <c r="L34" s="784">
        <f t="shared" si="3"/>
        <v>186571.42857142858</v>
      </c>
      <c r="M34" s="784">
        <f t="shared" si="5"/>
        <v>1139731.5371428572</v>
      </c>
      <c r="N34" s="784">
        <f t="shared" si="4"/>
        <v>1045268.4628571428</v>
      </c>
    </row>
    <row r="35" spans="1:14" x14ac:dyDescent="0.25">
      <c r="A35" s="1">
        <v>2028</v>
      </c>
      <c r="B35" s="172">
        <f>MAX(0,MIN($K$9/$E$9, $K$9-SUM(B$28:B34)))</f>
        <v>42500</v>
      </c>
      <c r="C35" s="172">
        <f>MAX(0,MIN($K$10/$E$10, $K$10-SUM(C$28:C34)))</f>
        <v>40000</v>
      </c>
      <c r="D35" s="172">
        <f>MAX(0,MIN($K$11/$E$11, $K$11-SUM(D$28:D34)))</f>
        <v>0</v>
      </c>
      <c r="E35" s="172">
        <v>0</v>
      </c>
      <c r="F35" s="172">
        <f>MAX(0,MIN($K$13/$E$13, $K$13-SUM(F$28:F34)))</f>
        <v>12000</v>
      </c>
      <c r="G35" s="172">
        <f>MAX(0,MIN($K$14/$E$14, $K$14-SUM(G$28:G34)))</f>
        <v>3571.4285714285716</v>
      </c>
      <c r="H35" s="172">
        <f>MAX(0,MIN($K$15/$E$15, $K$15-SUM(H$28:H34)))</f>
        <v>45000</v>
      </c>
      <c r="I35" s="172">
        <f>MAX(0,MIN($K$16/$E$16, $K$16-SUM(I$28:I34)))</f>
        <v>9500</v>
      </c>
      <c r="J35" s="172">
        <f>MAX(0,MIN($K$17/$E$17, $K$17-SUM(J$28:J34)))</f>
        <v>345.20999999999913</v>
      </c>
      <c r="K35" s="172">
        <f>MAX(0,MIN($K$18/$E$18, $K$18-SUM(K$28:K34)))</f>
        <v>11560</v>
      </c>
      <c r="L35" s="785">
        <f t="shared" si="3"/>
        <v>164476.63857142857</v>
      </c>
      <c r="M35" s="785">
        <f t="shared" si="5"/>
        <v>1304208.1757142858</v>
      </c>
      <c r="N35" s="785">
        <f t="shared" si="4"/>
        <v>880791.82428571419</v>
      </c>
    </row>
    <row r="36" spans="1:14" x14ac:dyDescent="0.25">
      <c r="A36" s="41">
        <v>2029</v>
      </c>
      <c r="B36" s="190">
        <f>MAX(0,MIN($K$9/$E$9, $K$9-SUM(B$28:B35)))</f>
        <v>42500</v>
      </c>
      <c r="C36" s="190">
        <f>MAX(0,MIN($K$10/$E$10, $K$10-SUM(C$28:C35)))</f>
        <v>40000</v>
      </c>
      <c r="D36" s="190">
        <v>0</v>
      </c>
      <c r="E36" s="190">
        <v>0</v>
      </c>
      <c r="F36" s="190">
        <f>MAX(0,MIN($K$13/$E$13, $K$13-SUM(F$28:F35)))</f>
        <v>12000</v>
      </c>
      <c r="G36" s="190">
        <f>MAX(0,MIN($K$14/$E$14, $K$14-SUM(G$28:G35)))</f>
        <v>3571.4285714285716</v>
      </c>
      <c r="H36" s="190">
        <f>MAX(0,MIN($K$15/$E$15, $K$15-SUM(H$28:H35)))</f>
        <v>45000</v>
      </c>
      <c r="I36" s="190">
        <f>MAX(0,MIN($K$16/$E$16, $K$16-SUM(I$28:I35)))</f>
        <v>9500</v>
      </c>
      <c r="J36" s="190">
        <v>0</v>
      </c>
      <c r="K36" s="190">
        <f>MAX(0,MIN($K$18/$E$18, $K$18-SUM(K$28:K35)))</f>
        <v>0</v>
      </c>
      <c r="L36" s="784">
        <f t="shared" si="3"/>
        <v>152571.42857142858</v>
      </c>
      <c r="M36" s="784">
        <f t="shared" si="5"/>
        <v>1456779.6042857144</v>
      </c>
      <c r="N36" s="784">
        <f t="shared" si="4"/>
        <v>728220.39571428555</v>
      </c>
    </row>
    <row r="37" spans="1:14" x14ac:dyDescent="0.25">
      <c r="A37" s="1">
        <v>2030</v>
      </c>
      <c r="B37" s="172">
        <f>MAX(0,MIN($K$9/$E$9, $K$9-SUM(B$28:B36)))</f>
        <v>42500</v>
      </c>
      <c r="C37" s="172">
        <f>MAX(0,MIN($K$10/$E$10, $K$10-SUM(C$28:C36)))</f>
        <v>1133.7999999999884</v>
      </c>
      <c r="D37" s="172">
        <v>0</v>
      </c>
      <c r="E37" s="172">
        <v>0</v>
      </c>
      <c r="F37" s="172">
        <f>MAX(0,MIN($K$13/$E$13, $K$13-SUM(F$28:F36)))</f>
        <v>12000</v>
      </c>
      <c r="G37" s="172">
        <f>MAX(0,MIN($K$14/$E$14, $K$14-SUM(G$28:G36)))</f>
        <v>3571.4285714285716</v>
      </c>
      <c r="H37" s="172">
        <f>MAX(0,MIN($K$15/$E$15, $K$15-SUM(H$28:H36)))</f>
        <v>45000</v>
      </c>
      <c r="I37" s="172">
        <f>MAX(0,MIN($K$16/$E$16, $K$16-SUM(I$28:I36)))</f>
        <v>9500</v>
      </c>
      <c r="J37" s="172">
        <v>0</v>
      </c>
      <c r="K37" s="172">
        <v>0</v>
      </c>
      <c r="L37" s="785">
        <f t="shared" si="3"/>
        <v>113705.22857142857</v>
      </c>
      <c r="M37" s="785">
        <f t="shared" si="5"/>
        <v>1570484.8328571431</v>
      </c>
      <c r="N37" s="785">
        <f t="shared" si="4"/>
        <v>614515.16714285687</v>
      </c>
    </row>
    <row r="38" spans="1:14" x14ac:dyDescent="0.25">
      <c r="A38" s="41">
        <v>2031</v>
      </c>
      <c r="B38" s="190">
        <f>MAX(0,MIN($K$9/$E$9, $K$9-SUM(B$28:B37)))</f>
        <v>42500</v>
      </c>
      <c r="C38" s="190">
        <v>0</v>
      </c>
      <c r="D38" s="190">
        <v>0</v>
      </c>
      <c r="E38" s="190">
        <v>0</v>
      </c>
      <c r="F38" s="190">
        <f>MAX(0,MIN($K$13/$E$13, $K$13-SUM(F$28:F37)))</f>
        <v>12000</v>
      </c>
      <c r="G38" s="190">
        <f>MAX(0,MIN($K$14/$E$14, $K$14-SUM(G$28:G37)))</f>
        <v>3571.4285714285716</v>
      </c>
      <c r="H38" s="190">
        <f>MAX(0,MIN($K$15/$E$15, $K$15-SUM(H$28:H37)))</f>
        <v>45000</v>
      </c>
      <c r="I38" s="190">
        <f>MAX(0,MIN($K$16/$E$16, $K$16-SUM(I$28:I37)))</f>
        <v>9500</v>
      </c>
      <c r="J38" s="190">
        <v>0</v>
      </c>
      <c r="K38" s="190">
        <v>0</v>
      </c>
      <c r="L38" s="784">
        <f t="shared" si="3"/>
        <v>112571.42857142858</v>
      </c>
      <c r="M38" s="784">
        <f t="shared" si="5"/>
        <v>1683056.2614285718</v>
      </c>
      <c r="N38" s="784">
        <f t="shared" si="4"/>
        <v>501943.73857142823</v>
      </c>
    </row>
    <row r="39" spans="1:14" x14ac:dyDescent="0.25">
      <c r="A39" s="1">
        <v>2032</v>
      </c>
      <c r="B39" s="172">
        <f>MAX(0,MIN($K$9/$E$9, $K$9-SUM(B$28:B38)))</f>
        <v>42500</v>
      </c>
      <c r="C39" s="172">
        <v>0</v>
      </c>
      <c r="D39" s="172">
        <v>0</v>
      </c>
      <c r="E39" s="172">
        <v>0</v>
      </c>
      <c r="F39" s="172">
        <f>MAX(0,MIN($K$13/$E$13, $K$13-SUM(F$28:F38)))</f>
        <v>12000</v>
      </c>
      <c r="G39" s="172">
        <f>MAX(0,MIN($K$14/$E$14, $K$14-SUM(G$28:G38)))</f>
        <v>29.358571428565483</v>
      </c>
      <c r="H39" s="172">
        <f>MAX(0,MIN($K$15/$E$15, $K$15-SUM(H$28:H38)))</f>
        <v>45000</v>
      </c>
      <c r="I39" s="172">
        <f>MAX(0,MIN($K$16/$E$16, $K$16-SUM(I$28:I38)))</f>
        <v>0</v>
      </c>
      <c r="J39" s="172">
        <v>0</v>
      </c>
      <c r="K39" s="172">
        <v>0</v>
      </c>
      <c r="L39" s="785">
        <f t="shared" si="3"/>
        <v>99529.358571428573</v>
      </c>
      <c r="M39" s="785">
        <f t="shared" si="5"/>
        <v>1782585.6200000003</v>
      </c>
      <c r="N39" s="785">
        <f t="shared" si="4"/>
        <v>402414.37999999966</v>
      </c>
    </row>
    <row r="40" spans="1:14" x14ac:dyDescent="0.25">
      <c r="A40" s="41">
        <v>2033</v>
      </c>
      <c r="B40" s="190">
        <f>MAX(0,MIN($K$9/$E$9, $K$9-SUM(B$28:B39)))</f>
        <v>42500</v>
      </c>
      <c r="C40" s="190">
        <v>0</v>
      </c>
      <c r="D40" s="190">
        <v>0</v>
      </c>
      <c r="E40" s="190">
        <v>0</v>
      </c>
      <c r="F40" s="190">
        <f>MAX(0,MIN($K$13/$E$13, $K$13-SUM(F$28:F39)))</f>
        <v>12000</v>
      </c>
      <c r="G40" s="190">
        <v>0</v>
      </c>
      <c r="H40" s="190">
        <f>MAX(0,MIN($K$15/$E$15, $K$15-SUM(H$28:H39)))</f>
        <v>35414.380000000005</v>
      </c>
      <c r="I40" s="190">
        <v>0</v>
      </c>
      <c r="J40" s="190">
        <v>0</v>
      </c>
      <c r="K40" s="190">
        <v>0</v>
      </c>
      <c r="L40" s="784">
        <f t="shared" si="3"/>
        <v>89914.38</v>
      </c>
      <c r="M40" s="784">
        <f t="shared" si="5"/>
        <v>1872500.0000000005</v>
      </c>
      <c r="N40" s="784">
        <f t="shared" si="4"/>
        <v>312499.99999999953</v>
      </c>
    </row>
    <row r="41" spans="1:14" x14ac:dyDescent="0.25">
      <c r="A41" s="1">
        <v>2034</v>
      </c>
      <c r="B41" s="172">
        <f>MAX(0,MIN($K$9/$E$9, $K$9-SUM(B$28:B40)))</f>
        <v>42500</v>
      </c>
      <c r="C41" s="172">
        <v>0</v>
      </c>
      <c r="D41" s="172">
        <v>0</v>
      </c>
      <c r="E41" s="172">
        <v>0</v>
      </c>
      <c r="F41" s="172">
        <f>MAX(0,MIN($K$13/$E$13, $K$13-SUM(F$28:F40)))</f>
        <v>12000</v>
      </c>
      <c r="G41" s="172">
        <v>0</v>
      </c>
      <c r="H41" s="172">
        <f>MAX(0,MIN($K$15/$E$15, $K$15-SUM(H$28:H40)))</f>
        <v>0</v>
      </c>
      <c r="I41" s="172">
        <v>0</v>
      </c>
      <c r="J41" s="172">
        <v>0</v>
      </c>
      <c r="K41" s="172">
        <v>0</v>
      </c>
      <c r="L41" s="785">
        <f t="shared" si="3"/>
        <v>54500</v>
      </c>
      <c r="M41" s="785">
        <f t="shared" si="5"/>
        <v>1927000.0000000005</v>
      </c>
      <c r="N41" s="785">
        <f t="shared" si="4"/>
        <v>257999.99999999953</v>
      </c>
    </row>
    <row r="42" spans="1:14" x14ac:dyDescent="0.25">
      <c r="A42" s="41">
        <v>2035</v>
      </c>
      <c r="B42" s="190">
        <f>MAX(0,MIN($K$9/$E$9, $K$9-SUM(B$28:B41)))</f>
        <v>42500</v>
      </c>
      <c r="C42" s="190">
        <v>0</v>
      </c>
      <c r="D42" s="190">
        <v>0</v>
      </c>
      <c r="E42" s="190">
        <v>0</v>
      </c>
      <c r="F42" s="190">
        <f>MAX(0,MIN($K$13/$E$13, $K$13-SUM(F$28:F41)))</f>
        <v>0</v>
      </c>
      <c r="G42" s="190">
        <v>0</v>
      </c>
      <c r="H42" s="190">
        <f>MAX(0,MIN($K$15/$E$15, $K$15-SUM(H$28:H41)))</f>
        <v>0</v>
      </c>
      <c r="I42" s="190">
        <v>0</v>
      </c>
      <c r="J42" s="190">
        <v>0</v>
      </c>
      <c r="K42" s="190">
        <v>0</v>
      </c>
      <c r="L42" s="784">
        <f t="shared" si="3"/>
        <v>42500</v>
      </c>
      <c r="M42" s="784">
        <f t="shared" si="5"/>
        <v>1969500.0000000005</v>
      </c>
      <c r="N42" s="784">
        <f t="shared" si="4"/>
        <v>215499.99999999953</v>
      </c>
    </row>
    <row r="43" spans="1:14" x14ac:dyDescent="0.25">
      <c r="A43" s="1">
        <v>2036</v>
      </c>
      <c r="B43" s="172">
        <f>MAX(0,MIN($K$9/$E$9, $K$9-SUM(B$28:B42)))</f>
        <v>42500</v>
      </c>
      <c r="C43" s="172">
        <v>0</v>
      </c>
      <c r="D43" s="172">
        <v>0</v>
      </c>
      <c r="E43" s="172">
        <v>0</v>
      </c>
      <c r="F43" s="172">
        <v>0</v>
      </c>
      <c r="G43" s="172">
        <v>0</v>
      </c>
      <c r="H43" s="172">
        <v>0</v>
      </c>
      <c r="I43" s="172">
        <v>0</v>
      </c>
      <c r="J43" s="172">
        <v>0</v>
      </c>
      <c r="K43" s="172">
        <v>0</v>
      </c>
      <c r="L43" s="785">
        <f t="shared" si="3"/>
        <v>42500</v>
      </c>
      <c r="M43" s="785">
        <f t="shared" si="5"/>
        <v>2012000.0000000005</v>
      </c>
      <c r="N43" s="785">
        <f t="shared" si="4"/>
        <v>172999.99999999953</v>
      </c>
    </row>
    <row r="44" spans="1:14" x14ac:dyDescent="0.25">
      <c r="A44" s="41">
        <v>2037</v>
      </c>
      <c r="B44" s="190">
        <f>MAX(0,MIN($K$9/$E$9, $K$9-SUM(B$28:B43)))</f>
        <v>42500</v>
      </c>
      <c r="C44" s="190">
        <v>0</v>
      </c>
      <c r="D44" s="190">
        <v>0</v>
      </c>
      <c r="E44" s="190">
        <v>0</v>
      </c>
      <c r="F44" s="190">
        <v>0</v>
      </c>
      <c r="G44" s="190">
        <v>0</v>
      </c>
      <c r="H44" s="190">
        <v>0</v>
      </c>
      <c r="I44" s="190">
        <v>0</v>
      </c>
      <c r="J44" s="190">
        <v>0</v>
      </c>
      <c r="K44" s="190">
        <v>0</v>
      </c>
      <c r="L44" s="784">
        <f t="shared" si="3"/>
        <v>42500</v>
      </c>
      <c r="M44" s="784">
        <f t="shared" si="5"/>
        <v>2054500.0000000005</v>
      </c>
      <c r="N44" s="784">
        <f t="shared" si="4"/>
        <v>130499.99999999953</v>
      </c>
    </row>
    <row r="45" spans="1:14" x14ac:dyDescent="0.25">
      <c r="A45" s="1">
        <v>2038</v>
      </c>
      <c r="B45" s="172">
        <f>MAX(0,MIN($K$9/$E$9, $K$9-SUM(B$28:B44)))</f>
        <v>42500</v>
      </c>
      <c r="C45" s="172">
        <v>0</v>
      </c>
      <c r="D45" s="172">
        <v>0</v>
      </c>
      <c r="E45" s="172">
        <v>0</v>
      </c>
      <c r="F45" s="172">
        <v>0</v>
      </c>
      <c r="G45" s="172">
        <v>0</v>
      </c>
      <c r="H45" s="172">
        <v>0</v>
      </c>
      <c r="I45" s="172">
        <v>0</v>
      </c>
      <c r="J45" s="172">
        <v>0</v>
      </c>
      <c r="K45" s="172">
        <v>0</v>
      </c>
      <c r="L45" s="785">
        <f t="shared" si="3"/>
        <v>42500</v>
      </c>
      <c r="M45" s="785">
        <f t="shared" si="5"/>
        <v>2097000.0000000005</v>
      </c>
      <c r="N45" s="785">
        <f t="shared" si="4"/>
        <v>87999.999999999534</v>
      </c>
    </row>
    <row r="46" spans="1:14" x14ac:dyDescent="0.25">
      <c r="A46" s="41">
        <v>2039</v>
      </c>
      <c r="B46" s="190">
        <f>MAX(0,MIN($K$9/$E$9, $K$9-SUM(B$28:B45)))</f>
        <v>42500</v>
      </c>
      <c r="C46" s="190">
        <v>0</v>
      </c>
      <c r="D46" s="190">
        <v>0</v>
      </c>
      <c r="E46" s="190">
        <v>0</v>
      </c>
      <c r="F46" s="190">
        <v>0</v>
      </c>
      <c r="G46" s="190">
        <v>0</v>
      </c>
      <c r="H46" s="190">
        <v>0</v>
      </c>
      <c r="I46" s="190">
        <v>0</v>
      </c>
      <c r="J46" s="190">
        <v>0</v>
      </c>
      <c r="K46" s="190">
        <v>0</v>
      </c>
      <c r="L46" s="784">
        <f t="shared" si="3"/>
        <v>42500</v>
      </c>
      <c r="M46" s="784">
        <f t="shared" si="5"/>
        <v>2139500.0000000005</v>
      </c>
      <c r="N46" s="784">
        <f t="shared" si="4"/>
        <v>45499.999999999534</v>
      </c>
    </row>
    <row r="47" spans="1:14" x14ac:dyDescent="0.25">
      <c r="A47" s="1">
        <v>2040</v>
      </c>
      <c r="B47" s="172">
        <f>MAX(0,MIN($K$9/$E$9, $K$9-SUM(B$28:B46)))</f>
        <v>42500</v>
      </c>
      <c r="C47" s="172">
        <v>0</v>
      </c>
      <c r="D47" s="172">
        <v>0</v>
      </c>
      <c r="E47" s="172">
        <v>0</v>
      </c>
      <c r="F47" s="172">
        <v>0</v>
      </c>
      <c r="G47" s="172">
        <v>0</v>
      </c>
      <c r="H47" s="172">
        <v>0</v>
      </c>
      <c r="I47" s="172">
        <v>0</v>
      </c>
      <c r="J47" s="172">
        <v>0</v>
      </c>
      <c r="K47" s="172">
        <v>0</v>
      </c>
      <c r="L47" s="785">
        <f t="shared" si="3"/>
        <v>42500</v>
      </c>
      <c r="M47" s="785">
        <f t="shared" si="5"/>
        <v>2182000.0000000005</v>
      </c>
      <c r="N47" s="785">
        <f t="shared" si="4"/>
        <v>2999.9999999995343</v>
      </c>
    </row>
    <row r="48" spans="1:14" ht="15.75" thickBot="1" x14ac:dyDescent="0.3"/>
    <row r="49" spans="1:3" ht="16.5" thickBot="1" x14ac:dyDescent="0.3">
      <c r="A49" s="966" t="s">
        <v>1577</v>
      </c>
    </row>
    <row r="50" spans="1:3" ht="15.75" thickBot="1" x14ac:dyDescent="0.3"/>
    <row r="51" spans="1:3" ht="15.75" thickBot="1" x14ac:dyDescent="0.3">
      <c r="A51" s="786" t="s">
        <v>92</v>
      </c>
      <c r="B51" s="787" t="s">
        <v>112</v>
      </c>
      <c r="C51" s="788" t="s">
        <v>1578</v>
      </c>
    </row>
    <row r="52" spans="1:3" ht="21" customHeight="1" x14ac:dyDescent="0.25">
      <c r="A52" s="970" t="s">
        <v>1579</v>
      </c>
      <c r="B52" s="792">
        <f>D20</f>
        <v>2185000</v>
      </c>
      <c r="C52" s="789" t="s">
        <v>1580</v>
      </c>
    </row>
    <row r="53" spans="1:3" ht="24" customHeight="1" thickBot="1" x14ac:dyDescent="0.3">
      <c r="A53" s="971" t="s">
        <v>1581</v>
      </c>
      <c r="B53" s="793">
        <f>K20</f>
        <v>2182000</v>
      </c>
      <c r="C53" s="790" t="s">
        <v>1582</v>
      </c>
    </row>
    <row r="54" spans="1:3" ht="16.5" thickBot="1" x14ac:dyDescent="0.3">
      <c r="A54" s="972" t="s">
        <v>1583</v>
      </c>
      <c r="B54" s="798">
        <f>N20</f>
        <v>301688.68</v>
      </c>
      <c r="C54" s="799" t="s">
        <v>1584</v>
      </c>
    </row>
    <row r="55" spans="1:3" ht="15.75" x14ac:dyDescent="0.25">
      <c r="A55" s="971" t="s">
        <v>1585</v>
      </c>
      <c r="B55" s="793">
        <f>L20+N20</f>
        <v>724034.42999999993</v>
      </c>
      <c r="C55" s="790" t="s">
        <v>1586</v>
      </c>
    </row>
    <row r="56" spans="1:3" ht="15.75" x14ac:dyDescent="0.25">
      <c r="A56" s="971" t="s">
        <v>1587</v>
      </c>
      <c r="B56" s="793">
        <f>O20</f>
        <v>1460965.5699999998</v>
      </c>
      <c r="C56" s="790" t="s">
        <v>1588</v>
      </c>
    </row>
    <row r="57" spans="1:3" ht="15.75" x14ac:dyDescent="0.25">
      <c r="A57" s="971" t="s">
        <v>1589</v>
      </c>
      <c r="B57" s="794">
        <f>IF(D20=0,0,(L20+N20)/D20)</f>
        <v>0.33136587185354688</v>
      </c>
      <c r="C57" s="790" t="s">
        <v>1590</v>
      </c>
    </row>
    <row r="58" spans="1:3" ht="15.75" x14ac:dyDescent="0.25">
      <c r="A58" s="971" t="s">
        <v>1591</v>
      </c>
      <c r="B58" s="795">
        <f>SUMPRODUCT(D9:D18,E9:E18)/SUM(D9:D18)</f>
        <v>12.616018306636155</v>
      </c>
      <c r="C58" s="790" t="s">
        <v>1592</v>
      </c>
    </row>
    <row r="59" spans="1:3" ht="15.75" x14ac:dyDescent="0.25">
      <c r="A59" s="971" t="s">
        <v>1593</v>
      </c>
      <c r="B59" s="796">
        <f>COUNTIF(P9:P18,"—")+COUNTIF(P9:P18,"Voir*")+COUNTIF(P9:P18,"VR*")+COUNTIF(P9:P18,"Éligible*")+COUNTIF(P9:P18,"50*")</f>
        <v>8</v>
      </c>
      <c r="C59" s="790" t="s">
        <v>1594</v>
      </c>
    </row>
    <row r="60" spans="1:3" ht="16.5" thickBot="1" x14ac:dyDescent="0.3">
      <c r="A60" s="973" t="s">
        <v>1595</v>
      </c>
      <c r="B60" s="797">
        <f>COUNTIF(P9:P18,"Incorporelle*")</f>
        <v>2</v>
      </c>
      <c r="C60" s="791" t="s">
        <v>1596</v>
      </c>
    </row>
    <row r="61" spans="1:3" ht="15.75" thickBot="1" x14ac:dyDescent="0.3"/>
    <row r="62" spans="1:3" ht="15.75" thickBot="1" x14ac:dyDescent="0.3">
      <c r="A62" s="800" t="s">
        <v>1597</v>
      </c>
      <c r="B62" s="801"/>
    </row>
    <row r="63" spans="1:3" ht="15.75" x14ac:dyDescent="0.25">
      <c r="A63" s="967" t="s">
        <v>1598</v>
      </c>
      <c r="B63" s="802" t="str">
        <f>IF(ABS(M20-N20-O20)&lt;1,"✅ COHÉRENT","🚨 ÉCART")</f>
        <v>✅ COHÉRENT</v>
      </c>
    </row>
    <row r="64" spans="1:3" ht="16.5" thickBot="1" x14ac:dyDescent="0.3">
      <c r="A64" s="968" t="s">
        <v>1599</v>
      </c>
      <c r="B64" s="803">
        <f>M20-N20-O20</f>
        <v>0</v>
      </c>
    </row>
  </sheetData>
  <mergeCells count="2">
    <mergeCell ref="A1:P1"/>
    <mergeCell ref="A5:P5"/>
  </mergeCells>
  <dataValidations count="1">
    <dataValidation type="list" allowBlank="1" showInputMessage="1" showErrorMessage="1" sqref="K3" xr:uid="{5DF3F5A8-1EDD-4F98-B8B5-A28EAF285056}">
      <formula1>"Temporis (jours),Temporis (mois),Année pleine"</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48A67-BCF6-47E7-A38D-DEDAD571EE23}">
  <sheetPr>
    <tabColor rgb="FFC55A11"/>
    <pageSetUpPr fitToPage="1"/>
  </sheetPr>
  <dimension ref="A1:AE174"/>
  <sheetViews>
    <sheetView showGridLines="0" tabSelected="1" zoomScaleNormal="100" workbookViewId="0">
      <pane xSplit="1" ySplit="9" topLeftCell="B99" activePane="bottomRight" state="frozen"/>
      <selection pane="topRight" activeCell="B1" sqref="B1"/>
      <selection pane="bottomLeft" activeCell="A10" sqref="A10"/>
      <selection pane="bottomRight" activeCell="H3" sqref="H3"/>
    </sheetView>
  </sheetViews>
  <sheetFormatPr baseColWidth="10" defaultColWidth="8.7109375" defaultRowHeight="15" x14ac:dyDescent="0.25"/>
  <cols>
    <col min="1" max="1" width="34" style="572" customWidth="1"/>
    <col min="2" max="2" width="45.28515625" style="572" customWidth="1"/>
    <col min="3" max="3" width="19.85546875" style="572" customWidth="1"/>
    <col min="4" max="4" width="22" style="572" customWidth="1"/>
    <col min="5" max="5" width="14" style="572" customWidth="1"/>
    <col min="6" max="6" width="22.85546875" style="572" customWidth="1"/>
    <col min="7" max="7" width="14" style="572" customWidth="1"/>
    <col min="8" max="8" width="21.140625" style="572" customWidth="1"/>
    <col min="9" max="31" width="14" style="572" customWidth="1"/>
    <col min="32" max="16384" width="8.7109375" style="572"/>
  </cols>
  <sheetData>
    <row r="1" spans="1:31" ht="42" customHeight="1" x14ac:dyDescent="0.25">
      <c r="A1" s="1200" t="s">
        <v>1370</v>
      </c>
      <c r="B1" s="1200"/>
      <c r="C1" s="1200"/>
      <c r="D1" s="1200"/>
      <c r="E1" s="1200"/>
      <c r="F1" s="1200"/>
      <c r="G1" s="1200"/>
      <c r="H1" s="1200"/>
      <c r="I1" s="1200"/>
      <c r="J1" s="1200"/>
      <c r="K1" s="1200"/>
      <c r="L1" s="1200"/>
      <c r="M1" s="1200"/>
      <c r="N1" s="1200"/>
      <c r="O1" s="1200"/>
      <c r="P1" s="1200"/>
      <c r="Q1" s="1200"/>
      <c r="R1" s="1200"/>
      <c r="S1" s="1200"/>
      <c r="T1" s="1200"/>
      <c r="U1" s="1200"/>
      <c r="V1" s="1200"/>
      <c r="W1" s="1200"/>
      <c r="X1" s="1200"/>
      <c r="Y1" s="1200"/>
      <c r="Z1" s="1200"/>
      <c r="AA1" s="1200"/>
      <c r="AB1" s="1200"/>
      <c r="AC1" s="1200"/>
      <c r="AD1" s="1200"/>
      <c r="AE1" s="1200"/>
    </row>
    <row r="2" spans="1:31" ht="6" customHeight="1" x14ac:dyDescent="0.25"/>
    <row r="3" spans="1:31" ht="15" customHeight="1" x14ac:dyDescent="0.25">
      <c r="A3" s="573" t="s">
        <v>1063</v>
      </c>
      <c r="B3" s="702" t="s">
        <v>1317</v>
      </c>
      <c r="D3" s="573" t="s">
        <v>1371</v>
      </c>
      <c r="E3" s="575">
        <v>5</v>
      </c>
      <c r="G3" s="573" t="s">
        <v>1061</v>
      </c>
      <c r="H3" s="575" t="s">
        <v>1062</v>
      </c>
    </row>
    <row r="4" spans="1:31" ht="6" customHeight="1" x14ac:dyDescent="0.25"/>
    <row r="5" spans="1:31" ht="15" customHeight="1" x14ac:dyDescent="0.25">
      <c r="A5" s="587" t="s">
        <v>1372</v>
      </c>
      <c r="B5" s="1194" t="s">
        <v>1373</v>
      </c>
      <c r="C5" s="1194"/>
      <c r="D5" s="1195" t="s">
        <v>1374</v>
      </c>
      <c r="E5" s="1195"/>
      <c r="F5" s="1196" t="s">
        <v>1375</v>
      </c>
      <c r="G5" s="1196"/>
      <c r="H5" s="1197" t="s">
        <v>1376</v>
      </c>
      <c r="I5" s="1197"/>
      <c r="J5" s="1198" t="s">
        <v>1377</v>
      </c>
      <c r="K5" s="1198"/>
    </row>
    <row r="6" spans="1:31" ht="6" customHeight="1" x14ac:dyDescent="0.25"/>
    <row r="7" spans="1:31" ht="27.75" customHeight="1" x14ac:dyDescent="0.3">
      <c r="A7" s="1183" t="s">
        <v>1378</v>
      </c>
      <c r="B7" s="1183"/>
      <c r="C7" s="1183"/>
      <c r="D7" s="1183"/>
      <c r="E7" s="1183"/>
      <c r="F7" s="1183"/>
      <c r="G7" s="1183"/>
      <c r="H7" s="1183"/>
      <c r="I7" s="1183"/>
      <c r="J7" s="1183"/>
      <c r="K7" s="1183"/>
      <c r="L7" s="1183"/>
      <c r="M7" s="1183"/>
      <c r="N7" s="1183"/>
      <c r="O7" s="1183"/>
      <c r="P7" s="1183"/>
      <c r="Q7" s="1183"/>
      <c r="R7" s="1183"/>
      <c r="S7" s="1183"/>
      <c r="T7" s="1183"/>
      <c r="U7" s="1183"/>
      <c r="V7" s="1183"/>
      <c r="W7" s="1183"/>
      <c r="X7" s="1183"/>
      <c r="Y7" s="1183"/>
      <c r="Z7" s="1183"/>
      <c r="AA7" s="1183"/>
      <c r="AB7" s="1183"/>
      <c r="AC7" s="1183"/>
      <c r="AD7" s="1183"/>
      <c r="AE7" s="1183"/>
    </row>
    <row r="8" spans="1:31" ht="24.75" customHeight="1" x14ac:dyDescent="0.25">
      <c r="A8" s="703"/>
      <c r="B8" s="1194" t="s">
        <v>1379</v>
      </c>
      <c r="C8" s="1194"/>
      <c r="D8" s="1194"/>
      <c r="E8" s="1194"/>
      <c r="F8" s="1194"/>
      <c r="G8" s="1195" t="s">
        <v>1380</v>
      </c>
      <c r="H8" s="1195"/>
      <c r="I8" s="1195"/>
      <c r="J8" s="1195"/>
      <c r="K8" s="1195"/>
      <c r="L8" s="1196" t="s">
        <v>1381</v>
      </c>
      <c r="M8" s="1196"/>
      <c r="N8" s="1196"/>
      <c r="O8" s="1196"/>
      <c r="P8" s="1196"/>
      <c r="Q8" s="1197" t="s">
        <v>1382</v>
      </c>
      <c r="R8" s="1197"/>
      <c r="S8" s="1197"/>
      <c r="T8" s="1197"/>
      <c r="U8" s="1197"/>
      <c r="V8" s="1198" t="s">
        <v>1383</v>
      </c>
      <c r="W8" s="1198"/>
      <c r="X8" s="1198"/>
      <c r="Y8" s="1198"/>
      <c r="Z8" s="1198"/>
      <c r="AA8" s="1199" t="s">
        <v>1384</v>
      </c>
      <c r="AB8" s="1199"/>
      <c r="AC8" s="1199"/>
      <c r="AD8" s="1199"/>
      <c r="AE8" s="1199"/>
    </row>
    <row r="9" spans="1:31" ht="21.75" customHeight="1" x14ac:dyDescent="0.25">
      <c r="A9" s="704" t="s">
        <v>1385</v>
      </c>
      <c r="B9" s="705" t="s">
        <v>551</v>
      </c>
      <c r="C9" s="705" t="s">
        <v>1386</v>
      </c>
      <c r="D9" s="705" t="s">
        <v>1387</v>
      </c>
      <c r="E9" s="705" t="s">
        <v>1388</v>
      </c>
      <c r="F9" s="705" t="s">
        <v>383</v>
      </c>
      <c r="G9" s="706" t="s">
        <v>551</v>
      </c>
      <c r="H9" s="706" t="s">
        <v>1386</v>
      </c>
      <c r="I9" s="706" t="s">
        <v>1387</v>
      </c>
      <c r="J9" s="706" t="s">
        <v>1388</v>
      </c>
      <c r="K9" s="706" t="s">
        <v>383</v>
      </c>
      <c r="L9" s="707" t="s">
        <v>551</v>
      </c>
      <c r="M9" s="707" t="s">
        <v>1386</v>
      </c>
      <c r="N9" s="707" t="s">
        <v>1387</v>
      </c>
      <c r="O9" s="707" t="s">
        <v>1388</v>
      </c>
      <c r="P9" s="707" t="s">
        <v>383</v>
      </c>
      <c r="Q9" s="708" t="s">
        <v>551</v>
      </c>
      <c r="R9" s="708" t="s">
        <v>1386</v>
      </c>
      <c r="S9" s="708" t="s">
        <v>1387</v>
      </c>
      <c r="T9" s="708" t="s">
        <v>1388</v>
      </c>
      <c r="U9" s="708" t="s">
        <v>383</v>
      </c>
      <c r="V9" s="709" t="s">
        <v>551</v>
      </c>
      <c r="W9" s="709" t="s">
        <v>1386</v>
      </c>
      <c r="X9" s="709" t="s">
        <v>1387</v>
      </c>
      <c r="Y9" s="709" t="s">
        <v>1388</v>
      </c>
      <c r="Z9" s="709" t="s">
        <v>383</v>
      </c>
      <c r="AA9" s="705" t="s">
        <v>551</v>
      </c>
      <c r="AB9" s="705" t="s">
        <v>1386</v>
      </c>
      <c r="AC9" s="705" t="s">
        <v>1387</v>
      </c>
      <c r="AD9" s="705" t="s">
        <v>1388</v>
      </c>
      <c r="AE9" s="705" t="s">
        <v>383</v>
      </c>
    </row>
    <row r="10" spans="1:31" ht="15" customHeight="1" x14ac:dyDescent="0.25">
      <c r="A10" s="610" t="s">
        <v>262</v>
      </c>
      <c r="B10" s="577">
        <v>4500000</v>
      </c>
      <c r="C10" s="577">
        <v>4320000</v>
      </c>
      <c r="D10" s="577">
        <f t="shared" ref="D10:D22" si="0">C10-B10</f>
        <v>-180000</v>
      </c>
      <c r="E10" s="710">
        <f t="shared" ref="E10:E22" si="1">IF(B10=0,0,D10/B10)</f>
        <v>-0.04</v>
      </c>
      <c r="F10" s="711" t="str">
        <f>IF(D10=0,"—",IF(D10&gt;0,"Fav.","Defav."))</f>
        <v>Defav.</v>
      </c>
      <c r="G10" s="577">
        <v>2800000</v>
      </c>
      <c r="H10" s="577">
        <v>2850000</v>
      </c>
      <c r="I10" s="577">
        <f t="shared" ref="I10:I22" si="2">H10-G10</f>
        <v>50000</v>
      </c>
      <c r="J10" s="710">
        <f t="shared" ref="J10:J22" si="3">IF(G10=0,0,I10/G10)</f>
        <v>1.7857142857142856E-2</v>
      </c>
      <c r="K10" s="712" t="str">
        <f>IF(I10=0,"—",IF(I10&gt;0,"Fav.","Defav."))</f>
        <v>Fav.</v>
      </c>
      <c r="L10" s="577">
        <v>1900000</v>
      </c>
      <c r="M10" s="577">
        <v>1780000</v>
      </c>
      <c r="N10" s="577">
        <f t="shared" ref="N10:N22" si="4">M10-L10</f>
        <v>-120000</v>
      </c>
      <c r="O10" s="710">
        <f t="shared" ref="O10:O22" si="5">IF(L10=0,0,N10/L10)</f>
        <v>-6.3157894736842107E-2</v>
      </c>
      <c r="P10" s="711" t="str">
        <f>IF(N10=0,"—",IF(N10&gt;0,"Fav.","Defav."))</f>
        <v>Defav.</v>
      </c>
      <c r="Q10" s="577">
        <v>3100000</v>
      </c>
      <c r="R10" s="577">
        <v>3200000</v>
      </c>
      <c r="S10" s="577">
        <f t="shared" ref="S10:S22" si="6">R10-Q10</f>
        <v>100000</v>
      </c>
      <c r="T10" s="710">
        <f t="shared" ref="T10:T22" si="7">IF(Q10=0,0,S10/Q10)</f>
        <v>3.2258064516129031E-2</v>
      </c>
      <c r="U10" s="712" t="str">
        <f>IF(S10=0,"—",IF(S10&gt;0,"Fav.","Defav."))</f>
        <v>Fav.</v>
      </c>
      <c r="V10" s="577">
        <v>1000000</v>
      </c>
      <c r="W10" s="577">
        <v>950000</v>
      </c>
      <c r="X10" s="577">
        <f t="shared" ref="X10:X22" si="8">W10-V10</f>
        <v>-50000</v>
      </c>
      <c r="Y10" s="710">
        <f t="shared" ref="Y10:Y22" si="9">IF(V10=0,0,X10/V10)</f>
        <v>-0.05</v>
      </c>
      <c r="Z10" s="711" t="str">
        <f>IF(X10=0,"—",IF(X10&gt;0,"Fav.","Defav."))</f>
        <v>Defav.</v>
      </c>
      <c r="AA10" s="577">
        <v>13300000</v>
      </c>
      <c r="AB10" s="577">
        <v>13100000</v>
      </c>
      <c r="AC10" s="577">
        <v>-200000</v>
      </c>
      <c r="AD10" s="710">
        <v>-1.50375939849624E-2</v>
      </c>
      <c r="AE10" s="711" t="s">
        <v>1389</v>
      </c>
    </row>
    <row r="11" spans="1:31" ht="15" customHeight="1" x14ac:dyDescent="0.25">
      <c r="A11" s="713" t="s">
        <v>1391</v>
      </c>
      <c r="B11" s="579">
        <v>9000</v>
      </c>
      <c r="C11" s="579">
        <v>8640</v>
      </c>
      <c r="D11" s="579">
        <f t="shared" si="0"/>
        <v>-360</v>
      </c>
      <c r="E11" s="714">
        <f t="shared" si="1"/>
        <v>-0.04</v>
      </c>
      <c r="F11" s="575" t="s">
        <v>386</v>
      </c>
      <c r="G11" s="579">
        <v>5600</v>
      </c>
      <c r="H11" s="579">
        <v>5700</v>
      </c>
      <c r="I11" s="579">
        <f t="shared" si="2"/>
        <v>100</v>
      </c>
      <c r="J11" s="714">
        <f t="shared" si="3"/>
        <v>1.7857142857142856E-2</v>
      </c>
      <c r="K11" s="575" t="s">
        <v>386</v>
      </c>
      <c r="L11" s="579">
        <v>3800</v>
      </c>
      <c r="M11" s="579">
        <v>3560</v>
      </c>
      <c r="N11" s="579">
        <f t="shared" si="4"/>
        <v>-240</v>
      </c>
      <c r="O11" s="714">
        <f t="shared" si="5"/>
        <v>-6.3157894736842107E-2</v>
      </c>
      <c r="P11" s="575" t="s">
        <v>386</v>
      </c>
      <c r="Q11" s="579">
        <v>15500</v>
      </c>
      <c r="R11" s="579">
        <v>16000</v>
      </c>
      <c r="S11" s="579">
        <f t="shared" si="6"/>
        <v>500</v>
      </c>
      <c r="T11" s="714">
        <f t="shared" si="7"/>
        <v>3.2258064516129031E-2</v>
      </c>
      <c r="U11" s="575" t="s">
        <v>386</v>
      </c>
      <c r="V11" s="579">
        <v>2000</v>
      </c>
      <c r="W11" s="579">
        <v>1900</v>
      </c>
      <c r="X11" s="579">
        <f t="shared" si="8"/>
        <v>-100</v>
      </c>
      <c r="Y11" s="714">
        <f t="shared" si="9"/>
        <v>-0.05</v>
      </c>
      <c r="Z11" s="575" t="s">
        <v>386</v>
      </c>
      <c r="AA11" s="579">
        <v>35900</v>
      </c>
      <c r="AB11" s="579">
        <v>35800</v>
      </c>
      <c r="AC11" s="579">
        <v>-100</v>
      </c>
      <c r="AD11" s="714">
        <v>-2.7855153203342601E-3</v>
      </c>
      <c r="AE11" s="575" t="s">
        <v>386</v>
      </c>
    </row>
    <row r="12" spans="1:31" ht="15" customHeight="1" x14ac:dyDescent="0.25">
      <c r="A12" s="713" t="s">
        <v>1392</v>
      </c>
      <c r="B12" s="577">
        <v>500</v>
      </c>
      <c r="C12" s="577">
        <v>500</v>
      </c>
      <c r="D12" s="577">
        <f t="shared" si="0"/>
        <v>0</v>
      </c>
      <c r="E12" s="710">
        <f t="shared" si="1"/>
        <v>0</v>
      </c>
      <c r="F12" s="576" t="s">
        <v>386</v>
      </c>
      <c r="G12" s="577">
        <v>500</v>
      </c>
      <c r="H12" s="577">
        <v>500</v>
      </c>
      <c r="I12" s="577">
        <f t="shared" si="2"/>
        <v>0</v>
      </c>
      <c r="J12" s="710">
        <f t="shared" si="3"/>
        <v>0</v>
      </c>
      <c r="K12" s="576" t="s">
        <v>386</v>
      </c>
      <c r="L12" s="577">
        <v>500</v>
      </c>
      <c r="M12" s="577">
        <v>500</v>
      </c>
      <c r="N12" s="577">
        <f t="shared" si="4"/>
        <v>0</v>
      </c>
      <c r="O12" s="710">
        <f t="shared" si="5"/>
        <v>0</v>
      </c>
      <c r="P12" s="576" t="s">
        <v>386</v>
      </c>
      <c r="Q12" s="577">
        <v>200</v>
      </c>
      <c r="R12" s="577">
        <v>200</v>
      </c>
      <c r="S12" s="577">
        <f t="shared" si="6"/>
        <v>0</v>
      </c>
      <c r="T12" s="710">
        <f t="shared" si="7"/>
        <v>0</v>
      </c>
      <c r="U12" s="576" t="s">
        <v>386</v>
      </c>
      <c r="V12" s="577">
        <v>500</v>
      </c>
      <c r="W12" s="577">
        <v>500</v>
      </c>
      <c r="X12" s="577">
        <f t="shared" si="8"/>
        <v>0</v>
      </c>
      <c r="Y12" s="710">
        <f t="shared" si="9"/>
        <v>0</v>
      </c>
      <c r="Z12" s="576" t="s">
        <v>386</v>
      </c>
      <c r="AA12" s="577">
        <v>2200</v>
      </c>
      <c r="AB12" s="577">
        <v>2200</v>
      </c>
      <c r="AC12" s="577">
        <v>0</v>
      </c>
      <c r="AD12" s="710">
        <v>0</v>
      </c>
      <c r="AE12" s="576" t="s">
        <v>386</v>
      </c>
    </row>
    <row r="13" spans="1:31" ht="15" customHeight="1" x14ac:dyDescent="0.25">
      <c r="A13" s="610" t="s">
        <v>1393</v>
      </c>
      <c r="B13" s="579">
        <v>-1350000</v>
      </c>
      <c r="C13" s="579">
        <v>-1425600</v>
      </c>
      <c r="D13" s="579">
        <f t="shared" si="0"/>
        <v>-75600</v>
      </c>
      <c r="E13" s="714">
        <f t="shared" si="1"/>
        <v>5.6000000000000001E-2</v>
      </c>
      <c r="F13" s="711" t="str">
        <f t="shared" ref="F13:F22" si="10">IF(D13=0,"—",IF(D13&gt;0,"Fav.","Defav."))</f>
        <v>Defav.</v>
      </c>
      <c r="G13" s="579">
        <v>-840000</v>
      </c>
      <c r="H13" s="579">
        <v>-826500</v>
      </c>
      <c r="I13" s="579">
        <f t="shared" si="2"/>
        <v>13500</v>
      </c>
      <c r="J13" s="714">
        <f t="shared" si="3"/>
        <v>-1.607142857142857E-2</v>
      </c>
      <c r="K13" s="712" t="str">
        <f t="shared" ref="K13:K22" si="11">IF(I13=0,"—",IF(I13&gt;0,"Fav.","Defav."))</f>
        <v>Fav.</v>
      </c>
      <c r="L13" s="579">
        <v>-570000</v>
      </c>
      <c r="M13" s="579">
        <v>-587400</v>
      </c>
      <c r="N13" s="579">
        <f t="shared" si="4"/>
        <v>-17400</v>
      </c>
      <c r="O13" s="714">
        <f t="shared" si="5"/>
        <v>3.0526315789473683E-2</v>
      </c>
      <c r="P13" s="711" t="str">
        <f t="shared" ref="P13:P22" si="12">IF(N13=0,"—",IF(N13&gt;0,"Fav.","Defav."))</f>
        <v>Defav.</v>
      </c>
      <c r="Q13" s="579">
        <v>-620000</v>
      </c>
      <c r="R13" s="579">
        <v>-608000</v>
      </c>
      <c r="S13" s="579">
        <f t="shared" si="6"/>
        <v>12000</v>
      </c>
      <c r="T13" s="714">
        <f t="shared" si="7"/>
        <v>-1.935483870967742E-2</v>
      </c>
      <c r="U13" s="712" t="str">
        <f t="shared" ref="U13:U22" si="13">IF(S13=0,"—",IF(S13&gt;0,"Fav.","Defav."))</f>
        <v>Fav.</v>
      </c>
      <c r="V13" s="579">
        <v>-200000</v>
      </c>
      <c r="W13" s="579">
        <v>-209000</v>
      </c>
      <c r="X13" s="579">
        <f t="shared" si="8"/>
        <v>-9000</v>
      </c>
      <c r="Y13" s="714">
        <f t="shared" si="9"/>
        <v>4.4999999999999998E-2</v>
      </c>
      <c r="Z13" s="711" t="str">
        <f t="shared" ref="Z13:Z22" si="14">IF(X13=0,"—",IF(X13&gt;0,"Fav.","Defav."))</f>
        <v>Defav.</v>
      </c>
      <c r="AA13" s="579">
        <v>-3580000</v>
      </c>
      <c r="AB13" s="579">
        <v>-3656500</v>
      </c>
      <c r="AC13" s="579">
        <v>-76500</v>
      </c>
      <c r="AD13" s="714">
        <v>-2.1368715083798898E-2</v>
      </c>
      <c r="AE13" s="711" t="s">
        <v>1389</v>
      </c>
    </row>
    <row r="14" spans="1:31" ht="15" customHeight="1" x14ac:dyDescent="0.25">
      <c r="A14" s="610" t="s">
        <v>1394</v>
      </c>
      <c r="B14" s="577">
        <v>-900000</v>
      </c>
      <c r="C14" s="577">
        <v>-907200</v>
      </c>
      <c r="D14" s="577">
        <f t="shared" si="0"/>
        <v>-7200</v>
      </c>
      <c r="E14" s="710">
        <f t="shared" si="1"/>
        <v>8.0000000000000002E-3</v>
      </c>
      <c r="F14" s="711" t="str">
        <f t="shared" si="10"/>
        <v>Defav.</v>
      </c>
      <c r="G14" s="577">
        <v>-560000</v>
      </c>
      <c r="H14" s="577">
        <v>-541500</v>
      </c>
      <c r="I14" s="577">
        <f t="shared" si="2"/>
        <v>18500</v>
      </c>
      <c r="J14" s="710">
        <f t="shared" si="3"/>
        <v>-3.3035714285714286E-2</v>
      </c>
      <c r="K14" s="712" t="str">
        <f t="shared" si="11"/>
        <v>Fav.</v>
      </c>
      <c r="L14" s="577">
        <v>-380000</v>
      </c>
      <c r="M14" s="577">
        <v>-373520</v>
      </c>
      <c r="N14" s="577">
        <f t="shared" si="4"/>
        <v>6480</v>
      </c>
      <c r="O14" s="710">
        <f t="shared" si="5"/>
        <v>-1.7052631578947368E-2</v>
      </c>
      <c r="P14" s="712" t="str">
        <f t="shared" si="12"/>
        <v>Fav.</v>
      </c>
      <c r="Q14" s="577">
        <v>-310000</v>
      </c>
      <c r="R14" s="577">
        <v>-320000</v>
      </c>
      <c r="S14" s="577">
        <f t="shared" si="6"/>
        <v>-10000</v>
      </c>
      <c r="T14" s="710">
        <f t="shared" si="7"/>
        <v>3.2258064516129031E-2</v>
      </c>
      <c r="U14" s="711" t="str">
        <f t="shared" si="13"/>
        <v>Defav.</v>
      </c>
      <c r="V14" s="577">
        <v>-250000</v>
      </c>
      <c r="W14" s="577">
        <v>-237500</v>
      </c>
      <c r="X14" s="577">
        <f t="shared" si="8"/>
        <v>12500</v>
      </c>
      <c r="Y14" s="710">
        <f t="shared" si="9"/>
        <v>-0.05</v>
      </c>
      <c r="Z14" s="712" t="str">
        <f t="shared" si="14"/>
        <v>Fav.</v>
      </c>
      <c r="AA14" s="577">
        <v>-2400000</v>
      </c>
      <c r="AB14" s="577">
        <v>-2379720</v>
      </c>
      <c r="AC14" s="577">
        <v>20280</v>
      </c>
      <c r="AD14" s="710">
        <v>8.4499999999999992E-3</v>
      </c>
      <c r="AE14" s="712" t="s">
        <v>1390</v>
      </c>
    </row>
    <row r="15" spans="1:31" ht="15" customHeight="1" x14ac:dyDescent="0.25">
      <c r="A15" s="610" t="s">
        <v>1395</v>
      </c>
      <c r="B15" s="579">
        <v>-225000</v>
      </c>
      <c r="C15" s="579">
        <v>-216000</v>
      </c>
      <c r="D15" s="579">
        <f t="shared" si="0"/>
        <v>9000</v>
      </c>
      <c r="E15" s="714">
        <f t="shared" si="1"/>
        <v>-0.04</v>
      </c>
      <c r="F15" s="712" t="str">
        <f t="shared" si="10"/>
        <v>Fav.</v>
      </c>
      <c r="G15" s="579">
        <v>-140000</v>
      </c>
      <c r="H15" s="579">
        <v>-142500</v>
      </c>
      <c r="I15" s="579">
        <f t="shared" si="2"/>
        <v>-2500</v>
      </c>
      <c r="J15" s="714">
        <f t="shared" si="3"/>
        <v>1.7857142857142856E-2</v>
      </c>
      <c r="K15" s="711" t="str">
        <f t="shared" si="11"/>
        <v>Defav.</v>
      </c>
      <c r="L15" s="579">
        <v>-95000</v>
      </c>
      <c r="M15" s="579">
        <v>-89000</v>
      </c>
      <c r="N15" s="579">
        <f t="shared" si="4"/>
        <v>6000</v>
      </c>
      <c r="O15" s="714">
        <f t="shared" si="5"/>
        <v>-6.3157894736842107E-2</v>
      </c>
      <c r="P15" s="712" t="str">
        <f t="shared" si="12"/>
        <v>Fav.</v>
      </c>
      <c r="Q15" s="579">
        <v>-155000</v>
      </c>
      <c r="R15" s="579">
        <v>-160000</v>
      </c>
      <c r="S15" s="579">
        <f t="shared" si="6"/>
        <v>-5000</v>
      </c>
      <c r="T15" s="714">
        <f t="shared" si="7"/>
        <v>3.2258064516129031E-2</v>
      </c>
      <c r="U15" s="711" t="str">
        <f t="shared" si="13"/>
        <v>Defav.</v>
      </c>
      <c r="V15" s="579">
        <v>-50000</v>
      </c>
      <c r="W15" s="579">
        <v>-47500</v>
      </c>
      <c r="X15" s="579">
        <f t="shared" si="8"/>
        <v>2500</v>
      </c>
      <c r="Y15" s="714">
        <f t="shared" si="9"/>
        <v>-0.05</v>
      </c>
      <c r="Z15" s="712" t="str">
        <f t="shared" si="14"/>
        <v>Fav.</v>
      </c>
      <c r="AA15" s="579">
        <v>-665000</v>
      </c>
      <c r="AB15" s="579">
        <v>-655000</v>
      </c>
      <c r="AC15" s="579">
        <v>10000</v>
      </c>
      <c r="AD15" s="714">
        <v>1.50375939849624E-2</v>
      </c>
      <c r="AE15" s="712" t="s">
        <v>1390</v>
      </c>
    </row>
    <row r="16" spans="1:31" ht="15" customHeight="1" x14ac:dyDescent="0.25">
      <c r="A16" s="715" t="s">
        <v>1396</v>
      </c>
      <c r="B16" s="716">
        <f>B10+B13+B14+B15</f>
        <v>2025000</v>
      </c>
      <c r="C16" s="716">
        <f>C10+C13+C14+C15</f>
        <v>1771200</v>
      </c>
      <c r="D16" s="716">
        <f t="shared" si="0"/>
        <v>-253800</v>
      </c>
      <c r="E16" s="717">
        <f t="shared" si="1"/>
        <v>-0.12533333333333332</v>
      </c>
      <c r="F16" s="711" t="str">
        <f t="shared" si="10"/>
        <v>Defav.</v>
      </c>
      <c r="G16" s="718">
        <f>G10+G13+G14+G15</f>
        <v>1260000</v>
      </c>
      <c r="H16" s="718">
        <f>H10+H13+H14+H15</f>
        <v>1339500</v>
      </c>
      <c r="I16" s="718">
        <f t="shared" si="2"/>
        <v>79500</v>
      </c>
      <c r="J16" s="719">
        <f t="shared" si="3"/>
        <v>6.3095238095238093E-2</v>
      </c>
      <c r="K16" s="712" t="str">
        <f t="shared" si="11"/>
        <v>Fav.</v>
      </c>
      <c r="L16" s="720">
        <f>L10+L13+L14+L15</f>
        <v>855000</v>
      </c>
      <c r="M16" s="720">
        <f>M10+M13+M14+M15</f>
        <v>730080</v>
      </c>
      <c r="N16" s="720">
        <f t="shared" si="4"/>
        <v>-124920</v>
      </c>
      <c r="O16" s="721">
        <f t="shared" si="5"/>
        <v>-0.14610526315789474</v>
      </c>
      <c r="P16" s="711" t="str">
        <f t="shared" si="12"/>
        <v>Defav.</v>
      </c>
      <c r="Q16" s="722">
        <f>Q10+Q13+Q14+Q15</f>
        <v>2015000</v>
      </c>
      <c r="R16" s="722">
        <f>R10+R13+R14+R15</f>
        <v>2112000</v>
      </c>
      <c r="S16" s="722">
        <f t="shared" si="6"/>
        <v>97000</v>
      </c>
      <c r="T16" s="723">
        <f t="shared" si="7"/>
        <v>4.813895781637717E-2</v>
      </c>
      <c r="U16" s="712" t="str">
        <f t="shared" si="13"/>
        <v>Fav.</v>
      </c>
      <c r="V16" s="724">
        <f>V10+V13+V14+V15</f>
        <v>500000</v>
      </c>
      <c r="W16" s="724">
        <f>W10+W13+W14+W15</f>
        <v>456000</v>
      </c>
      <c r="X16" s="724">
        <f t="shared" si="8"/>
        <v>-44000</v>
      </c>
      <c r="Y16" s="725">
        <f t="shared" si="9"/>
        <v>-8.7999999999999995E-2</v>
      </c>
      <c r="Z16" s="711" t="str">
        <f t="shared" si="14"/>
        <v>Defav.</v>
      </c>
      <c r="AA16" s="726">
        <v>6655000</v>
      </c>
      <c r="AB16" s="726">
        <v>6408780</v>
      </c>
      <c r="AC16" s="726">
        <v>-246220</v>
      </c>
      <c r="AD16" s="727">
        <v>-3.6997746055597303E-2</v>
      </c>
      <c r="AE16" s="711" t="s">
        <v>1389</v>
      </c>
    </row>
    <row r="17" spans="1:31" ht="15" customHeight="1" x14ac:dyDescent="0.25">
      <c r="A17" s="610" t="s">
        <v>1397</v>
      </c>
      <c r="B17" s="579">
        <v>-420000</v>
      </c>
      <c r="C17" s="579">
        <v>-435000</v>
      </c>
      <c r="D17" s="579">
        <f t="shared" si="0"/>
        <v>-15000</v>
      </c>
      <c r="E17" s="714">
        <f t="shared" si="1"/>
        <v>3.5714285714285712E-2</v>
      </c>
      <c r="F17" s="711" t="str">
        <f t="shared" si="10"/>
        <v>Defav.</v>
      </c>
      <c r="G17" s="579">
        <v>-280000</v>
      </c>
      <c r="H17" s="579">
        <v>-275000</v>
      </c>
      <c r="I17" s="579">
        <f t="shared" si="2"/>
        <v>5000</v>
      </c>
      <c r="J17" s="714">
        <f t="shared" si="3"/>
        <v>-1.7857142857142856E-2</v>
      </c>
      <c r="K17" s="712" t="str">
        <f t="shared" si="11"/>
        <v>Fav.</v>
      </c>
      <c r="L17" s="579">
        <v>-200000</v>
      </c>
      <c r="M17" s="579">
        <v>-210000</v>
      </c>
      <c r="N17" s="579">
        <f t="shared" si="4"/>
        <v>-10000</v>
      </c>
      <c r="O17" s="714">
        <f t="shared" si="5"/>
        <v>0.05</v>
      </c>
      <c r="P17" s="711" t="str">
        <f t="shared" si="12"/>
        <v>Defav.</v>
      </c>
      <c r="Q17" s="579">
        <v>-250000</v>
      </c>
      <c r="R17" s="579">
        <v>-245000</v>
      </c>
      <c r="S17" s="579">
        <f t="shared" si="6"/>
        <v>5000</v>
      </c>
      <c r="T17" s="714">
        <f t="shared" si="7"/>
        <v>-0.02</v>
      </c>
      <c r="U17" s="712" t="str">
        <f t="shared" si="13"/>
        <v>Fav.</v>
      </c>
      <c r="V17" s="579">
        <v>-120000</v>
      </c>
      <c r="W17" s="579">
        <v>-118000</v>
      </c>
      <c r="X17" s="579">
        <f t="shared" si="8"/>
        <v>2000</v>
      </c>
      <c r="Y17" s="714">
        <f t="shared" si="9"/>
        <v>-1.6666666666666666E-2</v>
      </c>
      <c r="Z17" s="712" t="str">
        <f t="shared" si="14"/>
        <v>Fav.</v>
      </c>
      <c r="AA17" s="579">
        <v>-1270000</v>
      </c>
      <c r="AB17" s="579">
        <v>-1283000</v>
      </c>
      <c r="AC17" s="579">
        <v>-13000</v>
      </c>
      <c r="AD17" s="714">
        <v>-1.02362204724409E-2</v>
      </c>
      <c r="AE17" s="711" t="s">
        <v>1389</v>
      </c>
    </row>
    <row r="18" spans="1:31" ht="15" customHeight="1" x14ac:dyDescent="0.25">
      <c r="A18" s="715" t="s">
        <v>1398</v>
      </c>
      <c r="B18" s="716">
        <f>B16+B17</f>
        <v>1605000</v>
      </c>
      <c r="C18" s="716">
        <f>C16+C17</f>
        <v>1336200</v>
      </c>
      <c r="D18" s="716">
        <f t="shared" si="0"/>
        <v>-268800</v>
      </c>
      <c r="E18" s="717">
        <f t="shared" si="1"/>
        <v>-0.1674766355140187</v>
      </c>
      <c r="F18" s="711" t="str">
        <f t="shared" si="10"/>
        <v>Defav.</v>
      </c>
      <c r="G18" s="718">
        <f>G16+G17</f>
        <v>980000</v>
      </c>
      <c r="H18" s="718">
        <f>H16+H17</f>
        <v>1064500</v>
      </c>
      <c r="I18" s="718">
        <f t="shared" si="2"/>
        <v>84500</v>
      </c>
      <c r="J18" s="719">
        <f t="shared" si="3"/>
        <v>8.6224489795918374E-2</v>
      </c>
      <c r="K18" s="712" t="str">
        <f t="shared" si="11"/>
        <v>Fav.</v>
      </c>
      <c r="L18" s="720">
        <f>L16+L17</f>
        <v>655000</v>
      </c>
      <c r="M18" s="720">
        <f>M16+M17</f>
        <v>520080</v>
      </c>
      <c r="N18" s="720">
        <f t="shared" si="4"/>
        <v>-134920</v>
      </c>
      <c r="O18" s="721">
        <f t="shared" si="5"/>
        <v>-0.20598473282442747</v>
      </c>
      <c r="P18" s="711" t="str">
        <f t="shared" si="12"/>
        <v>Defav.</v>
      </c>
      <c r="Q18" s="722">
        <f>Q16+Q17</f>
        <v>1765000</v>
      </c>
      <c r="R18" s="722">
        <f>R16+R17</f>
        <v>1867000</v>
      </c>
      <c r="S18" s="722">
        <f t="shared" si="6"/>
        <v>102000</v>
      </c>
      <c r="T18" s="723">
        <f t="shared" si="7"/>
        <v>5.7790368271954676E-2</v>
      </c>
      <c r="U18" s="712" t="str">
        <f t="shared" si="13"/>
        <v>Fav.</v>
      </c>
      <c r="V18" s="724">
        <f>V16+V17</f>
        <v>380000</v>
      </c>
      <c r="W18" s="724">
        <f>W16+W17</f>
        <v>338000</v>
      </c>
      <c r="X18" s="724">
        <f t="shared" si="8"/>
        <v>-42000</v>
      </c>
      <c r="Y18" s="725">
        <f t="shared" si="9"/>
        <v>-0.11052631578947368</v>
      </c>
      <c r="Z18" s="711" t="str">
        <f t="shared" si="14"/>
        <v>Defav.</v>
      </c>
      <c r="AA18" s="726">
        <v>5385000</v>
      </c>
      <c r="AB18" s="726">
        <v>5125780</v>
      </c>
      <c r="AC18" s="726">
        <v>-259220</v>
      </c>
      <c r="AD18" s="727">
        <v>-4.8137418755803199E-2</v>
      </c>
      <c r="AE18" s="728" t="s">
        <v>386</v>
      </c>
    </row>
    <row r="19" spans="1:31" ht="15" customHeight="1" x14ac:dyDescent="0.25">
      <c r="A19" s="610" t="s">
        <v>1399</v>
      </c>
      <c r="B19" s="579">
        <v>-270000</v>
      </c>
      <c r="C19" s="579">
        <v>-258000</v>
      </c>
      <c r="D19" s="579">
        <f t="shared" si="0"/>
        <v>12000</v>
      </c>
      <c r="E19" s="714">
        <f t="shared" si="1"/>
        <v>-4.4444444444444446E-2</v>
      </c>
      <c r="F19" s="712" t="str">
        <f t="shared" si="10"/>
        <v>Fav.</v>
      </c>
      <c r="G19" s="579">
        <v>-200000</v>
      </c>
      <c r="H19" s="579">
        <v>-210000</v>
      </c>
      <c r="I19" s="579">
        <f t="shared" si="2"/>
        <v>-10000</v>
      </c>
      <c r="J19" s="714">
        <f t="shared" si="3"/>
        <v>0.05</v>
      </c>
      <c r="K19" s="711" t="str">
        <f t="shared" si="11"/>
        <v>Defav.</v>
      </c>
      <c r="L19" s="579">
        <v>-180000</v>
      </c>
      <c r="M19" s="579">
        <v>-165000</v>
      </c>
      <c r="N19" s="579">
        <f t="shared" si="4"/>
        <v>15000</v>
      </c>
      <c r="O19" s="714">
        <f t="shared" si="5"/>
        <v>-8.3333333333333329E-2</v>
      </c>
      <c r="P19" s="712" t="str">
        <f t="shared" si="12"/>
        <v>Fav.</v>
      </c>
      <c r="Q19" s="579">
        <v>-280000</v>
      </c>
      <c r="R19" s="579">
        <v>-295000</v>
      </c>
      <c r="S19" s="579">
        <f t="shared" si="6"/>
        <v>-15000</v>
      </c>
      <c r="T19" s="714">
        <f t="shared" si="7"/>
        <v>5.3571428571428568E-2</v>
      </c>
      <c r="U19" s="711" t="str">
        <f t="shared" si="13"/>
        <v>Defav.</v>
      </c>
      <c r="V19" s="579">
        <v>-80000</v>
      </c>
      <c r="W19" s="579">
        <v>-76000</v>
      </c>
      <c r="X19" s="579">
        <f t="shared" si="8"/>
        <v>4000</v>
      </c>
      <c r="Y19" s="714">
        <f t="shared" si="9"/>
        <v>-0.05</v>
      </c>
      <c r="Z19" s="712" t="str">
        <f t="shared" si="14"/>
        <v>Fav.</v>
      </c>
      <c r="AA19" s="579">
        <v>-1010000</v>
      </c>
      <c r="AB19" s="579">
        <v>-1004000</v>
      </c>
      <c r="AC19" s="579">
        <v>6000</v>
      </c>
      <c r="AD19" s="714">
        <v>5.9405940594059398E-3</v>
      </c>
      <c r="AE19" s="712" t="s">
        <v>1390</v>
      </c>
    </row>
    <row r="20" spans="1:31" ht="15" customHeight="1" x14ac:dyDescent="0.25">
      <c r="A20" s="610" t="s">
        <v>1400</v>
      </c>
      <c r="B20" s="577">
        <v>-180000</v>
      </c>
      <c r="C20" s="577">
        <v>-175000</v>
      </c>
      <c r="D20" s="577">
        <f t="shared" si="0"/>
        <v>5000</v>
      </c>
      <c r="E20" s="710">
        <f t="shared" si="1"/>
        <v>-2.7777777777777776E-2</v>
      </c>
      <c r="F20" s="712" t="str">
        <f t="shared" si="10"/>
        <v>Fav.</v>
      </c>
      <c r="G20" s="577">
        <v>-120000</v>
      </c>
      <c r="H20" s="577">
        <v>-118000</v>
      </c>
      <c r="I20" s="577">
        <f t="shared" si="2"/>
        <v>2000</v>
      </c>
      <c r="J20" s="710">
        <f t="shared" si="3"/>
        <v>-1.6666666666666666E-2</v>
      </c>
      <c r="K20" s="712" t="str">
        <f t="shared" si="11"/>
        <v>Fav.</v>
      </c>
      <c r="L20" s="577">
        <v>-95000</v>
      </c>
      <c r="M20" s="577">
        <v>-92000</v>
      </c>
      <c r="N20" s="577">
        <f t="shared" si="4"/>
        <v>3000</v>
      </c>
      <c r="O20" s="710">
        <f t="shared" si="5"/>
        <v>-3.1578947368421054E-2</v>
      </c>
      <c r="P20" s="712" t="str">
        <f t="shared" si="12"/>
        <v>Fav.</v>
      </c>
      <c r="Q20" s="577">
        <v>-160000</v>
      </c>
      <c r="R20" s="577">
        <v>-155000</v>
      </c>
      <c r="S20" s="577">
        <f t="shared" si="6"/>
        <v>5000</v>
      </c>
      <c r="T20" s="710">
        <f t="shared" si="7"/>
        <v>-3.125E-2</v>
      </c>
      <c r="U20" s="712" t="str">
        <f t="shared" si="13"/>
        <v>Fav.</v>
      </c>
      <c r="V20" s="577">
        <v>-60000</v>
      </c>
      <c r="W20" s="577">
        <v>-58000</v>
      </c>
      <c r="X20" s="577">
        <f t="shared" si="8"/>
        <v>2000</v>
      </c>
      <c r="Y20" s="710">
        <f t="shared" si="9"/>
        <v>-3.3333333333333333E-2</v>
      </c>
      <c r="Z20" s="712" t="str">
        <f t="shared" si="14"/>
        <v>Fav.</v>
      </c>
      <c r="AA20" s="577">
        <v>-615000</v>
      </c>
      <c r="AB20" s="577">
        <v>-598000</v>
      </c>
      <c r="AC20" s="577">
        <v>17000</v>
      </c>
      <c r="AD20" s="710">
        <v>2.7642276422764199E-2</v>
      </c>
      <c r="AE20" s="712" t="s">
        <v>1390</v>
      </c>
    </row>
    <row r="21" spans="1:31" ht="15" customHeight="1" x14ac:dyDescent="0.25">
      <c r="A21" s="715" t="s">
        <v>1401</v>
      </c>
      <c r="B21" s="716">
        <f>B18+B19+B20</f>
        <v>1155000</v>
      </c>
      <c r="C21" s="716">
        <f>C18+C19+C20</f>
        <v>903200</v>
      </c>
      <c r="D21" s="716">
        <f t="shared" si="0"/>
        <v>-251800</v>
      </c>
      <c r="E21" s="717">
        <f t="shared" si="1"/>
        <v>-0.21800865800865801</v>
      </c>
      <c r="F21" s="711" t="str">
        <f t="shared" si="10"/>
        <v>Defav.</v>
      </c>
      <c r="G21" s="718">
        <f>G18+G19+G20</f>
        <v>660000</v>
      </c>
      <c r="H21" s="718">
        <f>H18+H19+H20</f>
        <v>736500</v>
      </c>
      <c r="I21" s="718">
        <f t="shared" si="2"/>
        <v>76500</v>
      </c>
      <c r="J21" s="719">
        <f t="shared" si="3"/>
        <v>0.11590909090909091</v>
      </c>
      <c r="K21" s="712" t="str">
        <f t="shared" si="11"/>
        <v>Fav.</v>
      </c>
      <c r="L21" s="720">
        <f>L18+L19+L20</f>
        <v>380000</v>
      </c>
      <c r="M21" s="720">
        <f>M18+M19+M20</f>
        <v>263080</v>
      </c>
      <c r="N21" s="720">
        <f t="shared" si="4"/>
        <v>-116920</v>
      </c>
      <c r="O21" s="721">
        <f t="shared" si="5"/>
        <v>-0.30768421052631578</v>
      </c>
      <c r="P21" s="711" t="str">
        <f t="shared" si="12"/>
        <v>Defav.</v>
      </c>
      <c r="Q21" s="722">
        <f>Q18+Q19+Q20</f>
        <v>1325000</v>
      </c>
      <c r="R21" s="722">
        <f>R18+R19+R20</f>
        <v>1417000</v>
      </c>
      <c r="S21" s="722">
        <f t="shared" si="6"/>
        <v>92000</v>
      </c>
      <c r="T21" s="723">
        <f t="shared" si="7"/>
        <v>6.9433962264150939E-2</v>
      </c>
      <c r="U21" s="712" t="str">
        <f t="shared" si="13"/>
        <v>Fav.</v>
      </c>
      <c r="V21" s="724">
        <f>V18+V19+V20</f>
        <v>240000</v>
      </c>
      <c r="W21" s="724">
        <f>W18+W19+W20</f>
        <v>204000</v>
      </c>
      <c r="X21" s="724">
        <f t="shared" si="8"/>
        <v>-36000</v>
      </c>
      <c r="Y21" s="725">
        <f t="shared" si="9"/>
        <v>-0.15</v>
      </c>
      <c r="Z21" s="711" t="str">
        <f t="shared" si="14"/>
        <v>Defav.</v>
      </c>
      <c r="AA21" s="726">
        <v>3760000</v>
      </c>
      <c r="AB21" s="726">
        <v>3523780</v>
      </c>
      <c r="AC21" s="726">
        <v>-236220</v>
      </c>
      <c r="AD21" s="727">
        <v>-6.2824468085106402E-2</v>
      </c>
      <c r="AE21" s="711" t="s">
        <v>1389</v>
      </c>
    </row>
    <row r="22" spans="1:31" ht="15" customHeight="1" x14ac:dyDescent="0.25">
      <c r="A22" s="610" t="s">
        <v>1402</v>
      </c>
      <c r="B22" s="710">
        <f>IF(B10=0,0,B21/B10)</f>
        <v>0.25666666666666665</v>
      </c>
      <c r="C22" s="710">
        <f>IF(C10=0,0,C21/C10)</f>
        <v>0.20907407407407408</v>
      </c>
      <c r="D22" s="710">
        <f t="shared" si="0"/>
        <v>-4.7592592592592575E-2</v>
      </c>
      <c r="E22" s="710">
        <f t="shared" si="1"/>
        <v>-0.18542568542568535</v>
      </c>
      <c r="F22" s="711" t="str">
        <f t="shared" si="10"/>
        <v>Defav.</v>
      </c>
      <c r="G22" s="710">
        <f>IF(G10=0,0,G21/G10)</f>
        <v>0.23571428571428571</v>
      </c>
      <c r="H22" s="710">
        <f>IF(H10=0,0,H21/H10)</f>
        <v>0.25842105263157894</v>
      </c>
      <c r="I22" s="710">
        <f t="shared" si="2"/>
        <v>2.2706766917293231E-2</v>
      </c>
      <c r="J22" s="710">
        <f t="shared" si="3"/>
        <v>9.6331738437001588E-2</v>
      </c>
      <c r="K22" s="712" t="str">
        <f t="shared" si="11"/>
        <v>Fav.</v>
      </c>
      <c r="L22" s="710">
        <f>IF(L10=0,0,L21/L10)</f>
        <v>0.2</v>
      </c>
      <c r="M22" s="710">
        <f>IF(M10=0,0,M21/M10)</f>
        <v>0.14779775280898877</v>
      </c>
      <c r="N22" s="710">
        <f t="shared" si="4"/>
        <v>-5.2202247191011242E-2</v>
      </c>
      <c r="O22" s="710">
        <f t="shared" si="5"/>
        <v>-0.26101123595505621</v>
      </c>
      <c r="P22" s="711" t="str">
        <f t="shared" si="12"/>
        <v>Defav.</v>
      </c>
      <c r="Q22" s="710">
        <f>IF(Q10=0,0,Q21/Q10)</f>
        <v>0.42741935483870969</v>
      </c>
      <c r="R22" s="710">
        <f>IF(R10=0,0,R21/R10)</f>
        <v>0.4428125</v>
      </c>
      <c r="S22" s="710">
        <f t="shared" si="6"/>
        <v>1.5393145161290311E-2</v>
      </c>
      <c r="T22" s="710">
        <f t="shared" si="7"/>
        <v>3.6014150943396196E-2</v>
      </c>
      <c r="U22" s="712" t="str">
        <f t="shared" si="13"/>
        <v>Fav.</v>
      </c>
      <c r="V22" s="710">
        <f>IF(V10=0,0,V21/V10)</f>
        <v>0.24</v>
      </c>
      <c r="W22" s="710">
        <f>IF(W10=0,0,W21/W10)</f>
        <v>0.21473684210526317</v>
      </c>
      <c r="X22" s="710">
        <f t="shared" si="8"/>
        <v>-2.5263157894736821E-2</v>
      </c>
      <c r="Y22" s="710">
        <f t="shared" si="9"/>
        <v>-0.10526315789473675</v>
      </c>
      <c r="Z22" s="711" t="str">
        <f t="shared" si="14"/>
        <v>Defav.</v>
      </c>
      <c r="AA22" s="710">
        <v>0.28270676691729302</v>
      </c>
      <c r="AB22" s="710">
        <v>0.26899083969465698</v>
      </c>
      <c r="AC22" s="710">
        <v>-1.3715927222636801E-2</v>
      </c>
      <c r="AD22" s="710">
        <v>-4.8516444697092799E-2</v>
      </c>
      <c r="AE22" s="711" t="s">
        <v>1389</v>
      </c>
    </row>
    <row r="23" spans="1:31" ht="6" customHeight="1" x14ac:dyDescent="0.25"/>
    <row r="24" spans="1:31" ht="27.75" customHeight="1" x14ac:dyDescent="0.3">
      <c r="A24" s="1183" t="s">
        <v>1403</v>
      </c>
      <c r="B24" s="1183"/>
      <c r="C24" s="1183"/>
      <c r="D24" s="1183"/>
      <c r="E24" s="1183"/>
      <c r="F24" s="1183"/>
      <c r="G24" s="1183"/>
      <c r="H24" s="1183"/>
      <c r="I24" s="1183"/>
      <c r="J24" s="1183"/>
      <c r="K24" s="1183"/>
      <c r="L24" s="1183"/>
      <c r="M24" s="1183"/>
      <c r="N24" s="1183"/>
    </row>
    <row r="25" spans="1:31" ht="15" customHeight="1" x14ac:dyDescent="0.25">
      <c r="A25" s="1188" t="s">
        <v>1404</v>
      </c>
      <c r="B25" s="1188"/>
      <c r="C25" s="1188"/>
      <c r="D25" s="1188"/>
      <c r="E25" s="1188"/>
      <c r="F25" s="1188"/>
      <c r="G25" s="1188"/>
      <c r="H25" s="1188"/>
    </row>
    <row r="26" spans="1:31" ht="15" customHeight="1" x14ac:dyDescent="0.25">
      <c r="A26" s="705" t="s">
        <v>1405</v>
      </c>
      <c r="B26" s="705" t="s">
        <v>773</v>
      </c>
      <c r="C26" s="705" t="s">
        <v>1406</v>
      </c>
      <c r="D26" s="705" t="s">
        <v>1407</v>
      </c>
      <c r="E26" s="705" t="s">
        <v>1408</v>
      </c>
      <c r="F26" s="705" t="s">
        <v>1409</v>
      </c>
      <c r="G26" s="705" t="s">
        <v>1410</v>
      </c>
      <c r="H26" s="705" t="s">
        <v>415</v>
      </c>
    </row>
    <row r="27" spans="1:31" ht="32.25" customHeight="1" x14ac:dyDescent="0.25">
      <c r="A27" s="610" t="s">
        <v>1411</v>
      </c>
      <c r="B27" s="729" t="s">
        <v>1412</v>
      </c>
      <c r="C27" s="730">
        <f>(C11-B11)*B12</f>
        <v>-180000</v>
      </c>
      <c r="D27" s="731">
        <f>(H11-G11)*G12</f>
        <v>50000</v>
      </c>
      <c r="E27" s="730">
        <f>(M11-L11)*L12</f>
        <v>-120000</v>
      </c>
      <c r="F27" s="731">
        <f>(R11-Q11)*Q12</f>
        <v>100000</v>
      </c>
      <c r="G27" s="730">
        <f>(W11-V11)*V12</f>
        <v>-50000</v>
      </c>
      <c r="H27" s="732">
        <f>SUM(C27:G27)</f>
        <v>-200000</v>
      </c>
    </row>
    <row r="28" spans="1:31" ht="32.25" customHeight="1" x14ac:dyDescent="0.25">
      <c r="A28" s="611" t="s">
        <v>1413</v>
      </c>
      <c r="B28" s="733" t="s">
        <v>1414</v>
      </c>
      <c r="C28" s="579">
        <f>(C12-B12)*C11</f>
        <v>0</v>
      </c>
      <c r="D28" s="579">
        <f>(H12-G12)*H11</f>
        <v>0</v>
      </c>
      <c r="E28" s="579">
        <f>(M12-L12)*M11</f>
        <v>0</v>
      </c>
      <c r="F28" s="579">
        <f>(R12-Q12)*R11</f>
        <v>0</v>
      </c>
      <c r="G28" s="579">
        <f>(W12-V12)*W11</f>
        <v>0</v>
      </c>
      <c r="H28" s="732">
        <f>SUM(C28:G28)</f>
        <v>0</v>
      </c>
    </row>
    <row r="29" spans="1:31" ht="21.75" customHeight="1" x14ac:dyDescent="0.25">
      <c r="A29" s="610" t="s">
        <v>1415</v>
      </c>
      <c r="B29" s="729" t="s">
        <v>1416</v>
      </c>
      <c r="C29" s="577">
        <v>0</v>
      </c>
      <c r="D29" s="577">
        <v>0</v>
      </c>
      <c r="E29" s="577">
        <v>0</v>
      </c>
      <c r="F29" s="577">
        <v>0</v>
      </c>
      <c r="G29" s="577">
        <v>0</v>
      </c>
      <c r="H29" s="732">
        <f>SUM(C29:G29)</f>
        <v>0</v>
      </c>
    </row>
    <row r="30" spans="1:31" ht="15" customHeight="1" x14ac:dyDescent="0.25">
      <c r="A30" s="734" t="s">
        <v>1417</v>
      </c>
      <c r="B30" s="735" t="s">
        <v>1418</v>
      </c>
      <c r="C30" s="726">
        <f>C27+C28+C29</f>
        <v>-180000</v>
      </c>
      <c r="D30" s="726">
        <f>D27+D28+D29</f>
        <v>50000</v>
      </c>
      <c r="E30" s="726">
        <f>E27+E28+E29</f>
        <v>-120000</v>
      </c>
      <c r="F30" s="726">
        <f>F27+F28+F29</f>
        <v>100000</v>
      </c>
      <c r="G30" s="726">
        <f>G27+G28+G29</f>
        <v>-50000</v>
      </c>
      <c r="H30" s="736">
        <f>SUM(C30:G30)</f>
        <v>-200000</v>
      </c>
    </row>
    <row r="31" spans="1:31" ht="15" customHeight="1" x14ac:dyDescent="0.25">
      <c r="A31" s="734" t="s">
        <v>1419</v>
      </c>
      <c r="B31" s="735"/>
      <c r="C31" s="726">
        <f>C10-B10</f>
        <v>-180000</v>
      </c>
      <c r="D31" s="726">
        <f>H10-G10</f>
        <v>50000</v>
      </c>
      <c r="E31" s="726">
        <f>M10-L10</f>
        <v>-120000</v>
      </c>
      <c r="F31" s="726">
        <f>R10-Q10</f>
        <v>100000</v>
      </c>
      <c r="G31" s="726">
        <f>W10-V10</f>
        <v>-50000</v>
      </c>
      <c r="H31" s="736">
        <f>SUM(C31:G31)</f>
        <v>-200000</v>
      </c>
    </row>
    <row r="33" spans="1:8" ht="15" customHeight="1" x14ac:dyDescent="0.25">
      <c r="A33" s="1189" t="s">
        <v>1420</v>
      </c>
      <c r="B33" s="1189"/>
      <c r="C33" s="1189"/>
      <c r="D33" s="1189"/>
      <c r="E33" s="1189"/>
      <c r="F33" s="1189"/>
      <c r="G33" s="1189"/>
      <c r="H33" s="1189"/>
    </row>
    <row r="34" spans="1:8" ht="15" customHeight="1" x14ac:dyDescent="0.25">
      <c r="A34" s="706" t="s">
        <v>1405</v>
      </c>
      <c r="B34" s="706" t="s">
        <v>773</v>
      </c>
      <c r="C34" s="706" t="s">
        <v>1406</v>
      </c>
      <c r="D34" s="706" t="s">
        <v>1407</v>
      </c>
      <c r="E34" s="706" t="s">
        <v>1408</v>
      </c>
      <c r="F34" s="706" t="s">
        <v>1409</v>
      </c>
      <c r="G34" s="706" t="s">
        <v>1410</v>
      </c>
      <c r="H34" s="706" t="s">
        <v>415</v>
      </c>
    </row>
    <row r="35" spans="1:8" ht="36.75" customHeight="1" x14ac:dyDescent="0.25">
      <c r="A35" s="737" t="s">
        <v>1421</v>
      </c>
      <c r="B35" s="738"/>
      <c r="C35" s="739" t="s">
        <v>1422</v>
      </c>
      <c r="D35" s="739" t="s">
        <v>1422</v>
      </c>
      <c r="E35" s="739" t="s">
        <v>1422</v>
      </c>
      <c r="F35" s="739" t="s">
        <v>1423</v>
      </c>
      <c r="G35" s="739" t="s">
        <v>1424</v>
      </c>
    </row>
    <row r="36" spans="1:8" ht="31.5" customHeight="1" x14ac:dyDescent="0.25">
      <c r="A36" s="737"/>
      <c r="B36" s="738"/>
      <c r="C36" s="739" t="s">
        <v>1425</v>
      </c>
      <c r="D36" s="739" t="s">
        <v>1425</v>
      </c>
      <c r="E36" s="739" t="s">
        <v>1426</v>
      </c>
      <c r="F36" s="739" t="s">
        <v>1427</v>
      </c>
      <c r="G36" s="739" t="s">
        <v>1428</v>
      </c>
    </row>
    <row r="37" spans="1:8" ht="15" customHeight="1" x14ac:dyDescent="0.25">
      <c r="A37" s="610" t="s">
        <v>1429</v>
      </c>
      <c r="B37" s="740" t="s">
        <v>1430</v>
      </c>
      <c r="C37" s="731">
        <v>173880</v>
      </c>
      <c r="D37" s="731">
        <v>41400</v>
      </c>
      <c r="E37" s="731">
        <v>77760</v>
      </c>
      <c r="F37" s="577">
        <v>0</v>
      </c>
      <c r="G37" s="731">
        <v>16250</v>
      </c>
      <c r="H37" s="741">
        <f>SUM(C37:G37)</f>
        <v>309290</v>
      </c>
    </row>
    <row r="38" spans="1:8" ht="15" customHeight="1" x14ac:dyDescent="0.25">
      <c r="A38" s="611" t="s">
        <v>1431</v>
      </c>
      <c r="B38" s="740" t="s">
        <v>1432</v>
      </c>
      <c r="C38" s="742">
        <v>59400</v>
      </c>
      <c r="D38" s="743">
        <v>-1440</v>
      </c>
      <c r="E38" s="743">
        <v>-2952</v>
      </c>
      <c r="F38" s="743">
        <v>-15840</v>
      </c>
      <c r="G38" s="742">
        <v>2805</v>
      </c>
      <c r="H38" s="741">
        <f>SUM(C38:G38)</f>
        <v>41973</v>
      </c>
    </row>
    <row r="39" spans="1:8" ht="15" customHeight="1" x14ac:dyDescent="0.25">
      <c r="A39" s="734" t="s">
        <v>1433</v>
      </c>
      <c r="B39" s="740" t="s">
        <v>1434</v>
      </c>
      <c r="C39" s="726">
        <f>C37+C38</f>
        <v>233280</v>
      </c>
      <c r="D39" s="726">
        <f>D37+D38</f>
        <v>39960</v>
      </c>
      <c r="E39" s="726">
        <f>E37+E38</f>
        <v>74808</v>
      </c>
      <c r="F39" s="726">
        <f>F37+F38</f>
        <v>-15840</v>
      </c>
      <c r="G39" s="726">
        <f>G37+G38</f>
        <v>19055</v>
      </c>
      <c r="H39" s="741">
        <f>SUM(C39:G39)</f>
        <v>351263</v>
      </c>
    </row>
    <row r="41" spans="1:8" ht="15" customHeight="1" x14ac:dyDescent="0.25">
      <c r="A41" s="1190" t="s">
        <v>1435</v>
      </c>
      <c r="B41" s="1190"/>
      <c r="C41" s="1190"/>
      <c r="D41" s="1190"/>
      <c r="E41" s="1190"/>
      <c r="F41" s="1190"/>
      <c r="G41" s="1190"/>
      <c r="H41" s="1190"/>
    </row>
    <row r="42" spans="1:8" ht="15" customHeight="1" x14ac:dyDescent="0.25">
      <c r="A42" s="707" t="s">
        <v>1405</v>
      </c>
      <c r="B42" s="707" t="s">
        <v>773</v>
      </c>
      <c r="C42" s="707" t="s">
        <v>1406</v>
      </c>
      <c r="D42" s="707" t="s">
        <v>1407</v>
      </c>
      <c r="E42" s="707" t="s">
        <v>1408</v>
      </c>
      <c r="F42" s="707" t="s">
        <v>1409</v>
      </c>
      <c r="G42" s="707" t="s">
        <v>1410</v>
      </c>
      <c r="H42" s="707" t="s">
        <v>415</v>
      </c>
    </row>
    <row r="43" spans="1:8" ht="15" customHeight="1" x14ac:dyDescent="0.25">
      <c r="A43" s="610" t="s">
        <v>1436</v>
      </c>
      <c r="B43" s="740" t="s">
        <v>1437</v>
      </c>
      <c r="C43" s="731">
        <v>46000</v>
      </c>
      <c r="D43" s="730">
        <v>-9600</v>
      </c>
      <c r="E43" s="731">
        <v>14000</v>
      </c>
      <c r="F43" s="731">
        <v>15200</v>
      </c>
      <c r="G43" s="731">
        <v>2500</v>
      </c>
      <c r="H43" s="741">
        <f>SUM(C43:G43)</f>
        <v>68100</v>
      </c>
    </row>
    <row r="44" spans="1:8" ht="15" customHeight="1" x14ac:dyDescent="0.25">
      <c r="A44" s="611" t="s">
        <v>1438</v>
      </c>
      <c r="B44" s="740" t="s">
        <v>1439</v>
      </c>
      <c r="C44" s="743">
        <v>-2730</v>
      </c>
      <c r="D44" s="742">
        <v>3920</v>
      </c>
      <c r="E44" s="742">
        <v>3552</v>
      </c>
      <c r="F44" s="742">
        <v>840</v>
      </c>
      <c r="G44" s="743">
        <v>-2496</v>
      </c>
      <c r="H44" s="741">
        <f>SUM(C44:G44)</f>
        <v>3086</v>
      </c>
    </row>
    <row r="45" spans="1:8" ht="15" customHeight="1" x14ac:dyDescent="0.25">
      <c r="A45" s="734" t="s">
        <v>1440</v>
      </c>
      <c r="B45" s="740" t="s">
        <v>1441</v>
      </c>
      <c r="C45" s="726">
        <f>C43+C44</f>
        <v>43270</v>
      </c>
      <c r="D45" s="726">
        <f>D43+D44</f>
        <v>-5680</v>
      </c>
      <c r="E45" s="726">
        <f>E43+E44</f>
        <v>17552</v>
      </c>
      <c r="F45" s="726">
        <f>F43+F44</f>
        <v>16040</v>
      </c>
      <c r="G45" s="726">
        <f>G43+G44</f>
        <v>4</v>
      </c>
      <c r="H45" s="741">
        <f>SUM(C45:G45)</f>
        <v>71186</v>
      </c>
    </row>
    <row r="47" spans="1:8" ht="15" customHeight="1" x14ac:dyDescent="0.25">
      <c r="A47" s="1191" t="s">
        <v>1442</v>
      </c>
      <c r="B47" s="1191"/>
      <c r="C47" s="1191"/>
      <c r="D47" s="1191"/>
      <c r="E47" s="1191"/>
      <c r="F47" s="1191"/>
      <c r="G47" s="1191"/>
      <c r="H47" s="1191"/>
    </row>
    <row r="48" spans="1:8" ht="15" customHeight="1" x14ac:dyDescent="0.25">
      <c r="A48" s="708" t="s">
        <v>1405</v>
      </c>
      <c r="B48" s="708" t="s">
        <v>773</v>
      </c>
      <c r="C48" s="708" t="s">
        <v>1406</v>
      </c>
      <c r="D48" s="708" t="s">
        <v>1407</v>
      </c>
      <c r="E48" s="708" t="s">
        <v>1408</v>
      </c>
      <c r="F48" s="708" t="s">
        <v>1409</v>
      </c>
      <c r="G48" s="708" t="s">
        <v>1410</v>
      </c>
      <c r="H48" s="708" t="s">
        <v>415</v>
      </c>
    </row>
    <row r="49" spans="1:8" ht="15" customHeight="1" x14ac:dyDescent="0.25">
      <c r="A49" s="610" t="s">
        <v>1443</v>
      </c>
      <c r="B49" s="740" t="s">
        <v>1444</v>
      </c>
      <c r="C49" s="730">
        <v>-15000</v>
      </c>
      <c r="D49" s="731">
        <v>5000</v>
      </c>
      <c r="E49" s="730">
        <v>-10000</v>
      </c>
      <c r="F49" s="731">
        <v>5000</v>
      </c>
      <c r="G49" s="731">
        <v>2000</v>
      </c>
      <c r="H49" s="741">
        <f>SUM(C49:G49)</f>
        <v>-13000</v>
      </c>
    </row>
    <row r="50" spans="1:8" ht="15" customHeight="1" x14ac:dyDescent="0.25">
      <c r="A50" s="611" t="s">
        <v>1445</v>
      </c>
      <c r="B50" s="740" t="s">
        <v>1446</v>
      </c>
      <c r="C50" s="743">
        <v>-16800</v>
      </c>
      <c r="D50" s="742">
        <v>5000</v>
      </c>
      <c r="E50" s="743">
        <v>-12632</v>
      </c>
      <c r="F50" s="742">
        <v>8065</v>
      </c>
      <c r="G50" s="743">
        <v>-6000</v>
      </c>
      <c r="H50" s="741">
        <f>SUM(C50:G50)</f>
        <v>-22367</v>
      </c>
    </row>
    <row r="51" spans="1:8" ht="15" customHeight="1" x14ac:dyDescent="0.25">
      <c r="A51" s="610" t="s">
        <v>1447</v>
      </c>
      <c r="B51" s="740" t="s">
        <v>1448</v>
      </c>
      <c r="C51" s="577">
        <v>0</v>
      </c>
      <c r="D51" s="577">
        <v>0</v>
      </c>
      <c r="E51" s="577">
        <v>0</v>
      </c>
      <c r="F51" s="577">
        <v>0</v>
      </c>
      <c r="G51" s="577">
        <v>0</v>
      </c>
      <c r="H51" s="741">
        <f>SUM(C51:G51)</f>
        <v>0</v>
      </c>
    </row>
    <row r="52" spans="1:8" ht="15" customHeight="1" x14ac:dyDescent="0.25">
      <c r="A52" s="734" t="s">
        <v>1449</v>
      </c>
      <c r="B52" s="740" t="s">
        <v>1450</v>
      </c>
      <c r="C52" s="726">
        <f>C49+C50+C51</f>
        <v>-31800</v>
      </c>
      <c r="D52" s="726">
        <f>D49+D50+D51</f>
        <v>10000</v>
      </c>
      <c r="E52" s="726">
        <f>E49+E50+E51</f>
        <v>-22632</v>
      </c>
      <c r="F52" s="726">
        <f>F49+F50+F51</f>
        <v>13065</v>
      </c>
      <c r="G52" s="726">
        <f>G49+G50+G51</f>
        <v>-4000</v>
      </c>
      <c r="H52" s="741">
        <f>SUM(C52:G52)</f>
        <v>-35367</v>
      </c>
    </row>
    <row r="55" spans="1:8" ht="27.75" customHeight="1" x14ac:dyDescent="0.3">
      <c r="A55" s="1183" t="s">
        <v>1451</v>
      </c>
      <c r="B55" s="1183"/>
      <c r="C55" s="1183"/>
      <c r="D55" s="1183"/>
      <c r="E55" s="1183"/>
      <c r="F55" s="1183"/>
      <c r="G55" s="1183"/>
      <c r="H55" s="1183"/>
    </row>
    <row r="56" spans="1:8" ht="15" customHeight="1" x14ac:dyDescent="0.25">
      <c r="A56" s="704" t="s">
        <v>92</v>
      </c>
      <c r="B56" s="704" t="s">
        <v>1406</v>
      </c>
      <c r="C56" s="704" t="s">
        <v>1407</v>
      </c>
      <c r="D56" s="704" t="s">
        <v>1408</v>
      </c>
      <c r="E56" s="704" t="s">
        <v>1409</v>
      </c>
      <c r="F56" s="704" t="s">
        <v>1410</v>
      </c>
      <c r="G56" s="704" t="s">
        <v>415</v>
      </c>
      <c r="H56" s="704" t="s">
        <v>773</v>
      </c>
    </row>
    <row r="57" spans="1:8" ht="15" customHeight="1" x14ac:dyDescent="0.25">
      <c r="A57" s="610" t="s">
        <v>1452</v>
      </c>
      <c r="B57" s="577">
        <f>C10</f>
        <v>4320000</v>
      </c>
      <c r="C57" s="577">
        <f>H10</f>
        <v>2850000</v>
      </c>
      <c r="D57" s="577">
        <f>M10</f>
        <v>1780000</v>
      </c>
      <c r="E57" s="577">
        <f>R10</f>
        <v>3200000</v>
      </c>
      <c r="F57" s="577">
        <f>W10</f>
        <v>950000</v>
      </c>
      <c r="G57" s="732">
        <f>SUM(B57:F57)</f>
        <v>13100000</v>
      </c>
      <c r="H57" s="744" t="s">
        <v>1453</v>
      </c>
    </row>
    <row r="58" spans="1:8" ht="21.75" customHeight="1" x14ac:dyDescent="0.25">
      <c r="A58" s="611" t="s">
        <v>1454</v>
      </c>
      <c r="B58" s="714">
        <f>IF(G57=0,0,B57/G57)</f>
        <v>0.32977099236641222</v>
      </c>
      <c r="C58" s="714">
        <f>IF(G57=0,0,C57/G57)</f>
        <v>0.21755725190839695</v>
      </c>
      <c r="D58" s="714">
        <f>IF(G57=0,0,D57/G57)</f>
        <v>0.13587786259541984</v>
      </c>
      <c r="E58" s="714">
        <f>IF(G57=0,0,E57/G57)</f>
        <v>0.24427480916030533</v>
      </c>
      <c r="F58" s="714">
        <f>IF(G57=0,0,F57/G57)</f>
        <v>7.2519083969465645E-2</v>
      </c>
      <c r="G58" s="745">
        <f>IF(G57=0,0,G57/G57)</f>
        <v>1</v>
      </c>
      <c r="H58" s="744" t="s">
        <v>1455</v>
      </c>
    </row>
    <row r="59" spans="1:8" ht="21.75" customHeight="1" x14ac:dyDescent="0.25">
      <c r="A59" s="610" t="s">
        <v>1456</v>
      </c>
      <c r="B59" s="577">
        <f>C16</f>
        <v>1771200</v>
      </c>
      <c r="C59" s="577">
        <f>H16</f>
        <v>1339500</v>
      </c>
      <c r="D59" s="577">
        <f>M16</f>
        <v>730080</v>
      </c>
      <c r="E59" s="577">
        <f>R16</f>
        <v>2112000</v>
      </c>
      <c r="F59" s="577">
        <f>W16</f>
        <v>456000</v>
      </c>
      <c r="G59" s="732">
        <f>SUM(B59:F59)</f>
        <v>6408780</v>
      </c>
      <c r="H59" s="744" t="s">
        <v>1457</v>
      </c>
    </row>
    <row r="60" spans="1:8" ht="15" customHeight="1" x14ac:dyDescent="0.25">
      <c r="A60" s="611" t="s">
        <v>1458</v>
      </c>
      <c r="B60" s="714">
        <f t="shared" ref="B60:G60" si="15">IF(B57=0,0,B59/B57)</f>
        <v>0.41</v>
      </c>
      <c r="C60" s="714">
        <f t="shared" si="15"/>
        <v>0.47</v>
      </c>
      <c r="D60" s="714">
        <f t="shared" si="15"/>
        <v>0.41015730337078654</v>
      </c>
      <c r="E60" s="714">
        <f t="shared" si="15"/>
        <v>0.66</v>
      </c>
      <c r="F60" s="714">
        <f t="shared" si="15"/>
        <v>0.48</v>
      </c>
      <c r="G60" s="745">
        <f t="shared" si="15"/>
        <v>0.48921984732824425</v>
      </c>
      <c r="H60" s="744" t="s">
        <v>1459</v>
      </c>
    </row>
    <row r="61" spans="1:8" ht="21.75" customHeight="1" x14ac:dyDescent="0.25">
      <c r="A61" s="734" t="s">
        <v>1460</v>
      </c>
      <c r="B61" s="726">
        <f>C21</f>
        <v>903200</v>
      </c>
      <c r="C61" s="726">
        <f>H21</f>
        <v>736500</v>
      </c>
      <c r="D61" s="726">
        <f>M21</f>
        <v>263080</v>
      </c>
      <c r="E61" s="726">
        <f>R21</f>
        <v>1417000</v>
      </c>
      <c r="F61" s="726">
        <f>W21</f>
        <v>204000</v>
      </c>
      <c r="G61" s="736">
        <f>SUM(B61:F61)</f>
        <v>3523780</v>
      </c>
      <c r="H61" s="744" t="s">
        <v>1461</v>
      </c>
    </row>
    <row r="62" spans="1:8" ht="15" customHeight="1" x14ac:dyDescent="0.25">
      <c r="A62" s="611" t="s">
        <v>1462</v>
      </c>
      <c r="B62" s="714">
        <f t="shared" ref="B62:G62" si="16">IF(B57=0,0,B61/B57)</f>
        <v>0.20907407407407408</v>
      </c>
      <c r="C62" s="714">
        <f t="shared" si="16"/>
        <v>0.25842105263157894</v>
      </c>
      <c r="D62" s="714">
        <f t="shared" si="16"/>
        <v>0.14779775280898877</v>
      </c>
      <c r="E62" s="714">
        <f t="shared" si="16"/>
        <v>0.4428125</v>
      </c>
      <c r="F62" s="714">
        <f t="shared" si="16"/>
        <v>0.21473684210526317</v>
      </c>
      <c r="G62" s="745">
        <f t="shared" si="16"/>
        <v>0.26899083969465648</v>
      </c>
      <c r="H62" s="744" t="s">
        <v>1463</v>
      </c>
    </row>
    <row r="63" spans="1:8" ht="21.75" customHeight="1" x14ac:dyDescent="0.25">
      <c r="A63" s="610" t="s">
        <v>1464</v>
      </c>
      <c r="B63" s="710">
        <f>IF(G61=0,0,B61/G61)</f>
        <v>0.25631566102310588</v>
      </c>
      <c r="C63" s="710">
        <f>IF(G61=0,0,C61/G61)</f>
        <v>0.20900850790912032</v>
      </c>
      <c r="D63" s="710">
        <f>IF(G61=0,0,D61/G61)</f>
        <v>7.4658463354692978E-2</v>
      </c>
      <c r="E63" s="710">
        <f>IF(G61=0,0,E61/G61)</f>
        <v>0.40212499077694974</v>
      </c>
      <c r="F63" s="710">
        <f>IF(G61=0,0,F61/G61)</f>
        <v>5.7892376936131085E-2</v>
      </c>
      <c r="G63" s="746">
        <f>SUM(B63:F63)</f>
        <v>1</v>
      </c>
      <c r="H63" s="744" t="s">
        <v>1465</v>
      </c>
    </row>
    <row r="66" spans="1:8" ht="27.75" customHeight="1" x14ac:dyDescent="0.3">
      <c r="A66" s="1183" t="s">
        <v>1466</v>
      </c>
      <c r="B66" s="1183"/>
      <c r="C66" s="1183"/>
      <c r="D66" s="1183"/>
      <c r="E66" s="1183"/>
      <c r="F66" s="1183"/>
      <c r="G66" s="1183"/>
      <c r="H66" s="1183"/>
    </row>
    <row r="67" spans="1:8" ht="15" customHeight="1" x14ac:dyDescent="0.25">
      <c r="A67" s="1189" t="s">
        <v>1467</v>
      </c>
      <c r="B67" s="1189"/>
      <c r="C67" s="1189"/>
      <c r="D67" s="1189"/>
      <c r="E67" s="1189"/>
      <c r="F67" s="1189"/>
      <c r="G67" s="1189"/>
      <c r="H67" s="1189"/>
    </row>
    <row r="68" spans="1:8" ht="15" customHeight="1" x14ac:dyDescent="0.25">
      <c r="A68" s="706" t="s">
        <v>1468</v>
      </c>
      <c r="B68" s="706" t="s">
        <v>1406</v>
      </c>
      <c r="C68" s="706" t="s">
        <v>1407</v>
      </c>
      <c r="D68" s="706" t="s">
        <v>1408</v>
      </c>
      <c r="E68" s="706" t="s">
        <v>1409</v>
      </c>
      <c r="F68" s="706" t="s">
        <v>1410</v>
      </c>
      <c r="G68" s="706" t="s">
        <v>415</v>
      </c>
      <c r="H68" s="706" t="s">
        <v>773</v>
      </c>
    </row>
    <row r="69" spans="1:8" ht="15" customHeight="1" x14ac:dyDescent="0.25">
      <c r="A69" s="610" t="s">
        <v>262</v>
      </c>
      <c r="B69" s="577">
        <f>C10</f>
        <v>4320000</v>
      </c>
      <c r="C69" s="577">
        <f>H10</f>
        <v>2850000</v>
      </c>
      <c r="D69" s="577">
        <f>M10</f>
        <v>1780000</v>
      </c>
      <c r="E69" s="577">
        <f>R10</f>
        <v>3200000</v>
      </c>
      <c r="F69" s="577">
        <f>W10</f>
        <v>950000</v>
      </c>
      <c r="G69" s="732">
        <f>SUM(B69:F69)</f>
        <v>13100000</v>
      </c>
      <c r="H69" s="744" t="s">
        <v>1453</v>
      </c>
    </row>
    <row r="70" spans="1:8" ht="21.75" customHeight="1" x14ac:dyDescent="0.25">
      <c r="A70" s="611" t="s">
        <v>1469</v>
      </c>
      <c r="B70" s="579">
        <f>C13+C14+C15</f>
        <v>-2548800</v>
      </c>
      <c r="C70" s="579">
        <f>H13+H14+H15</f>
        <v>-1510500</v>
      </c>
      <c r="D70" s="579">
        <f>M13+M14+M15</f>
        <v>-1049920</v>
      </c>
      <c r="E70" s="579">
        <f>R13+R14+R15</f>
        <v>-1088000</v>
      </c>
      <c r="F70" s="579">
        <f>W13+W14+W15</f>
        <v>-494000</v>
      </c>
      <c r="G70" s="732">
        <f>SUM(B70:F70)</f>
        <v>-6691220</v>
      </c>
      <c r="H70" s="744" t="s">
        <v>1470</v>
      </c>
    </row>
    <row r="71" spans="1:8" ht="15" customHeight="1" x14ac:dyDescent="0.25">
      <c r="A71" s="734" t="s">
        <v>1396</v>
      </c>
      <c r="B71" s="726">
        <f>B69+B70</f>
        <v>1771200</v>
      </c>
      <c r="C71" s="726">
        <f>C69+C70</f>
        <v>1339500</v>
      </c>
      <c r="D71" s="726">
        <f>D69+D70</f>
        <v>730080</v>
      </c>
      <c r="E71" s="726">
        <f>E69+E70</f>
        <v>2112000</v>
      </c>
      <c r="F71" s="726">
        <f>F69+F70</f>
        <v>456000</v>
      </c>
      <c r="G71" s="736">
        <f>SUM(B71:F71)</f>
        <v>6408780</v>
      </c>
      <c r="H71" s="744" t="s">
        <v>1471</v>
      </c>
    </row>
    <row r="72" spans="1:8" ht="15" customHeight="1" x14ac:dyDescent="0.25">
      <c r="A72" s="611" t="s">
        <v>1458</v>
      </c>
      <c r="B72" s="714">
        <f t="shared" ref="B72:G72" si="17">IF(B69=0,0,B71/B69)</f>
        <v>0.41</v>
      </c>
      <c r="C72" s="714">
        <f t="shared" si="17"/>
        <v>0.47</v>
      </c>
      <c r="D72" s="714">
        <f t="shared" si="17"/>
        <v>0.41015730337078654</v>
      </c>
      <c r="E72" s="714">
        <f t="shared" si="17"/>
        <v>0.66</v>
      </c>
      <c r="F72" s="714">
        <f t="shared" si="17"/>
        <v>0.48</v>
      </c>
      <c r="G72" s="746">
        <f t="shared" si="17"/>
        <v>0.48921984732824425</v>
      </c>
      <c r="H72" s="744" t="s">
        <v>1459</v>
      </c>
    </row>
    <row r="73" spans="1:8" ht="21.75" customHeight="1" x14ac:dyDescent="0.25">
      <c r="A73" s="610" t="s">
        <v>1472</v>
      </c>
      <c r="B73" s="577">
        <f>C17</f>
        <v>-435000</v>
      </c>
      <c r="C73" s="577">
        <f>H17</f>
        <v>-275000</v>
      </c>
      <c r="D73" s="577">
        <f>M17</f>
        <v>-210000</v>
      </c>
      <c r="E73" s="577">
        <f>R17</f>
        <v>-245000</v>
      </c>
      <c r="F73" s="577">
        <f>W17</f>
        <v>-118000</v>
      </c>
      <c r="G73" s="732">
        <f>SUM(B73:F73)</f>
        <v>-1283000</v>
      </c>
      <c r="H73" s="744" t="s">
        <v>1473</v>
      </c>
    </row>
    <row r="74" spans="1:8" ht="21.75" customHeight="1" x14ac:dyDescent="0.25">
      <c r="A74" s="734" t="s">
        <v>1474</v>
      </c>
      <c r="B74" s="726">
        <f>B71+B73</f>
        <v>1336200</v>
      </c>
      <c r="C74" s="726">
        <f>C71+C73</f>
        <v>1064500</v>
      </c>
      <c r="D74" s="726">
        <f>D71+D73</f>
        <v>520080</v>
      </c>
      <c r="E74" s="726">
        <f>E71+E73</f>
        <v>1867000</v>
      </c>
      <c r="F74" s="726">
        <f>F71+F73</f>
        <v>338000</v>
      </c>
      <c r="G74" s="736">
        <f>SUM(B74:F74)</f>
        <v>5125780</v>
      </c>
      <c r="H74" s="744" t="s">
        <v>1475</v>
      </c>
    </row>
    <row r="75" spans="1:8" ht="21.75" customHeight="1" x14ac:dyDescent="0.25">
      <c r="A75" s="610" t="s">
        <v>1476</v>
      </c>
      <c r="B75" s="577">
        <f>C19+C20</f>
        <v>-433000</v>
      </c>
      <c r="C75" s="577">
        <f>H19+H20</f>
        <v>-328000</v>
      </c>
      <c r="D75" s="577">
        <f>M19+M20</f>
        <v>-257000</v>
      </c>
      <c r="E75" s="577">
        <f>R19+R20</f>
        <v>-450000</v>
      </c>
      <c r="F75" s="577">
        <f>W19+W20</f>
        <v>-134000</v>
      </c>
      <c r="G75" s="732">
        <f>SUM(B75:F75)</f>
        <v>-1602000</v>
      </c>
      <c r="H75" s="744" t="s">
        <v>1477</v>
      </c>
    </row>
    <row r="76" spans="1:8" ht="21.75" customHeight="1" x14ac:dyDescent="0.25">
      <c r="A76" s="734" t="s">
        <v>1478</v>
      </c>
      <c r="B76" s="726">
        <f>B74+B75</f>
        <v>903200</v>
      </c>
      <c r="C76" s="726">
        <f>C74+C75</f>
        <v>736500</v>
      </c>
      <c r="D76" s="726">
        <f>D74+D75</f>
        <v>263080</v>
      </c>
      <c r="E76" s="726">
        <f>E74+E75</f>
        <v>1417000</v>
      </c>
      <c r="F76" s="726">
        <f>F74+F75</f>
        <v>204000</v>
      </c>
      <c r="G76" s="736">
        <f>SUM(B76:F76)</f>
        <v>3523780</v>
      </c>
      <c r="H76" s="744" t="s">
        <v>1479</v>
      </c>
    </row>
    <row r="77" spans="1:8" ht="15" customHeight="1" x14ac:dyDescent="0.25">
      <c r="A77" s="615"/>
      <c r="H77" s="744"/>
    </row>
    <row r="78" spans="1:8" ht="15" customHeight="1" x14ac:dyDescent="0.25">
      <c r="A78" s="615" t="s">
        <v>1480</v>
      </c>
      <c r="H78" s="744"/>
    </row>
    <row r="79" spans="1:8" ht="21.75" customHeight="1" x14ac:dyDescent="0.25">
      <c r="A79" s="610" t="s">
        <v>1481</v>
      </c>
      <c r="B79" s="577">
        <f t="shared" ref="B79:G79" si="18">IF(B72=0,0,-(B73+B75)/B72)</f>
        <v>2117073.1707317075</v>
      </c>
      <c r="C79" s="577">
        <f t="shared" si="18"/>
        <v>1282978.7234042555</v>
      </c>
      <c r="D79" s="577">
        <f t="shared" si="18"/>
        <v>1138587.5520490904</v>
      </c>
      <c r="E79" s="577">
        <f t="shared" si="18"/>
        <v>1053030.303030303</v>
      </c>
      <c r="F79" s="577">
        <f t="shared" si="18"/>
        <v>525000</v>
      </c>
      <c r="G79" s="732">
        <f t="shared" si="18"/>
        <v>5897144.2302591139</v>
      </c>
      <c r="H79" s="744" t="s">
        <v>1482</v>
      </c>
    </row>
    <row r="80" spans="1:8" ht="15" customHeight="1" x14ac:dyDescent="0.25">
      <c r="A80" s="611" t="s">
        <v>1483</v>
      </c>
      <c r="B80" s="579">
        <f t="shared" ref="B80:G80" si="19">IF(B69=0,0,B79/B69*365)</f>
        <v>178.87308039747066</v>
      </c>
      <c r="C80" s="579">
        <f t="shared" si="19"/>
        <v>164.31131019036957</v>
      </c>
      <c r="D80" s="579">
        <f t="shared" si="19"/>
        <v>233.47441376287529</v>
      </c>
      <c r="E80" s="579">
        <f t="shared" si="19"/>
        <v>120.11126893939392</v>
      </c>
      <c r="F80" s="579">
        <f t="shared" si="19"/>
        <v>201.71052631578948</v>
      </c>
      <c r="G80" s="732">
        <f t="shared" si="19"/>
        <v>164.30974382019667</v>
      </c>
      <c r="H80" s="744" t="s">
        <v>1484</v>
      </c>
    </row>
    <row r="81" spans="1:11" ht="15" customHeight="1" x14ac:dyDescent="0.25">
      <c r="A81" s="610" t="s">
        <v>1485</v>
      </c>
      <c r="B81" s="577">
        <f t="shared" ref="B81:G81" si="20">B69-B79</f>
        <v>2202926.8292682925</v>
      </c>
      <c r="C81" s="577">
        <f t="shared" si="20"/>
        <v>1567021.2765957445</v>
      </c>
      <c r="D81" s="577">
        <f t="shared" si="20"/>
        <v>641412.44795090961</v>
      </c>
      <c r="E81" s="577">
        <f t="shared" si="20"/>
        <v>2146969.6969696973</v>
      </c>
      <c r="F81" s="577">
        <f t="shared" si="20"/>
        <v>425000</v>
      </c>
      <c r="G81" s="732">
        <f t="shared" si="20"/>
        <v>7202855.7697408861</v>
      </c>
      <c r="H81" s="744" t="s">
        <v>1486</v>
      </c>
    </row>
    <row r="82" spans="1:11" ht="21.75" customHeight="1" x14ac:dyDescent="0.25">
      <c r="A82" s="611" t="s">
        <v>1487</v>
      </c>
      <c r="B82" s="714">
        <f t="shared" ref="B82:G82" si="21">IF(B69=0,0,B81/B69)</f>
        <v>0.50993676603432703</v>
      </c>
      <c r="C82" s="714">
        <f t="shared" si="21"/>
        <v>0.54983202687569988</v>
      </c>
      <c r="D82" s="714">
        <f t="shared" si="21"/>
        <v>0.36034407188253348</v>
      </c>
      <c r="E82" s="714">
        <f t="shared" si="21"/>
        <v>0.67092803030303039</v>
      </c>
      <c r="F82" s="714">
        <f t="shared" si="21"/>
        <v>0.44736842105263158</v>
      </c>
      <c r="G82" s="746">
        <f t="shared" si="21"/>
        <v>0.54983631830083102</v>
      </c>
      <c r="H82" s="744" t="s">
        <v>1488</v>
      </c>
    </row>
    <row r="83" spans="1:11" ht="21.75" customHeight="1" x14ac:dyDescent="0.25">
      <c r="A83" s="610" t="s">
        <v>1489</v>
      </c>
      <c r="B83" s="776">
        <f t="shared" ref="B83:G83" si="22">IF(B76=0,0,B71/B76)</f>
        <v>1.9610274579273694</v>
      </c>
      <c r="C83" s="776">
        <f t="shared" si="22"/>
        <v>1.8187372708757636</v>
      </c>
      <c r="D83" s="776">
        <f t="shared" si="22"/>
        <v>2.7751254371293901</v>
      </c>
      <c r="E83" s="776">
        <f t="shared" si="22"/>
        <v>1.4904728299223713</v>
      </c>
      <c r="F83" s="776">
        <f t="shared" si="22"/>
        <v>2.2352941176470589</v>
      </c>
      <c r="G83" s="777">
        <f t="shared" si="22"/>
        <v>1.8187230757879322</v>
      </c>
      <c r="H83" s="744" t="s">
        <v>1490</v>
      </c>
    </row>
    <row r="85" spans="1:11" ht="15" customHeight="1" x14ac:dyDescent="0.25">
      <c r="A85" s="1192" t="s">
        <v>1491</v>
      </c>
      <c r="B85" s="1192"/>
      <c r="C85" s="1192"/>
      <c r="D85" s="1192"/>
      <c r="E85" s="1192"/>
      <c r="F85" s="1192"/>
      <c r="G85" s="1192"/>
      <c r="H85" s="1192"/>
      <c r="I85" s="1192"/>
      <c r="J85" s="1192"/>
      <c r="K85" s="1192"/>
    </row>
    <row r="86" spans="1:11" ht="23.25" customHeight="1" x14ac:dyDescent="0.25">
      <c r="A86" s="709" t="s">
        <v>1492</v>
      </c>
      <c r="B86" s="709" t="s">
        <v>1493</v>
      </c>
      <c r="C86" s="709" t="s">
        <v>1494</v>
      </c>
      <c r="D86" s="709" t="s">
        <v>1495</v>
      </c>
      <c r="E86" s="709" t="s">
        <v>1496</v>
      </c>
      <c r="F86" s="709" t="s">
        <v>1406</v>
      </c>
      <c r="G86" s="709" t="s">
        <v>1407</v>
      </c>
      <c r="H86" s="709" t="s">
        <v>1408</v>
      </c>
      <c r="I86" s="709" t="s">
        <v>1409</v>
      </c>
      <c r="J86" s="709" t="s">
        <v>1410</v>
      </c>
      <c r="K86" s="709" t="s">
        <v>1497</v>
      </c>
    </row>
    <row r="87" spans="1:11" ht="15" customHeight="1" x14ac:dyDescent="0.25">
      <c r="A87" s="747" t="s">
        <v>1498</v>
      </c>
      <c r="B87" s="747" t="s">
        <v>1499</v>
      </c>
      <c r="C87" s="748">
        <f>SUM(F87:J87)</f>
        <v>2500</v>
      </c>
      <c r="D87" s="748">
        <v>375000</v>
      </c>
      <c r="E87" s="748">
        <f>IF(C87=0,0,D87/C87)</f>
        <v>150</v>
      </c>
      <c r="F87" s="748">
        <v>800</v>
      </c>
      <c r="G87" s="748">
        <v>600</v>
      </c>
      <c r="H87" s="748">
        <v>400</v>
      </c>
      <c r="I87" s="748">
        <v>500</v>
      </c>
      <c r="J87" s="748">
        <v>200</v>
      </c>
      <c r="K87" s="748">
        <v>2500</v>
      </c>
    </row>
    <row r="88" spans="1:11" ht="15" customHeight="1" x14ac:dyDescent="0.25">
      <c r="A88" s="576" t="s">
        <v>1500</v>
      </c>
      <c r="B88" s="576" t="s">
        <v>1501</v>
      </c>
      <c r="C88" s="577">
        <f>SUM(F88:J88)</f>
        <v>45000</v>
      </c>
      <c r="D88" s="577">
        <v>2250000</v>
      </c>
      <c r="E88" s="577">
        <f>IF(C88=0,0,D88/C88)</f>
        <v>50</v>
      </c>
      <c r="F88" s="577">
        <v>15000</v>
      </c>
      <c r="G88" s="577">
        <v>10000</v>
      </c>
      <c r="H88" s="577">
        <v>8000</v>
      </c>
      <c r="I88" s="577">
        <v>9000</v>
      </c>
      <c r="J88" s="577">
        <v>3000</v>
      </c>
      <c r="K88" s="577">
        <v>45000</v>
      </c>
    </row>
    <row r="89" spans="1:11" ht="15" customHeight="1" x14ac:dyDescent="0.25">
      <c r="A89" s="747" t="s">
        <v>1502</v>
      </c>
      <c r="B89" s="747" t="s">
        <v>1503</v>
      </c>
      <c r="C89" s="748">
        <f>SUM(F89:J89)</f>
        <v>1200</v>
      </c>
      <c r="D89" s="748">
        <v>180000</v>
      </c>
      <c r="E89" s="748">
        <f>IF(C89=0,0,D89/C89)</f>
        <v>150</v>
      </c>
      <c r="F89" s="748">
        <v>400</v>
      </c>
      <c r="G89" s="748">
        <v>300</v>
      </c>
      <c r="H89" s="748">
        <v>200</v>
      </c>
      <c r="I89" s="748">
        <v>200</v>
      </c>
      <c r="J89" s="748">
        <v>100</v>
      </c>
      <c r="K89" s="748">
        <v>1200</v>
      </c>
    </row>
    <row r="90" spans="1:11" ht="15" customHeight="1" x14ac:dyDescent="0.25">
      <c r="A90" s="576" t="s">
        <v>1504</v>
      </c>
      <c r="B90" s="576" t="s">
        <v>1505</v>
      </c>
      <c r="C90" s="577">
        <f>SUM(F90:J90)</f>
        <v>8000</v>
      </c>
      <c r="D90" s="577">
        <v>640000</v>
      </c>
      <c r="E90" s="577">
        <f>IF(C90=0,0,D90/C90)</f>
        <v>80</v>
      </c>
      <c r="F90" s="577">
        <v>2500</v>
      </c>
      <c r="G90" s="577">
        <v>1800</v>
      </c>
      <c r="H90" s="577">
        <v>1500</v>
      </c>
      <c r="I90" s="577">
        <v>1800</v>
      </c>
      <c r="J90" s="577">
        <v>400</v>
      </c>
      <c r="K90" s="577">
        <v>8000</v>
      </c>
    </row>
    <row r="91" spans="1:11" ht="15" customHeight="1" x14ac:dyDescent="0.25">
      <c r="A91" s="747" t="s">
        <v>1506</v>
      </c>
      <c r="B91" s="747" t="s">
        <v>1507</v>
      </c>
      <c r="C91" s="748">
        <f>SUM(F91:J91)</f>
        <v>3000</v>
      </c>
      <c r="D91" s="748">
        <v>450000</v>
      </c>
      <c r="E91" s="748">
        <f>IF(C91=0,0,D91/C91)</f>
        <v>150</v>
      </c>
      <c r="F91" s="748">
        <v>1000</v>
      </c>
      <c r="G91" s="748">
        <v>700</v>
      </c>
      <c r="H91" s="748">
        <v>500</v>
      </c>
      <c r="I91" s="748">
        <v>600</v>
      </c>
      <c r="J91" s="748">
        <v>200</v>
      </c>
      <c r="K91" s="748">
        <v>3000</v>
      </c>
    </row>
    <row r="92" spans="1:11" ht="15" customHeight="1" x14ac:dyDescent="0.25">
      <c r="A92" s="749" t="s">
        <v>1508</v>
      </c>
      <c r="F92" s="736">
        <f>SUMPRODUCT(F87:F91,$E$87:$E$91)</f>
        <v>1280000</v>
      </c>
      <c r="G92" s="736">
        <f>SUMPRODUCT(G87:G91,$E$87:$E$91)</f>
        <v>884000</v>
      </c>
      <c r="H92" s="736">
        <f>SUMPRODUCT(H87:H91,$E$87:$E$91)</f>
        <v>685000</v>
      </c>
      <c r="I92" s="736">
        <f>SUMPRODUCT(I87:I91,$E$87:$E$91)</f>
        <v>789000</v>
      </c>
      <c r="J92" s="736">
        <f>SUMPRODUCT(J87:J91,$E$87:$E$91)</f>
        <v>257000</v>
      </c>
      <c r="K92" s="736">
        <v>3895000</v>
      </c>
    </row>
    <row r="94" spans="1:11" ht="15" customHeight="1" x14ac:dyDescent="0.25">
      <c r="A94" s="1193" t="s">
        <v>1509</v>
      </c>
      <c r="B94" s="1193"/>
      <c r="C94" s="1193"/>
      <c r="D94" s="1193"/>
      <c r="E94" s="1193"/>
      <c r="F94" s="1193"/>
      <c r="G94" s="1193"/>
      <c r="H94" s="1193"/>
      <c r="I94" s="1193"/>
      <c r="J94" s="1193"/>
      <c r="K94" s="1193"/>
    </row>
    <row r="95" spans="1:11" ht="15" customHeight="1" x14ac:dyDescent="0.25">
      <c r="A95" s="704" t="s">
        <v>1510</v>
      </c>
      <c r="B95" s="704"/>
      <c r="C95" s="704"/>
      <c r="D95" s="704"/>
      <c r="E95" s="704"/>
      <c r="F95" s="704" t="s">
        <v>1406</v>
      </c>
      <c r="G95" s="704" t="s">
        <v>1407</v>
      </c>
      <c r="H95" s="704" t="s">
        <v>1408</v>
      </c>
      <c r="I95" s="704" t="s">
        <v>1409</v>
      </c>
      <c r="J95" s="704" t="s">
        <v>1410</v>
      </c>
      <c r="K95" s="704" t="s">
        <v>415</v>
      </c>
    </row>
    <row r="96" spans="1:11" ht="15" customHeight="1" x14ac:dyDescent="0.25">
      <c r="A96" s="1182" t="s">
        <v>1511</v>
      </c>
      <c r="B96" s="1182"/>
      <c r="C96" s="1182"/>
      <c r="D96" s="1182"/>
      <c r="E96" s="1182"/>
      <c r="F96" s="750">
        <f>SUM($D$87:$D$91)*B57/G57</f>
        <v>1284458.0152671756</v>
      </c>
      <c r="G96" s="750">
        <f>SUM($D$87:$D$91)*C57/G57</f>
        <v>847385.49618320609</v>
      </c>
      <c r="H96" s="750">
        <f>SUM($D$87:$D$91)*D57/G57</f>
        <v>529244.27480916027</v>
      </c>
      <c r="I96" s="750">
        <f>SUM($D$87:$D$91)*E57/G57</f>
        <v>951450.38167938928</v>
      </c>
      <c r="J96" s="750">
        <f>SUM($D$87:$D$91)*F57/G57</f>
        <v>282461.83206106868</v>
      </c>
      <c r="K96" s="741">
        <v>3894999</v>
      </c>
    </row>
    <row r="97" spans="1:11" ht="15" customHeight="1" x14ac:dyDescent="0.25">
      <c r="A97" s="1182" t="s">
        <v>1512</v>
      </c>
      <c r="B97" s="1182"/>
      <c r="C97" s="1182"/>
      <c r="D97" s="1182"/>
      <c r="E97" s="1182"/>
      <c r="F97" s="750">
        <f>F92</f>
        <v>1280000</v>
      </c>
      <c r="G97" s="750">
        <f>G92</f>
        <v>884000</v>
      </c>
      <c r="H97" s="750">
        <f>H92</f>
        <v>685000</v>
      </c>
      <c r="I97" s="750">
        <f>I92</f>
        <v>789000</v>
      </c>
      <c r="J97" s="750">
        <f>J92</f>
        <v>257000</v>
      </c>
      <c r="K97" s="741">
        <v>3895000</v>
      </c>
    </row>
    <row r="98" spans="1:11" ht="15" customHeight="1" x14ac:dyDescent="0.25">
      <c r="A98" s="1181" t="s">
        <v>1513</v>
      </c>
      <c r="B98" s="1181"/>
      <c r="C98" s="1181"/>
      <c r="D98" s="1181"/>
      <c r="E98" s="1181"/>
      <c r="F98" s="751">
        <f>F96-F97</f>
        <v>4458.0152671756223</v>
      </c>
      <c r="G98" s="752">
        <f>G96-G97</f>
        <v>-36614.503816793906</v>
      </c>
      <c r="H98" s="752">
        <f>H96-H97</f>
        <v>-155755.72519083973</v>
      </c>
      <c r="I98" s="751">
        <f>I96-I97</f>
        <v>162450.38167938928</v>
      </c>
      <c r="J98" s="751">
        <f>J96-J97</f>
        <v>25461.832061068679</v>
      </c>
      <c r="K98" s="741">
        <v>-1</v>
      </c>
    </row>
    <row r="99" spans="1:11" ht="15" customHeight="1" x14ac:dyDescent="0.25">
      <c r="A99" s="1182" t="s">
        <v>1514</v>
      </c>
      <c r="B99" s="1182"/>
      <c r="C99" s="1182"/>
      <c r="D99" s="1182"/>
      <c r="E99" s="1182"/>
      <c r="F99" s="712" t="str">
        <f>IF(F98&gt;0,"Sous-estime FC",IF(F98&lt;0,"Sur-estime FC","Neutre"))</f>
        <v>Sous-estime FC</v>
      </c>
      <c r="G99" s="711" t="str">
        <f>IF(G98&gt;0,"Sous-estime FC",IF(G98&lt;0,"Sur-estime FC","Neutre"))</f>
        <v>Sur-estime FC</v>
      </c>
      <c r="H99" s="711" t="str">
        <f>IF(H98&gt;0,"Sous-estime FC",IF(H98&lt;0,"Sur-estime FC","Neutre"))</f>
        <v>Sur-estime FC</v>
      </c>
      <c r="I99" s="712" t="str">
        <f>IF(I98&gt;0,"Sous-estime FC",IF(I98&lt;0,"Sur-estime FC","Neutre"))</f>
        <v>Sous-estime FC</v>
      </c>
      <c r="J99" s="712" t="str">
        <f>IF(J98&gt;0,"Sous-estime FC",IF(J98&lt;0,"Sur-estime FC","Neutre"))</f>
        <v>Sous-estime FC</v>
      </c>
    </row>
    <row r="102" spans="1:11" ht="27.75" customHeight="1" x14ac:dyDescent="0.3">
      <c r="A102" s="1183" t="s">
        <v>1515</v>
      </c>
      <c r="B102" s="1183"/>
      <c r="C102" s="1183"/>
      <c r="D102" s="1183"/>
      <c r="E102" s="1183"/>
      <c r="F102" s="1183"/>
      <c r="G102" s="1183"/>
      <c r="H102" s="1183"/>
    </row>
    <row r="103" spans="1:11" ht="15" customHeight="1" x14ac:dyDescent="0.25">
      <c r="A103" s="704" t="s">
        <v>1516</v>
      </c>
      <c r="B103" s="704" t="s">
        <v>773</v>
      </c>
      <c r="C103" s="704" t="s">
        <v>1406</v>
      </c>
      <c r="D103" s="704" t="s">
        <v>1407</v>
      </c>
      <c r="E103" s="704" t="s">
        <v>1408</v>
      </c>
      <c r="F103" s="704" t="s">
        <v>1409</v>
      </c>
      <c r="G103" s="704" t="s">
        <v>1410</v>
      </c>
      <c r="H103" s="704" t="s">
        <v>1182</v>
      </c>
    </row>
    <row r="104" spans="1:11" ht="21.75" customHeight="1" x14ac:dyDescent="0.25">
      <c r="A104" s="610" t="s">
        <v>1517</v>
      </c>
      <c r="B104" s="729" t="s">
        <v>1518</v>
      </c>
      <c r="C104" s="577">
        <v>50823.529411764699</v>
      </c>
      <c r="D104" s="577">
        <v>51818.181818181802</v>
      </c>
      <c r="E104" s="577">
        <v>44500</v>
      </c>
      <c r="F104" s="577">
        <v>53333.333333333299</v>
      </c>
      <c r="G104" s="577">
        <v>38000</v>
      </c>
      <c r="H104" s="624" t="s">
        <v>1519</v>
      </c>
    </row>
    <row r="105" spans="1:11" ht="21.75" customHeight="1" x14ac:dyDescent="0.25">
      <c r="A105" s="611" t="s">
        <v>1520</v>
      </c>
      <c r="B105" s="733" t="s">
        <v>1521</v>
      </c>
      <c r="C105" s="714">
        <f>IF(B10=0,0,C10/B10)</f>
        <v>0.96</v>
      </c>
      <c r="D105" s="714">
        <f>IF(G10=0,0,H10/G10)</f>
        <v>1.0178571428571428</v>
      </c>
      <c r="E105" s="714">
        <f>IF(L10=0,0,M10/L10)</f>
        <v>0.93684210526315792</v>
      </c>
      <c r="F105" s="714">
        <f>IF(Q10=0,0,R10/Q10)</f>
        <v>1.032258064516129</v>
      </c>
      <c r="G105" s="714">
        <f>IF(V10=0,0,W10/V10)</f>
        <v>0.95</v>
      </c>
      <c r="H105" s="624" t="s">
        <v>1522</v>
      </c>
    </row>
    <row r="106" spans="1:11" ht="32.25" customHeight="1" x14ac:dyDescent="0.25">
      <c r="A106" s="613" t="s">
        <v>1523</v>
      </c>
      <c r="B106" s="729" t="s">
        <v>1524</v>
      </c>
      <c r="C106" s="753">
        <v>0.28225</v>
      </c>
      <c r="D106" s="753">
        <v>0.35071428571428598</v>
      </c>
      <c r="E106" s="753">
        <v>0.175386666666667</v>
      </c>
      <c r="F106" s="753">
        <v>0.50607142857142895</v>
      </c>
      <c r="G106" s="753">
        <v>0.255</v>
      </c>
      <c r="H106" s="624" t="s">
        <v>1525</v>
      </c>
    </row>
    <row r="107" spans="1:11" ht="32.25" customHeight="1" x14ac:dyDescent="0.25">
      <c r="A107" s="734" t="s">
        <v>1526</v>
      </c>
      <c r="B107" s="735" t="s">
        <v>1527</v>
      </c>
      <c r="C107" s="751">
        <v>631200</v>
      </c>
      <c r="D107" s="751">
        <v>558000</v>
      </c>
      <c r="E107" s="751">
        <v>135580</v>
      </c>
      <c r="F107" s="751">
        <v>1179000</v>
      </c>
      <c r="G107" s="751">
        <v>136000</v>
      </c>
      <c r="H107" s="624" t="s">
        <v>285</v>
      </c>
    </row>
    <row r="108" spans="1:11" ht="63.75" customHeight="1" x14ac:dyDescent="0.25">
      <c r="A108" s="755" t="s">
        <v>1556</v>
      </c>
      <c r="B108" s="729" t="s">
        <v>1528</v>
      </c>
      <c r="C108" s="710">
        <v>0.74596113322406898</v>
      </c>
      <c r="D108" s="710">
        <v>0.71469127040454195</v>
      </c>
      <c r="E108" s="710">
        <v>0.692139334968225</v>
      </c>
      <c r="F108" s="710">
        <v>0.61020751542344398</v>
      </c>
      <c r="G108" s="710">
        <v>0.66219839142091197</v>
      </c>
      <c r="H108" s="624" t="s">
        <v>1529</v>
      </c>
    </row>
    <row r="109" spans="1:11" ht="15" customHeight="1" x14ac:dyDescent="0.25">
      <c r="A109" s="756" t="s">
        <v>1557</v>
      </c>
      <c r="B109" s="758" t="s">
        <v>1406</v>
      </c>
      <c r="C109" s="757" t="s">
        <v>1407</v>
      </c>
      <c r="D109" s="757" t="s">
        <v>1408</v>
      </c>
      <c r="E109" s="757" t="s">
        <v>1409</v>
      </c>
      <c r="F109" s="757" t="s">
        <v>1410</v>
      </c>
      <c r="G109" s="757" t="s">
        <v>415</v>
      </c>
      <c r="H109" s="756" t="s">
        <v>94</v>
      </c>
    </row>
    <row r="110" spans="1:11" ht="21.75" customHeight="1" x14ac:dyDescent="0.25">
      <c r="A110" s="760" t="s">
        <v>1558</v>
      </c>
      <c r="B110" s="761">
        <f>C30-D10</f>
        <v>0</v>
      </c>
      <c r="C110" s="762">
        <f>D30-I10</f>
        <v>0</v>
      </c>
      <c r="D110" s="762">
        <f>E30-N10</f>
        <v>0</v>
      </c>
      <c r="E110" s="762">
        <f>F30-S10</f>
        <v>0</v>
      </c>
      <c r="F110" s="762">
        <f>G30-X10</f>
        <v>0</v>
      </c>
      <c r="G110" s="762">
        <f>SUM(B110:F110)</f>
        <v>0</v>
      </c>
      <c r="H110" s="771" t="str">
        <f>IF(G110=0,"✅ OK","🚨 ÉCART")</f>
        <v>✅ OK</v>
      </c>
    </row>
    <row r="111" spans="1:11" x14ac:dyDescent="0.25">
      <c r="A111" s="672" t="s">
        <v>1559</v>
      </c>
      <c r="B111" s="763">
        <f>B61-B76</f>
        <v>0</v>
      </c>
      <c r="C111" s="763">
        <f>C61-C76</f>
        <v>0</v>
      </c>
      <c r="D111" s="763">
        <f>D61-D76</f>
        <v>0</v>
      </c>
      <c r="E111" s="763">
        <f>E61-E76</f>
        <v>0</v>
      </c>
      <c r="F111" s="763">
        <f>F61-F76</f>
        <v>0</v>
      </c>
      <c r="G111" s="764">
        <f>SUM(B111:F111)</f>
        <v>0</v>
      </c>
      <c r="H111" s="772" t="str">
        <f>IF(G111=0,"✅ OK","🚨 ÉCART")</f>
        <v>✅ OK</v>
      </c>
    </row>
    <row r="112" spans="1:11" x14ac:dyDescent="0.25">
      <c r="A112" s="765" t="s">
        <v>1560</v>
      </c>
      <c r="B112" s="766">
        <f>G63</f>
        <v>1</v>
      </c>
      <c r="C112" s="766" t="s">
        <v>386</v>
      </c>
      <c r="D112" s="766" t="s">
        <v>386</v>
      </c>
      <c r="E112" s="766" t="s">
        <v>386</v>
      </c>
      <c r="F112" s="766" t="s">
        <v>386</v>
      </c>
      <c r="G112" s="766">
        <f>B112</f>
        <v>1</v>
      </c>
      <c r="H112" s="773" t="str">
        <f>IF(ABS(G112-1)&lt;0.0001,"✅ OK","🚨 ÉCART")</f>
        <v>✅ OK</v>
      </c>
    </row>
    <row r="113" spans="1:31" ht="27.75" customHeight="1" x14ac:dyDescent="0.25">
      <c r="A113" s="1184" t="s">
        <v>1561</v>
      </c>
      <c r="B113" s="1185"/>
      <c r="C113" s="1185"/>
      <c r="D113" s="1185"/>
      <c r="E113" s="1185"/>
      <c r="F113" s="1185"/>
      <c r="G113" s="1185"/>
      <c r="H113" s="1186"/>
    </row>
    <row r="114" spans="1:31" ht="23.25" customHeight="1" x14ac:dyDescent="0.25">
      <c r="A114" s="767" t="s">
        <v>1562</v>
      </c>
      <c r="B114" s="768">
        <f>C30-C31</f>
        <v>0</v>
      </c>
      <c r="C114" s="768">
        <f>D30-D31</f>
        <v>0</v>
      </c>
      <c r="D114" s="768">
        <f>E30-E31</f>
        <v>0</v>
      </c>
      <c r="E114" s="768">
        <f>F30-F31</f>
        <v>0</v>
      </c>
      <c r="F114" s="768">
        <f>G30-G31</f>
        <v>0</v>
      </c>
      <c r="G114" s="766">
        <f>SUM(B114:F114)</f>
        <v>0</v>
      </c>
      <c r="H114" s="773" t="str">
        <f>IF(G114=0,"✅ OK","🚨 ÉCART")</f>
        <v>✅ OK</v>
      </c>
    </row>
    <row r="115" spans="1:31" ht="32.25" customHeight="1" x14ac:dyDescent="0.25">
      <c r="A115" s="576" t="s">
        <v>1563</v>
      </c>
      <c r="B115" s="769">
        <f>C16-B71</f>
        <v>0</v>
      </c>
      <c r="C115" s="769">
        <f>H16-C71</f>
        <v>0</v>
      </c>
      <c r="D115" s="769">
        <f>M16-D71</f>
        <v>0</v>
      </c>
      <c r="E115" s="759">
        <f>R16-E71</f>
        <v>0</v>
      </c>
      <c r="F115" s="770">
        <f>W16-F71</f>
        <v>0</v>
      </c>
      <c r="G115" s="764">
        <f>SUM(B115:F115)</f>
        <v>0</v>
      </c>
      <c r="H115" s="772" t="str">
        <f>IF(G115=0,"✅ OK","🚨 ÉCART")</f>
        <v>✅ OK</v>
      </c>
    </row>
    <row r="116" spans="1:31" ht="23.25" customHeight="1" x14ac:dyDescent="0.25">
      <c r="A116" s="575" t="s">
        <v>1530</v>
      </c>
      <c r="B116" s="575" t="s">
        <v>1531</v>
      </c>
      <c r="C116" s="575" t="s">
        <v>636</v>
      </c>
      <c r="D116" s="575" t="s">
        <v>1532</v>
      </c>
      <c r="E116" s="635" t="s">
        <v>1533</v>
      </c>
      <c r="F116" s="631" t="s">
        <v>1281</v>
      </c>
    </row>
    <row r="117" spans="1:31" ht="15" customHeight="1" x14ac:dyDescent="0.25">
      <c r="A117" s="774" t="s">
        <v>1564</v>
      </c>
      <c r="B117" s="576" t="s">
        <v>1534</v>
      </c>
      <c r="C117" s="576" t="s">
        <v>1285</v>
      </c>
      <c r="D117" s="576" t="s">
        <v>1286</v>
      </c>
      <c r="E117" s="754" t="s">
        <v>1535</v>
      </c>
      <c r="F117" s="631" t="s">
        <v>1281</v>
      </c>
      <c r="H117" s="775" t="str">
        <f>IF(COUNTIF(H110:H115,"🚨*")&gt;0,"🚨 "&amp;COUNTIF(H110:H115,"🚨*")&amp;" ÉCART(S)","✅ TOUS COHÉRENTS")</f>
        <v>✅ TOUS COHÉRENTS</v>
      </c>
    </row>
    <row r="118" spans="1:31" ht="23.25" customHeight="1" x14ac:dyDescent="0.25">
      <c r="A118" s="575" t="s">
        <v>1536</v>
      </c>
      <c r="B118" s="575" t="s">
        <v>1537</v>
      </c>
      <c r="C118" s="575" t="s">
        <v>1289</v>
      </c>
      <c r="D118" s="575" t="s">
        <v>1538</v>
      </c>
      <c r="E118" s="635" t="s">
        <v>1539</v>
      </c>
      <c r="F118" s="631" t="s">
        <v>1281</v>
      </c>
    </row>
    <row r="119" spans="1:31" ht="23.25" customHeight="1" x14ac:dyDescent="0.25">
      <c r="A119" s="576" t="s">
        <v>1540</v>
      </c>
      <c r="B119" s="576" t="s">
        <v>1541</v>
      </c>
      <c r="C119" s="576" t="s">
        <v>1291</v>
      </c>
      <c r="D119" s="576" t="s">
        <v>1542</v>
      </c>
      <c r="E119" s="754" t="s">
        <v>1543</v>
      </c>
      <c r="F119" s="631" t="s">
        <v>1281</v>
      </c>
    </row>
    <row r="120" spans="1:31" ht="23.25" customHeight="1" x14ac:dyDescent="0.25">
      <c r="A120" s="575" t="s">
        <v>1544</v>
      </c>
      <c r="B120" s="575" t="s">
        <v>1545</v>
      </c>
      <c r="C120" s="575" t="s">
        <v>1546</v>
      </c>
      <c r="D120" s="575" t="s">
        <v>1547</v>
      </c>
      <c r="E120" s="635" t="s">
        <v>1548</v>
      </c>
      <c r="F120" s="631" t="s">
        <v>1281</v>
      </c>
    </row>
    <row r="121" spans="1:31" ht="32.25" customHeight="1" x14ac:dyDescent="0.25">
      <c r="A121" s="576" t="s">
        <v>1549</v>
      </c>
      <c r="B121" s="576" t="s">
        <v>1550</v>
      </c>
      <c r="C121" s="576" t="s">
        <v>1551</v>
      </c>
      <c r="D121" s="576" t="s">
        <v>1552</v>
      </c>
      <c r="E121" s="754" t="s">
        <v>1553</v>
      </c>
      <c r="F121" s="631" t="s">
        <v>1554</v>
      </c>
    </row>
    <row r="123" spans="1:31" ht="15" customHeight="1" x14ac:dyDescent="0.25">
      <c r="A123" s="1187" t="s">
        <v>1555</v>
      </c>
      <c r="B123" s="1187"/>
      <c r="C123" s="1187"/>
      <c r="D123" s="1187"/>
      <c r="E123" s="1187"/>
      <c r="F123" s="1187"/>
      <c r="G123" s="1187"/>
      <c r="H123" s="1187"/>
      <c r="I123" s="1187"/>
      <c r="J123" s="1187"/>
      <c r="K123" s="1187"/>
      <c r="L123" s="1187"/>
      <c r="M123" s="1187"/>
      <c r="N123" s="1187"/>
      <c r="O123" s="1187"/>
      <c r="P123" s="1187"/>
      <c r="Q123" s="1187"/>
      <c r="R123" s="1187"/>
      <c r="S123" s="1187"/>
      <c r="T123" s="1187"/>
      <c r="U123" s="1187"/>
      <c r="V123" s="1187"/>
      <c r="W123" s="1187"/>
      <c r="X123" s="1187"/>
      <c r="Y123" s="1187"/>
      <c r="Z123" s="1187"/>
      <c r="AA123" s="1187"/>
      <c r="AB123" s="1187"/>
      <c r="AC123" s="1187"/>
      <c r="AD123" s="1187"/>
      <c r="AE123" s="1187"/>
    </row>
    <row r="126" spans="1:31" ht="18.75" x14ac:dyDescent="0.3">
      <c r="A126" s="1175" t="s">
        <v>1751</v>
      </c>
      <c r="B126" s="1176"/>
      <c r="C126" s="1176"/>
      <c r="D126" s="1176"/>
      <c r="E126" s="1176"/>
      <c r="F126" s="1176"/>
      <c r="G126" s="1176"/>
      <c r="H126" s="1176"/>
      <c r="I126" s="1176"/>
      <c r="J126" s="1176"/>
      <c r="K126" s="1176"/>
      <c r="L126" s="1176"/>
      <c r="M126" s="1176"/>
      <c r="N126" s="1176"/>
    </row>
    <row r="128" spans="1:31" x14ac:dyDescent="0.25">
      <c r="A128" s="1089" t="s">
        <v>1752</v>
      </c>
      <c r="B128" s="1090"/>
      <c r="C128" s="1090"/>
      <c r="D128" s="1090"/>
      <c r="E128" s="1090"/>
      <c r="F128" s="1090"/>
      <c r="G128" s="1090"/>
      <c r="H128" s="1090"/>
      <c r="I128" s="1090"/>
      <c r="J128" s="1090"/>
      <c r="K128" s="1090"/>
      <c r="L128" s="1090"/>
      <c r="M128" s="1090"/>
      <c r="N128" s="1090"/>
      <c r="O128" s="1090"/>
      <c r="P128" s="1090"/>
      <c r="Q128" s="1090"/>
      <c r="R128" s="1090"/>
      <c r="S128" s="1090"/>
      <c r="T128" s="1090"/>
      <c r="U128" s="1090"/>
      <c r="V128" s="1090"/>
      <c r="W128" s="1090"/>
      <c r="X128" s="1090"/>
      <c r="Y128" s="1090"/>
      <c r="Z128" s="1090"/>
      <c r="AA128" s="1090"/>
      <c r="AB128" s="1090"/>
      <c r="AC128" s="1090"/>
      <c r="AD128" s="1090"/>
    </row>
    <row r="129" spans="1:30" x14ac:dyDescent="0.25">
      <c r="A129" s="1092"/>
      <c r="B129" s="1177" t="s">
        <v>1753</v>
      </c>
      <c r="C129" s="1177"/>
      <c r="D129" s="1177"/>
      <c r="E129" s="1177"/>
      <c r="F129" s="1177"/>
      <c r="G129" s="1178" t="s">
        <v>1754</v>
      </c>
      <c r="H129" s="1178"/>
      <c r="I129" s="1178"/>
      <c r="J129" s="1178"/>
      <c r="K129" s="1178"/>
      <c r="L129" s="1179" t="s">
        <v>1755</v>
      </c>
      <c r="M129" s="1179"/>
      <c r="N129" s="1179"/>
      <c r="O129" s="1179"/>
      <c r="P129" s="1179"/>
      <c r="Q129" s="1180" t="s">
        <v>1756</v>
      </c>
      <c r="R129" s="1180"/>
      <c r="S129" s="1180"/>
      <c r="T129" s="1180"/>
      <c r="U129" s="1180"/>
      <c r="V129" s="1172" t="s">
        <v>1757</v>
      </c>
      <c r="W129" s="1172"/>
      <c r="X129" s="1172"/>
      <c r="Y129" s="1172"/>
      <c r="Z129" s="1172"/>
      <c r="AA129" s="1173" t="s">
        <v>1758</v>
      </c>
      <c r="AB129" s="1173"/>
      <c r="AC129" s="1173"/>
      <c r="AD129" s="1174"/>
    </row>
    <row r="130" spans="1:30" x14ac:dyDescent="0.25">
      <c r="A130" s="1093" t="s">
        <v>1759</v>
      </c>
      <c r="B130" s="1094" t="s">
        <v>551</v>
      </c>
      <c r="C130" s="1094" t="s">
        <v>552</v>
      </c>
      <c r="D130" s="1094" t="s">
        <v>1760</v>
      </c>
      <c r="E130" s="1094" t="s">
        <v>261</v>
      </c>
      <c r="F130" s="1094" t="s">
        <v>383</v>
      </c>
      <c r="G130" s="1095" t="s">
        <v>551</v>
      </c>
      <c r="H130" s="1095" t="s">
        <v>552</v>
      </c>
      <c r="I130" s="1095" t="s">
        <v>1760</v>
      </c>
      <c r="J130" s="1095" t="s">
        <v>261</v>
      </c>
      <c r="K130" s="1095" t="s">
        <v>383</v>
      </c>
      <c r="L130" s="1096" t="s">
        <v>551</v>
      </c>
      <c r="M130" s="1096" t="s">
        <v>552</v>
      </c>
      <c r="N130" s="1096" t="s">
        <v>1760</v>
      </c>
      <c r="O130" s="1096" t="s">
        <v>261</v>
      </c>
      <c r="P130" s="1096" t="s">
        <v>383</v>
      </c>
      <c r="Q130" s="1097" t="s">
        <v>551</v>
      </c>
      <c r="R130" s="1097" t="s">
        <v>552</v>
      </c>
      <c r="S130" s="1097" t="s">
        <v>1760</v>
      </c>
      <c r="T130" s="1097" t="s">
        <v>261</v>
      </c>
      <c r="U130" s="1097" t="s">
        <v>383</v>
      </c>
      <c r="V130" s="1098" t="s">
        <v>551</v>
      </c>
      <c r="W130" s="1098" t="s">
        <v>552</v>
      </c>
      <c r="X130" s="1098" t="s">
        <v>1760</v>
      </c>
      <c r="Y130" s="1098" t="s">
        <v>261</v>
      </c>
      <c r="Z130" s="1098" t="s">
        <v>383</v>
      </c>
      <c r="AA130" s="1099" t="s">
        <v>551</v>
      </c>
      <c r="AB130" s="1099" t="s">
        <v>552</v>
      </c>
      <c r="AC130" s="1099" t="s">
        <v>1760</v>
      </c>
      <c r="AD130" s="1100" t="s">
        <v>261</v>
      </c>
    </row>
    <row r="131" spans="1:30" x14ac:dyDescent="0.25">
      <c r="A131" s="1101" t="s">
        <v>1761</v>
      </c>
      <c r="B131" s="1111">
        <v>384000</v>
      </c>
      <c r="C131" s="1111">
        <v>392000</v>
      </c>
      <c r="D131" s="1113">
        <f t="shared" ref="D131:D140" si="23">C131-B131</f>
        <v>8000</v>
      </c>
      <c r="E131" s="1113">
        <f t="shared" ref="E131:E140" si="24">IF(B131=0,0,D131/B131)</f>
        <v>2.0833333333333332E-2</v>
      </c>
      <c r="F131" s="1114" t="str">
        <f t="shared" ref="F131:F140" si="25">IF(D131=0,"—",IF(D131&gt;0,"Défav.","Fav."))</f>
        <v>Défav.</v>
      </c>
      <c r="G131" s="1111">
        <v>576000</v>
      </c>
      <c r="H131" s="1111">
        <v>562000</v>
      </c>
      <c r="I131" s="1113">
        <f t="shared" ref="I131:I140" si="26">H131-G131</f>
        <v>-14000</v>
      </c>
      <c r="J131" s="1113">
        <f t="shared" ref="J131:J140" si="27">IF(G131=0,0,I131/G131)</f>
        <v>-2.4305555555555556E-2</v>
      </c>
      <c r="K131" s="1114" t="str">
        <f t="shared" ref="K131:K140" si="28">IF(I131=0,"—",IF(I131&gt;0,"Défav.","Fav."))</f>
        <v>Fav.</v>
      </c>
      <c r="L131" s="1111">
        <v>336000</v>
      </c>
      <c r="M131" s="1111">
        <v>348000</v>
      </c>
      <c r="N131" s="1113">
        <f t="shared" ref="N131:N140" si="29">M131-L131</f>
        <v>12000</v>
      </c>
      <c r="O131" s="1113">
        <f t="shared" ref="O131:O140" si="30">IF(L131=0,0,N131/L131)</f>
        <v>3.5714285714285712E-2</v>
      </c>
      <c r="P131" s="1114" t="str">
        <f t="shared" ref="P131:P140" si="31">IF(N131=0,"—",IF(N131&gt;0,"Défav.","Fav."))</f>
        <v>Défav.</v>
      </c>
      <c r="Q131" s="1111">
        <v>330000</v>
      </c>
      <c r="R131" s="1111">
        <v>345000</v>
      </c>
      <c r="S131" s="1113">
        <f t="shared" ref="S131:S140" si="32">R131-Q131</f>
        <v>15000</v>
      </c>
      <c r="T131" s="1113">
        <f t="shared" ref="T131:T140" si="33">IF(Q131=0,0,S131/Q131)</f>
        <v>4.5454545454545456E-2</v>
      </c>
      <c r="U131" s="1114" t="str">
        <f t="shared" ref="U131:U140" si="34">IF(S131=0,"—",IF(S131&gt;0,"Défav.","Fav."))</f>
        <v>Défav.</v>
      </c>
      <c r="V131" s="1111">
        <v>580000</v>
      </c>
      <c r="W131" s="1111">
        <v>595000</v>
      </c>
      <c r="X131" s="1113">
        <f t="shared" ref="X131:X140" si="35">W131-V131</f>
        <v>15000</v>
      </c>
      <c r="Y131" s="1113">
        <f t="shared" ref="Y131:Y140" si="36">IF(V131=0,0,X131/V131)</f>
        <v>2.5862068965517241E-2</v>
      </c>
      <c r="Z131" s="1114" t="str">
        <f t="shared" ref="Z131:Z140" si="37">IF(X131=0,"—",IF(X131&gt;0,"Défav.","Fav."))</f>
        <v>Défav.</v>
      </c>
      <c r="AA131" s="1112">
        <f t="shared" ref="AA131:AA140" si="38">B131+G131+L131+Q131+V131</f>
        <v>2206000</v>
      </c>
      <c r="AB131" s="1112">
        <f t="shared" ref="AB131:AB140" si="39">C131+H131+M131+R131+W131</f>
        <v>2242000</v>
      </c>
      <c r="AC131" s="1112">
        <f t="shared" ref="AC131:AC140" si="40">AB131-AA131</f>
        <v>36000</v>
      </c>
      <c r="AD131" s="1115">
        <f t="shared" ref="AD131:AD140" si="41">IF(AA131=0,0,AC131/AA131)</f>
        <v>1.6319129646418858E-2</v>
      </c>
    </row>
    <row r="132" spans="1:30" x14ac:dyDescent="0.25">
      <c r="A132" s="1103" t="s">
        <v>1762</v>
      </c>
      <c r="B132" s="1116">
        <v>120000</v>
      </c>
      <c r="C132" s="1116">
        <v>135000</v>
      </c>
      <c r="D132" s="1118">
        <f t="shared" si="23"/>
        <v>15000</v>
      </c>
      <c r="E132" s="1118">
        <f t="shared" si="24"/>
        <v>0.125</v>
      </c>
      <c r="F132" s="1119" t="str">
        <f t="shared" si="25"/>
        <v>Défav.</v>
      </c>
      <c r="G132" s="1116">
        <v>85000</v>
      </c>
      <c r="H132" s="1116">
        <v>78000</v>
      </c>
      <c r="I132" s="1118">
        <f t="shared" si="26"/>
        <v>-7000</v>
      </c>
      <c r="J132" s="1118">
        <f t="shared" si="27"/>
        <v>-8.2352941176470587E-2</v>
      </c>
      <c r="K132" s="1119" t="str">
        <f t="shared" si="28"/>
        <v>Fav.</v>
      </c>
      <c r="L132" s="1116">
        <v>45000</v>
      </c>
      <c r="M132" s="1116">
        <v>52000</v>
      </c>
      <c r="N132" s="1118">
        <f t="shared" si="29"/>
        <v>7000</v>
      </c>
      <c r="O132" s="1118">
        <f t="shared" si="30"/>
        <v>0.15555555555555556</v>
      </c>
      <c r="P132" s="1119" t="str">
        <f t="shared" si="31"/>
        <v>Défav.</v>
      </c>
      <c r="Q132" s="1116">
        <v>180000</v>
      </c>
      <c r="R132" s="1116">
        <v>210000</v>
      </c>
      <c r="S132" s="1118">
        <f t="shared" si="32"/>
        <v>30000</v>
      </c>
      <c r="T132" s="1118">
        <f t="shared" si="33"/>
        <v>0.16666666666666666</v>
      </c>
      <c r="U132" s="1119" t="str">
        <f t="shared" si="34"/>
        <v>Défav.</v>
      </c>
      <c r="V132" s="1116">
        <v>65000</v>
      </c>
      <c r="W132" s="1116">
        <v>58000</v>
      </c>
      <c r="X132" s="1118">
        <f t="shared" si="35"/>
        <v>-7000</v>
      </c>
      <c r="Y132" s="1118">
        <f t="shared" si="36"/>
        <v>-0.1076923076923077</v>
      </c>
      <c r="Z132" s="1119" t="str">
        <f t="shared" si="37"/>
        <v>Fav.</v>
      </c>
      <c r="AA132" s="1117">
        <f t="shared" si="38"/>
        <v>495000</v>
      </c>
      <c r="AB132" s="1117">
        <f t="shared" si="39"/>
        <v>533000</v>
      </c>
      <c r="AC132" s="1117">
        <f t="shared" si="40"/>
        <v>38000</v>
      </c>
      <c r="AD132" s="1120">
        <f t="shared" si="41"/>
        <v>7.6767676767676762E-2</v>
      </c>
    </row>
    <row r="133" spans="1:30" x14ac:dyDescent="0.25">
      <c r="A133" s="1101" t="s">
        <v>1763</v>
      </c>
      <c r="B133" s="1111">
        <v>42000</v>
      </c>
      <c r="C133" s="1111">
        <v>48000</v>
      </c>
      <c r="D133" s="1113">
        <f t="shared" si="23"/>
        <v>6000</v>
      </c>
      <c r="E133" s="1113">
        <f t="shared" si="24"/>
        <v>0.14285714285714285</v>
      </c>
      <c r="F133" s="1114" t="str">
        <f t="shared" si="25"/>
        <v>Défav.</v>
      </c>
      <c r="G133" s="1111">
        <v>68000</v>
      </c>
      <c r="H133" s="1111">
        <v>72000</v>
      </c>
      <c r="I133" s="1113">
        <f t="shared" si="26"/>
        <v>4000</v>
      </c>
      <c r="J133" s="1113">
        <f t="shared" si="27"/>
        <v>5.8823529411764705E-2</v>
      </c>
      <c r="K133" s="1114" t="str">
        <f t="shared" si="28"/>
        <v>Défav.</v>
      </c>
      <c r="L133" s="1111">
        <v>35000</v>
      </c>
      <c r="M133" s="1111">
        <v>33000</v>
      </c>
      <c r="N133" s="1113">
        <f t="shared" si="29"/>
        <v>-2000</v>
      </c>
      <c r="O133" s="1113">
        <f t="shared" si="30"/>
        <v>-5.7142857142857141E-2</v>
      </c>
      <c r="P133" s="1114" t="str">
        <f t="shared" si="31"/>
        <v>Fav.</v>
      </c>
      <c r="Q133" s="1111">
        <v>245000</v>
      </c>
      <c r="R133" s="1111">
        <v>268000</v>
      </c>
      <c r="S133" s="1113">
        <f t="shared" si="32"/>
        <v>23000</v>
      </c>
      <c r="T133" s="1113">
        <f t="shared" si="33"/>
        <v>9.3877551020408165E-2</v>
      </c>
      <c r="U133" s="1114" t="str">
        <f t="shared" si="34"/>
        <v>Défav.</v>
      </c>
      <c r="V133" s="1111">
        <v>28000</v>
      </c>
      <c r="W133" s="1111">
        <v>30000</v>
      </c>
      <c r="X133" s="1113">
        <f t="shared" si="35"/>
        <v>2000</v>
      </c>
      <c r="Y133" s="1113">
        <f t="shared" si="36"/>
        <v>7.1428571428571425E-2</v>
      </c>
      <c r="Z133" s="1114" t="str">
        <f t="shared" si="37"/>
        <v>Défav.</v>
      </c>
      <c r="AA133" s="1112">
        <f t="shared" si="38"/>
        <v>418000</v>
      </c>
      <c r="AB133" s="1112">
        <f t="shared" si="39"/>
        <v>451000</v>
      </c>
      <c r="AC133" s="1112">
        <f t="shared" si="40"/>
        <v>33000</v>
      </c>
      <c r="AD133" s="1115">
        <f t="shared" si="41"/>
        <v>7.8947368421052627E-2</v>
      </c>
    </row>
    <row r="134" spans="1:30" x14ac:dyDescent="0.25">
      <c r="A134" s="1103" t="s">
        <v>1764</v>
      </c>
      <c r="B134" s="1116">
        <v>15000</v>
      </c>
      <c r="C134" s="1116">
        <v>11000</v>
      </c>
      <c r="D134" s="1118">
        <f t="shared" si="23"/>
        <v>-4000</v>
      </c>
      <c r="E134" s="1118">
        <f t="shared" si="24"/>
        <v>-0.26666666666666666</v>
      </c>
      <c r="F134" s="1119" t="str">
        <f t="shared" si="25"/>
        <v>Fav.</v>
      </c>
      <c r="G134" s="1116">
        <v>18000</v>
      </c>
      <c r="H134" s="1116">
        <v>15000</v>
      </c>
      <c r="I134" s="1118">
        <f t="shared" si="26"/>
        <v>-3000</v>
      </c>
      <c r="J134" s="1118">
        <f t="shared" si="27"/>
        <v>-0.16666666666666666</v>
      </c>
      <c r="K134" s="1119" t="str">
        <f t="shared" si="28"/>
        <v>Fav.</v>
      </c>
      <c r="L134" s="1116">
        <v>52000</v>
      </c>
      <c r="M134" s="1116">
        <v>48000</v>
      </c>
      <c r="N134" s="1118">
        <f t="shared" si="29"/>
        <v>-4000</v>
      </c>
      <c r="O134" s="1118">
        <f t="shared" si="30"/>
        <v>-7.6923076923076927E-2</v>
      </c>
      <c r="P134" s="1119" t="str">
        <f t="shared" si="31"/>
        <v>Fav.</v>
      </c>
      <c r="Q134" s="1116">
        <v>25000</v>
      </c>
      <c r="R134" s="1116">
        <v>32000</v>
      </c>
      <c r="S134" s="1118">
        <f t="shared" si="32"/>
        <v>7000</v>
      </c>
      <c r="T134" s="1118">
        <f t="shared" si="33"/>
        <v>0.28000000000000003</v>
      </c>
      <c r="U134" s="1119" t="str">
        <f t="shared" si="34"/>
        <v>Défav.</v>
      </c>
      <c r="V134" s="1116">
        <v>12000</v>
      </c>
      <c r="W134" s="1116">
        <v>8000</v>
      </c>
      <c r="X134" s="1118">
        <f t="shared" si="35"/>
        <v>-4000</v>
      </c>
      <c r="Y134" s="1118">
        <f t="shared" si="36"/>
        <v>-0.33333333333333331</v>
      </c>
      <c r="Z134" s="1119" t="str">
        <f t="shared" si="37"/>
        <v>Fav.</v>
      </c>
      <c r="AA134" s="1117">
        <f t="shared" si="38"/>
        <v>122000</v>
      </c>
      <c r="AB134" s="1117">
        <f t="shared" si="39"/>
        <v>114000</v>
      </c>
      <c r="AC134" s="1117">
        <f t="shared" si="40"/>
        <v>-8000</v>
      </c>
      <c r="AD134" s="1120">
        <f t="shared" si="41"/>
        <v>-6.5573770491803282E-2</v>
      </c>
    </row>
    <row r="135" spans="1:30" x14ac:dyDescent="0.25">
      <c r="A135" s="1101" t="s">
        <v>1765</v>
      </c>
      <c r="B135" s="1111">
        <v>65000</v>
      </c>
      <c r="C135" s="1111">
        <v>78000</v>
      </c>
      <c r="D135" s="1113">
        <f t="shared" si="23"/>
        <v>13000</v>
      </c>
      <c r="E135" s="1113">
        <f t="shared" si="24"/>
        <v>0.2</v>
      </c>
      <c r="F135" s="1114" t="str">
        <f t="shared" si="25"/>
        <v>Défav.</v>
      </c>
      <c r="G135" s="1111">
        <v>12000</v>
      </c>
      <c r="H135" s="1111">
        <v>14000</v>
      </c>
      <c r="I135" s="1113">
        <f t="shared" si="26"/>
        <v>2000</v>
      </c>
      <c r="J135" s="1113">
        <f t="shared" si="27"/>
        <v>0.16666666666666666</v>
      </c>
      <c r="K135" s="1114" t="str">
        <f t="shared" si="28"/>
        <v>Défav.</v>
      </c>
      <c r="L135" s="1111">
        <v>8000</v>
      </c>
      <c r="M135" s="1111">
        <v>6500</v>
      </c>
      <c r="N135" s="1113">
        <f t="shared" si="29"/>
        <v>-1500</v>
      </c>
      <c r="O135" s="1113">
        <f t="shared" si="30"/>
        <v>-0.1875</v>
      </c>
      <c r="P135" s="1114" t="str">
        <f t="shared" si="31"/>
        <v>Fav.</v>
      </c>
      <c r="Q135" s="1111">
        <v>10000</v>
      </c>
      <c r="R135" s="1111">
        <v>8000</v>
      </c>
      <c r="S135" s="1113">
        <f t="shared" si="32"/>
        <v>-2000</v>
      </c>
      <c r="T135" s="1113">
        <f t="shared" si="33"/>
        <v>-0.2</v>
      </c>
      <c r="U135" s="1114" t="str">
        <f t="shared" si="34"/>
        <v>Fav.</v>
      </c>
      <c r="V135" s="1111">
        <v>45000</v>
      </c>
      <c r="W135" s="1111">
        <v>52000</v>
      </c>
      <c r="X135" s="1113">
        <f t="shared" si="35"/>
        <v>7000</v>
      </c>
      <c r="Y135" s="1113">
        <f t="shared" si="36"/>
        <v>0.15555555555555556</v>
      </c>
      <c r="Z135" s="1114" t="str">
        <f t="shared" si="37"/>
        <v>Défav.</v>
      </c>
      <c r="AA135" s="1112">
        <f t="shared" si="38"/>
        <v>140000</v>
      </c>
      <c r="AB135" s="1112">
        <f t="shared" si="39"/>
        <v>158500</v>
      </c>
      <c r="AC135" s="1112">
        <f t="shared" si="40"/>
        <v>18500</v>
      </c>
      <c r="AD135" s="1115">
        <f t="shared" si="41"/>
        <v>0.13214285714285715</v>
      </c>
    </row>
    <row r="136" spans="1:30" x14ac:dyDescent="0.25">
      <c r="A136" s="1103" t="s">
        <v>1766</v>
      </c>
      <c r="B136" s="1116">
        <v>18000</v>
      </c>
      <c r="C136" s="1116">
        <v>21000</v>
      </c>
      <c r="D136" s="1118">
        <f t="shared" si="23"/>
        <v>3000</v>
      </c>
      <c r="E136" s="1118">
        <f t="shared" si="24"/>
        <v>0.16666666666666666</v>
      </c>
      <c r="F136" s="1119" t="str">
        <f t="shared" si="25"/>
        <v>Défav.</v>
      </c>
      <c r="G136" s="1116">
        <v>8000</v>
      </c>
      <c r="H136" s="1116">
        <v>9500</v>
      </c>
      <c r="I136" s="1118">
        <f t="shared" si="26"/>
        <v>1500</v>
      </c>
      <c r="J136" s="1118">
        <f t="shared" si="27"/>
        <v>0.1875</v>
      </c>
      <c r="K136" s="1119" t="str">
        <f t="shared" si="28"/>
        <v>Défav.</v>
      </c>
      <c r="L136" s="1116">
        <v>5000</v>
      </c>
      <c r="M136" s="1116">
        <v>4200</v>
      </c>
      <c r="N136" s="1118">
        <f t="shared" si="29"/>
        <v>-800</v>
      </c>
      <c r="O136" s="1118">
        <f t="shared" si="30"/>
        <v>-0.16</v>
      </c>
      <c r="P136" s="1119" t="str">
        <f t="shared" si="31"/>
        <v>Fav.</v>
      </c>
      <c r="Q136" s="1116">
        <v>12000</v>
      </c>
      <c r="R136" s="1116">
        <v>14500</v>
      </c>
      <c r="S136" s="1118">
        <f t="shared" si="32"/>
        <v>2500</v>
      </c>
      <c r="T136" s="1118">
        <f t="shared" si="33"/>
        <v>0.20833333333333334</v>
      </c>
      <c r="U136" s="1119" t="str">
        <f t="shared" si="34"/>
        <v>Défav.</v>
      </c>
      <c r="V136" s="1116">
        <v>15000</v>
      </c>
      <c r="W136" s="1116">
        <v>17000</v>
      </c>
      <c r="X136" s="1118">
        <f t="shared" si="35"/>
        <v>2000</v>
      </c>
      <c r="Y136" s="1118">
        <f t="shared" si="36"/>
        <v>0.13333333333333333</v>
      </c>
      <c r="Z136" s="1119" t="str">
        <f t="shared" si="37"/>
        <v>Défav.</v>
      </c>
      <c r="AA136" s="1117">
        <f t="shared" si="38"/>
        <v>58000</v>
      </c>
      <c r="AB136" s="1117">
        <f t="shared" si="39"/>
        <v>66200</v>
      </c>
      <c r="AC136" s="1117">
        <f t="shared" si="40"/>
        <v>8200</v>
      </c>
      <c r="AD136" s="1120">
        <f t="shared" si="41"/>
        <v>0.14137931034482759</v>
      </c>
    </row>
    <row r="137" spans="1:30" x14ac:dyDescent="0.25">
      <c r="A137" s="1101" t="s">
        <v>1767</v>
      </c>
      <c r="B137" s="1111">
        <v>24000</v>
      </c>
      <c r="C137" s="1111">
        <v>24000</v>
      </c>
      <c r="D137" s="1113">
        <f t="shared" si="23"/>
        <v>0</v>
      </c>
      <c r="E137" s="1113">
        <f t="shared" si="24"/>
        <v>0</v>
      </c>
      <c r="F137" s="1114" t="str">
        <f t="shared" si="25"/>
        <v>—</v>
      </c>
      <c r="G137" s="1111">
        <v>24000</v>
      </c>
      <c r="H137" s="1111">
        <v>24000</v>
      </c>
      <c r="I137" s="1113">
        <f t="shared" si="26"/>
        <v>0</v>
      </c>
      <c r="J137" s="1113">
        <f t="shared" si="27"/>
        <v>0</v>
      </c>
      <c r="K137" s="1114" t="str">
        <f t="shared" si="28"/>
        <v>—</v>
      </c>
      <c r="L137" s="1111">
        <v>18000</v>
      </c>
      <c r="M137" s="1111">
        <v>18000</v>
      </c>
      <c r="N137" s="1113">
        <f t="shared" si="29"/>
        <v>0</v>
      </c>
      <c r="O137" s="1113">
        <f t="shared" si="30"/>
        <v>0</v>
      </c>
      <c r="P137" s="1114" t="str">
        <f t="shared" si="31"/>
        <v>—</v>
      </c>
      <c r="Q137" s="1111">
        <v>30000</v>
      </c>
      <c r="R137" s="1111">
        <v>30000</v>
      </c>
      <c r="S137" s="1113">
        <f t="shared" si="32"/>
        <v>0</v>
      </c>
      <c r="T137" s="1113">
        <f t="shared" si="33"/>
        <v>0</v>
      </c>
      <c r="U137" s="1114" t="str">
        <f t="shared" si="34"/>
        <v>—</v>
      </c>
      <c r="V137" s="1111">
        <v>36000</v>
      </c>
      <c r="W137" s="1111">
        <v>36000</v>
      </c>
      <c r="X137" s="1113">
        <f t="shared" si="35"/>
        <v>0</v>
      </c>
      <c r="Y137" s="1113">
        <f t="shared" si="36"/>
        <v>0</v>
      </c>
      <c r="Z137" s="1114" t="str">
        <f t="shared" si="37"/>
        <v>—</v>
      </c>
      <c r="AA137" s="1112">
        <f t="shared" si="38"/>
        <v>132000</v>
      </c>
      <c r="AB137" s="1112">
        <f t="shared" si="39"/>
        <v>132000</v>
      </c>
      <c r="AC137" s="1112">
        <f t="shared" si="40"/>
        <v>0</v>
      </c>
      <c r="AD137" s="1115">
        <f t="shared" si="41"/>
        <v>0</v>
      </c>
    </row>
    <row r="138" spans="1:30" x14ac:dyDescent="0.25">
      <c r="A138" s="1103" t="s">
        <v>1768</v>
      </c>
      <c r="B138" s="1116">
        <v>95000</v>
      </c>
      <c r="C138" s="1116">
        <v>112000</v>
      </c>
      <c r="D138" s="1118">
        <f t="shared" si="23"/>
        <v>17000</v>
      </c>
      <c r="E138" s="1118">
        <f t="shared" si="24"/>
        <v>0.17894736842105263</v>
      </c>
      <c r="F138" s="1119" t="str">
        <f t="shared" si="25"/>
        <v>Défav.</v>
      </c>
      <c r="G138" s="1116">
        <v>5000</v>
      </c>
      <c r="H138" s="1116">
        <v>4000</v>
      </c>
      <c r="I138" s="1118">
        <f t="shared" si="26"/>
        <v>-1000</v>
      </c>
      <c r="J138" s="1118">
        <f t="shared" si="27"/>
        <v>-0.2</v>
      </c>
      <c r="K138" s="1119" t="str">
        <f t="shared" si="28"/>
        <v>Fav.</v>
      </c>
      <c r="L138" s="1116">
        <v>22000</v>
      </c>
      <c r="M138" s="1116">
        <v>25000</v>
      </c>
      <c r="N138" s="1118">
        <f t="shared" si="29"/>
        <v>3000</v>
      </c>
      <c r="O138" s="1118">
        <f t="shared" si="30"/>
        <v>0.13636363636363635</v>
      </c>
      <c r="P138" s="1119" t="str">
        <f t="shared" si="31"/>
        <v>Défav.</v>
      </c>
      <c r="Q138" s="1116">
        <v>3000</v>
      </c>
      <c r="R138" s="1116">
        <v>2500</v>
      </c>
      <c r="S138" s="1118">
        <f t="shared" si="32"/>
        <v>-500</v>
      </c>
      <c r="T138" s="1118">
        <f t="shared" si="33"/>
        <v>-0.16666666666666666</v>
      </c>
      <c r="U138" s="1119" t="str">
        <f t="shared" si="34"/>
        <v>Fav.</v>
      </c>
      <c r="V138" s="1116">
        <v>35000</v>
      </c>
      <c r="W138" s="1116">
        <v>42000</v>
      </c>
      <c r="X138" s="1118">
        <f t="shared" si="35"/>
        <v>7000</v>
      </c>
      <c r="Y138" s="1118">
        <f t="shared" si="36"/>
        <v>0.2</v>
      </c>
      <c r="Z138" s="1119" t="str">
        <f t="shared" si="37"/>
        <v>Défav.</v>
      </c>
      <c r="AA138" s="1117">
        <f t="shared" si="38"/>
        <v>160000</v>
      </c>
      <c r="AB138" s="1117">
        <f t="shared" si="39"/>
        <v>185500</v>
      </c>
      <c r="AC138" s="1117">
        <f t="shared" si="40"/>
        <v>25500</v>
      </c>
      <c r="AD138" s="1120">
        <f t="shared" si="41"/>
        <v>0.15937499999999999</v>
      </c>
    </row>
    <row r="139" spans="1:30" x14ac:dyDescent="0.25">
      <c r="A139" s="1101" t="s">
        <v>1769</v>
      </c>
      <c r="B139" s="1111">
        <v>25000</v>
      </c>
      <c r="C139" s="1111">
        <v>22000</v>
      </c>
      <c r="D139" s="1113">
        <f t="shared" si="23"/>
        <v>-3000</v>
      </c>
      <c r="E139" s="1113">
        <f t="shared" si="24"/>
        <v>-0.12</v>
      </c>
      <c r="F139" s="1114" t="str">
        <f t="shared" si="25"/>
        <v>Fav.</v>
      </c>
      <c r="G139" s="1111">
        <v>45000</v>
      </c>
      <c r="H139" s="1111">
        <v>52000</v>
      </c>
      <c r="I139" s="1113">
        <f t="shared" si="26"/>
        <v>7000</v>
      </c>
      <c r="J139" s="1113">
        <f t="shared" si="27"/>
        <v>0.15555555555555556</v>
      </c>
      <c r="K139" s="1114" t="str">
        <f t="shared" si="28"/>
        <v>Défav.</v>
      </c>
      <c r="L139" s="1111">
        <v>30000</v>
      </c>
      <c r="M139" s="1111">
        <v>28000</v>
      </c>
      <c r="N139" s="1113">
        <f t="shared" si="29"/>
        <v>-2000</v>
      </c>
      <c r="O139" s="1113">
        <f t="shared" si="30"/>
        <v>-6.6666666666666666E-2</v>
      </c>
      <c r="P139" s="1114" t="str">
        <f t="shared" si="31"/>
        <v>Fav.</v>
      </c>
      <c r="Q139" s="1111">
        <v>15000</v>
      </c>
      <c r="R139" s="1111">
        <v>18000</v>
      </c>
      <c r="S139" s="1113">
        <f t="shared" si="32"/>
        <v>3000</v>
      </c>
      <c r="T139" s="1113">
        <f t="shared" si="33"/>
        <v>0.2</v>
      </c>
      <c r="U139" s="1114" t="str">
        <f t="shared" si="34"/>
        <v>Défav.</v>
      </c>
      <c r="V139" s="1111">
        <v>55000</v>
      </c>
      <c r="W139" s="1111">
        <v>48000</v>
      </c>
      <c r="X139" s="1113">
        <f t="shared" si="35"/>
        <v>-7000</v>
      </c>
      <c r="Y139" s="1113">
        <f t="shared" si="36"/>
        <v>-0.12727272727272726</v>
      </c>
      <c r="Z139" s="1114" t="str">
        <f t="shared" si="37"/>
        <v>Fav.</v>
      </c>
      <c r="AA139" s="1112">
        <f t="shared" si="38"/>
        <v>170000</v>
      </c>
      <c r="AB139" s="1112">
        <f t="shared" si="39"/>
        <v>168000</v>
      </c>
      <c r="AC139" s="1112">
        <f t="shared" si="40"/>
        <v>-2000</v>
      </c>
      <c r="AD139" s="1115">
        <f t="shared" si="41"/>
        <v>-1.1764705882352941E-2</v>
      </c>
    </row>
    <row r="140" spans="1:30" x14ac:dyDescent="0.25">
      <c r="A140" s="1103" t="s">
        <v>1770</v>
      </c>
      <c r="B140" s="1116">
        <v>12000</v>
      </c>
      <c r="C140" s="1116">
        <v>12000</v>
      </c>
      <c r="D140" s="1118">
        <f t="shared" si="23"/>
        <v>0</v>
      </c>
      <c r="E140" s="1118">
        <f t="shared" si="24"/>
        <v>0</v>
      </c>
      <c r="F140" s="1119" t="str">
        <f t="shared" si="25"/>
        <v>—</v>
      </c>
      <c r="G140" s="1116">
        <v>8000</v>
      </c>
      <c r="H140" s="1116">
        <v>8000</v>
      </c>
      <c r="I140" s="1118">
        <f t="shared" si="26"/>
        <v>0</v>
      </c>
      <c r="J140" s="1118">
        <f t="shared" si="27"/>
        <v>0</v>
      </c>
      <c r="K140" s="1119" t="str">
        <f t="shared" si="28"/>
        <v>—</v>
      </c>
      <c r="L140" s="1116">
        <v>5000</v>
      </c>
      <c r="M140" s="1116">
        <v>5000</v>
      </c>
      <c r="N140" s="1118">
        <f t="shared" si="29"/>
        <v>0</v>
      </c>
      <c r="O140" s="1118">
        <f t="shared" si="30"/>
        <v>0</v>
      </c>
      <c r="P140" s="1119" t="str">
        <f t="shared" si="31"/>
        <v>—</v>
      </c>
      <c r="Q140" s="1116">
        <v>85000</v>
      </c>
      <c r="R140" s="1116">
        <v>85000</v>
      </c>
      <c r="S140" s="1118">
        <f t="shared" si="32"/>
        <v>0</v>
      </c>
      <c r="T140" s="1118">
        <f t="shared" si="33"/>
        <v>0</v>
      </c>
      <c r="U140" s="1119" t="str">
        <f t="shared" si="34"/>
        <v>—</v>
      </c>
      <c r="V140" s="1116">
        <v>10000</v>
      </c>
      <c r="W140" s="1116">
        <v>10000</v>
      </c>
      <c r="X140" s="1118">
        <f t="shared" si="35"/>
        <v>0</v>
      </c>
      <c r="Y140" s="1118">
        <f t="shared" si="36"/>
        <v>0</v>
      </c>
      <c r="Z140" s="1119" t="str">
        <f t="shared" si="37"/>
        <v>—</v>
      </c>
      <c r="AA140" s="1117">
        <f t="shared" si="38"/>
        <v>120000</v>
      </c>
      <c r="AB140" s="1117">
        <f t="shared" si="39"/>
        <v>120000</v>
      </c>
      <c r="AC140" s="1117">
        <f t="shared" si="40"/>
        <v>0</v>
      </c>
      <c r="AD140" s="1120">
        <f t="shared" si="41"/>
        <v>0</v>
      </c>
    </row>
    <row r="141" spans="1:30" x14ac:dyDescent="0.25">
      <c r="A141" s="1105"/>
      <c r="B141" s="738"/>
      <c r="C141" s="738"/>
      <c r="D141" s="738"/>
      <c r="E141" s="738"/>
      <c r="F141" s="738"/>
      <c r="G141" s="738"/>
      <c r="H141" s="738"/>
      <c r="I141" s="738"/>
      <c r="J141" s="738"/>
      <c r="K141" s="738"/>
      <c r="L141" s="738"/>
      <c r="M141" s="738"/>
      <c r="N141" s="738"/>
      <c r="O141" s="738"/>
      <c r="P141" s="738"/>
      <c r="Q141" s="738"/>
      <c r="R141" s="738"/>
      <c r="S141" s="738"/>
      <c r="T141" s="738"/>
      <c r="U141" s="738"/>
      <c r="V141" s="738"/>
      <c r="W141" s="738"/>
      <c r="X141" s="738"/>
      <c r="Y141" s="738"/>
      <c r="Z141" s="738"/>
      <c r="AA141" s="738"/>
      <c r="AB141" s="738"/>
      <c r="AC141" s="738"/>
      <c r="AD141" s="1106"/>
    </row>
    <row r="142" spans="1:30" x14ac:dyDescent="0.25">
      <c r="A142" s="1107" t="s">
        <v>1771</v>
      </c>
      <c r="B142" s="1121">
        <f>SUM(B131:B140)</f>
        <v>800000</v>
      </c>
      <c r="C142" s="1121">
        <f>SUM(C131:C140)</f>
        <v>855000</v>
      </c>
      <c r="D142" s="1121">
        <f>C142-B142</f>
        <v>55000</v>
      </c>
      <c r="E142" s="1121">
        <f>IF(B142=0,0,D142/B142)</f>
        <v>6.8750000000000006E-2</v>
      </c>
      <c r="F142" s="1122" t="str">
        <f>IF(D142=0,"—",IF(D142&gt;0,"Défav.","Fav."))</f>
        <v>Défav.</v>
      </c>
      <c r="G142" s="1123">
        <f>SUM(G131:G140)</f>
        <v>849000</v>
      </c>
      <c r="H142" s="1123">
        <f>SUM(H131:H140)</f>
        <v>838500</v>
      </c>
      <c r="I142" s="1123">
        <f>H142-G142</f>
        <v>-10500</v>
      </c>
      <c r="J142" s="1123">
        <f>IF(G142=0,0,I142/G142)</f>
        <v>-1.2367491166077738E-2</v>
      </c>
      <c r="K142" s="1124" t="str">
        <f>IF(I142=0,"—",IF(I142&gt;0,"Défav.","Fav."))</f>
        <v>Fav.</v>
      </c>
      <c r="L142" s="1125">
        <f>SUM(L131:L140)</f>
        <v>556000</v>
      </c>
      <c r="M142" s="1125">
        <f>SUM(M131:M140)</f>
        <v>567700</v>
      </c>
      <c r="N142" s="1125">
        <f>M142-L142</f>
        <v>11700</v>
      </c>
      <c r="O142" s="1125">
        <f>IF(L142=0,0,N142/L142)</f>
        <v>2.1043165467625899E-2</v>
      </c>
      <c r="P142" s="1126" t="str">
        <f>IF(N142=0,"—",IF(N142&gt;0,"Défav.","Fav."))</f>
        <v>Défav.</v>
      </c>
      <c r="Q142" s="1127">
        <f>SUM(Q131:Q140)</f>
        <v>935000</v>
      </c>
      <c r="R142" s="1127">
        <f>SUM(R131:R140)</f>
        <v>1013000</v>
      </c>
      <c r="S142" s="1127">
        <f>R142-Q142</f>
        <v>78000</v>
      </c>
      <c r="T142" s="1127">
        <f>IF(Q142=0,0,S142/Q142)</f>
        <v>8.3422459893048126E-2</v>
      </c>
      <c r="U142" s="1128" t="str">
        <f>IF(S142=0,"—",IF(S142&gt;0,"Défav.","Fav."))</f>
        <v>Défav.</v>
      </c>
      <c r="V142" s="1129">
        <f>SUM(V131:V140)</f>
        <v>881000</v>
      </c>
      <c r="W142" s="1129">
        <f>SUM(W131:W140)</f>
        <v>896000</v>
      </c>
      <c r="X142" s="1129">
        <f>W142-V142</f>
        <v>15000</v>
      </c>
      <c r="Y142" s="1129">
        <f>IF(V142=0,0,X142/V142)</f>
        <v>1.70261066969353E-2</v>
      </c>
      <c r="Z142" s="1130" t="str">
        <f>IF(X142=0,"—",IF(X142&gt;0,"Défav.","Fav."))</f>
        <v>Défav.</v>
      </c>
      <c r="AA142" s="1131">
        <f>SUM(AA131:AA140)</f>
        <v>4021000</v>
      </c>
      <c r="AB142" s="1131">
        <f>SUM(AB131:AB140)</f>
        <v>4170200</v>
      </c>
      <c r="AC142" s="1131">
        <f>AB142-AA142</f>
        <v>149200</v>
      </c>
      <c r="AD142" s="1132">
        <f>IF(AA142=0,0,AC142/AA142)</f>
        <v>3.7105197712011935E-2</v>
      </c>
    </row>
    <row r="143" spans="1:30" x14ac:dyDescent="0.25">
      <c r="A143" s="1108" t="s">
        <v>1772</v>
      </c>
      <c r="B143" s="1133">
        <f>IF(AA142=0,0,B142/AA142)</f>
        <v>0.19895548371051977</v>
      </c>
      <c r="C143" s="1133">
        <f>IF(AB142=0,0,C142/AB142)</f>
        <v>0.20502613783511583</v>
      </c>
      <c r="D143" s="1109"/>
      <c r="E143" s="1109"/>
      <c r="F143" s="1109"/>
      <c r="G143" s="1133">
        <f>IF(AA142=0,0,G142/AA142)</f>
        <v>0.21114150708778912</v>
      </c>
      <c r="H143" s="1133">
        <f>IF(AB142=0,0,H142/AB142)</f>
        <v>0.20106949306987673</v>
      </c>
      <c r="I143" s="1109"/>
      <c r="J143" s="1109"/>
      <c r="K143" s="1109"/>
      <c r="L143" s="1133">
        <f>IF(AA142=0,0,L142/AA142)</f>
        <v>0.13827406117881125</v>
      </c>
      <c r="M143" s="1133">
        <f>IF(AB142=0,0,M142/AB142)</f>
        <v>0.13613255958946813</v>
      </c>
      <c r="N143" s="1109"/>
      <c r="O143" s="1109"/>
      <c r="P143" s="1109"/>
      <c r="Q143" s="1133">
        <f>IF(AA142=0,0,Q142/AA142)</f>
        <v>0.23252922158666997</v>
      </c>
      <c r="R143" s="1133">
        <f>IF(AB142=0,0,R142/AB142)</f>
        <v>0.24291400892043546</v>
      </c>
      <c r="S143" s="1109"/>
      <c r="T143" s="1109"/>
      <c r="U143" s="1109"/>
      <c r="V143" s="1133">
        <f>IF(AA142=0,0,V142/AA142)</f>
        <v>0.2190997264362099</v>
      </c>
      <c r="W143" s="1133">
        <f>IF(AB142=0,0,W142/AB142)</f>
        <v>0.21485780058510384</v>
      </c>
      <c r="X143" s="1109"/>
      <c r="Y143" s="1109"/>
      <c r="Z143" s="1109"/>
      <c r="AA143" s="1109"/>
      <c r="AB143" s="1109"/>
      <c r="AC143" s="1109"/>
      <c r="AD143" s="1110"/>
    </row>
    <row r="146" spans="1:10" x14ac:dyDescent="0.25">
      <c r="A146" s="1089" t="s">
        <v>1773</v>
      </c>
      <c r="B146" s="1090"/>
      <c r="C146" s="1090"/>
      <c r="D146" s="1090"/>
      <c r="E146" s="1090"/>
      <c r="F146" s="1090"/>
      <c r="G146" s="1090"/>
      <c r="H146" s="1090"/>
      <c r="I146" s="1090"/>
      <c r="J146" s="1090"/>
    </row>
    <row r="147" spans="1:10" x14ac:dyDescent="0.25">
      <c r="A147" s="1134" t="s">
        <v>1774</v>
      </c>
      <c r="B147" s="1135" t="s">
        <v>1775</v>
      </c>
      <c r="C147" s="1135" t="s">
        <v>1776</v>
      </c>
      <c r="D147" s="1135" t="s">
        <v>1777</v>
      </c>
      <c r="E147" s="1135" t="s">
        <v>1778</v>
      </c>
      <c r="F147" s="1135" t="s">
        <v>261</v>
      </c>
      <c r="G147" s="1135" t="s">
        <v>383</v>
      </c>
      <c r="H147" s="1135" t="s">
        <v>1779</v>
      </c>
      <c r="I147" s="1135" t="s">
        <v>1780</v>
      </c>
      <c r="J147" s="1136" t="s">
        <v>1781</v>
      </c>
    </row>
    <row r="148" spans="1:10" x14ac:dyDescent="0.25">
      <c r="A148" s="1137" t="s">
        <v>1753</v>
      </c>
      <c r="B148" s="1138">
        <v>8</v>
      </c>
      <c r="C148" s="1113">
        <f>B142</f>
        <v>800000</v>
      </c>
      <c r="D148" s="1113">
        <f>C142</f>
        <v>855000</v>
      </c>
      <c r="E148" s="1113">
        <f t="shared" ref="E148:E153" si="42">D148-C148</f>
        <v>55000</v>
      </c>
      <c r="F148" s="1113">
        <f t="shared" ref="F148:F153" si="43">IF(C148=0,0,E148/C148)</f>
        <v>6.8750000000000006E-2</v>
      </c>
      <c r="G148" s="1114" t="str">
        <f t="shared" ref="G148:G153" si="44">IF(E148=0,"—",IF(E148&gt;0,"Défav.","Fav."))</f>
        <v>Défav.</v>
      </c>
      <c r="H148" s="1113">
        <f t="shared" ref="H148:H153" si="45">IF(B148=0,0,C148/B148)</f>
        <v>100000</v>
      </c>
      <c r="I148" s="1113">
        <f t="shared" ref="I148:I153" si="46">IF(B148=0,0,D148/B148)</f>
        <v>106875</v>
      </c>
      <c r="J148" s="1139">
        <f t="shared" ref="J148:J153" si="47">IF(C148=0,0,D148/C148)</f>
        <v>1.0687500000000001</v>
      </c>
    </row>
    <row r="149" spans="1:10" x14ac:dyDescent="0.25">
      <c r="A149" s="1140" t="s">
        <v>1754</v>
      </c>
      <c r="B149" s="1141">
        <v>12</v>
      </c>
      <c r="C149" s="1118">
        <f>G142</f>
        <v>849000</v>
      </c>
      <c r="D149" s="1118">
        <f>H142</f>
        <v>838500</v>
      </c>
      <c r="E149" s="1118">
        <f t="shared" si="42"/>
        <v>-10500</v>
      </c>
      <c r="F149" s="1118">
        <f t="shared" si="43"/>
        <v>-1.2367491166077738E-2</v>
      </c>
      <c r="G149" s="1119" t="str">
        <f t="shared" si="44"/>
        <v>Fav.</v>
      </c>
      <c r="H149" s="1118">
        <f t="shared" si="45"/>
        <v>70750</v>
      </c>
      <c r="I149" s="1118">
        <f t="shared" si="46"/>
        <v>69875</v>
      </c>
      <c r="J149" s="1142">
        <f t="shared" si="47"/>
        <v>0.98763250883392228</v>
      </c>
    </row>
    <row r="150" spans="1:10" x14ac:dyDescent="0.25">
      <c r="A150" s="1137" t="s">
        <v>1755</v>
      </c>
      <c r="B150" s="1138">
        <v>7</v>
      </c>
      <c r="C150" s="1113">
        <f>L142</f>
        <v>556000</v>
      </c>
      <c r="D150" s="1113">
        <f>M142</f>
        <v>567700</v>
      </c>
      <c r="E150" s="1113">
        <f t="shared" si="42"/>
        <v>11700</v>
      </c>
      <c r="F150" s="1113">
        <f t="shared" si="43"/>
        <v>2.1043165467625899E-2</v>
      </c>
      <c r="G150" s="1114" t="str">
        <f t="shared" si="44"/>
        <v>Défav.</v>
      </c>
      <c r="H150" s="1113">
        <f t="shared" si="45"/>
        <v>79428.571428571435</v>
      </c>
      <c r="I150" s="1113">
        <f t="shared" si="46"/>
        <v>81100</v>
      </c>
      <c r="J150" s="1139">
        <f t="shared" si="47"/>
        <v>1.021043165467626</v>
      </c>
    </row>
    <row r="151" spans="1:10" x14ac:dyDescent="0.25">
      <c r="A151" s="1140" t="s">
        <v>1756</v>
      </c>
      <c r="B151" s="1141">
        <v>6</v>
      </c>
      <c r="C151" s="1118">
        <f>Q142</f>
        <v>935000</v>
      </c>
      <c r="D151" s="1118">
        <f>R142</f>
        <v>1013000</v>
      </c>
      <c r="E151" s="1118">
        <f t="shared" si="42"/>
        <v>78000</v>
      </c>
      <c r="F151" s="1118">
        <f t="shared" si="43"/>
        <v>8.3422459893048126E-2</v>
      </c>
      <c r="G151" s="1119" t="str">
        <f t="shared" si="44"/>
        <v>Défav.</v>
      </c>
      <c r="H151" s="1118">
        <f t="shared" si="45"/>
        <v>155833.33333333334</v>
      </c>
      <c r="I151" s="1118">
        <f t="shared" si="46"/>
        <v>168833.33333333334</v>
      </c>
      <c r="J151" s="1142">
        <f t="shared" si="47"/>
        <v>1.0834224598930482</v>
      </c>
    </row>
    <row r="152" spans="1:10" x14ac:dyDescent="0.25">
      <c r="A152" s="1137" t="s">
        <v>1757</v>
      </c>
      <c r="B152" s="1138">
        <v>10</v>
      </c>
      <c r="C152" s="1113">
        <f>V142</f>
        <v>881000</v>
      </c>
      <c r="D152" s="1113">
        <f>W142</f>
        <v>896000</v>
      </c>
      <c r="E152" s="1113">
        <f t="shared" si="42"/>
        <v>15000</v>
      </c>
      <c r="F152" s="1113">
        <f t="shared" si="43"/>
        <v>1.70261066969353E-2</v>
      </c>
      <c r="G152" s="1114" t="str">
        <f t="shared" si="44"/>
        <v>Défav.</v>
      </c>
      <c r="H152" s="1113">
        <f t="shared" si="45"/>
        <v>88100</v>
      </c>
      <c r="I152" s="1113">
        <f t="shared" si="46"/>
        <v>89600</v>
      </c>
      <c r="J152" s="1139">
        <f t="shared" si="47"/>
        <v>1.0170261066969353</v>
      </c>
    </row>
    <row r="153" spans="1:10" x14ac:dyDescent="0.25">
      <c r="A153" s="1143" t="s">
        <v>415</v>
      </c>
      <c r="B153" s="1144">
        <f>SUM(B148:B152)</f>
        <v>43</v>
      </c>
      <c r="C153" s="1145">
        <f>SUM(C148:C152)</f>
        <v>4021000</v>
      </c>
      <c r="D153" s="1145">
        <f>SUM(D148:D152)</f>
        <v>4170200</v>
      </c>
      <c r="E153" s="1145">
        <f t="shared" si="42"/>
        <v>149200</v>
      </c>
      <c r="F153" s="1146">
        <f t="shared" si="43"/>
        <v>3.7105197712011935E-2</v>
      </c>
      <c r="G153" s="1146" t="str">
        <f t="shared" si="44"/>
        <v>Défav.</v>
      </c>
      <c r="H153" s="1145">
        <f t="shared" si="45"/>
        <v>93511.627906976748</v>
      </c>
      <c r="I153" s="1145">
        <f t="shared" si="46"/>
        <v>96981.395348837206</v>
      </c>
      <c r="J153" s="1147">
        <f t="shared" si="47"/>
        <v>1.037105197712012</v>
      </c>
    </row>
    <row r="156" spans="1:10" x14ac:dyDescent="0.25">
      <c r="A156" s="1089" t="s">
        <v>1782</v>
      </c>
      <c r="B156" s="1090"/>
      <c r="C156" s="1090"/>
      <c r="D156" s="1090"/>
      <c r="E156" s="1090"/>
      <c r="F156" s="1090"/>
      <c r="G156" s="1090"/>
      <c r="H156" s="1090"/>
    </row>
    <row r="157" spans="1:10" x14ac:dyDescent="0.25">
      <c r="A157" s="1134" t="s">
        <v>1516</v>
      </c>
      <c r="B157" s="1135" t="s">
        <v>1753</v>
      </c>
      <c r="C157" s="1135" t="s">
        <v>1783</v>
      </c>
      <c r="D157" s="1135" t="s">
        <v>1784</v>
      </c>
      <c r="E157" s="1135" t="s">
        <v>1785</v>
      </c>
      <c r="F157" s="1135" t="s">
        <v>1786</v>
      </c>
      <c r="G157" s="1135" t="s">
        <v>415</v>
      </c>
      <c r="H157" s="1136" t="s">
        <v>1182</v>
      </c>
    </row>
    <row r="158" spans="1:10" x14ac:dyDescent="0.25">
      <c r="A158" s="1101" t="s">
        <v>1787</v>
      </c>
      <c r="B158" s="1112">
        <f>IF(D153=0,0,D148/D153)</f>
        <v>0.20502613783511583</v>
      </c>
      <c r="C158" s="1112">
        <f>IF(D153=0,0,D149/D153)</f>
        <v>0.20106949306987673</v>
      </c>
      <c r="D158" s="1112">
        <f>IF(D153=0,0,D150/D153)</f>
        <v>0.13613255958946813</v>
      </c>
      <c r="E158" s="1112">
        <f>IF(D153=0,0,D151/D153)</f>
        <v>0.24291400892043546</v>
      </c>
      <c r="F158" s="1112">
        <f>IF(D153=0,0,D152/D153)</f>
        <v>0.21485780058510384</v>
      </c>
      <c r="G158" s="1102">
        <f>SUM(B158:F158)</f>
        <v>1</v>
      </c>
      <c r="H158" s="1148" t="s">
        <v>386</v>
      </c>
    </row>
    <row r="159" spans="1:10" x14ac:dyDescent="0.25">
      <c r="A159" s="1103" t="s">
        <v>1788</v>
      </c>
      <c r="B159" s="1117">
        <f>E148</f>
        <v>55000</v>
      </c>
      <c r="C159" s="1117">
        <f>E149</f>
        <v>-10500</v>
      </c>
      <c r="D159" s="1117">
        <f>E150</f>
        <v>11700</v>
      </c>
      <c r="E159" s="1117">
        <f>E151</f>
        <v>78000</v>
      </c>
      <c r="F159" s="1117">
        <f>E152</f>
        <v>15000</v>
      </c>
      <c r="G159" s="1104">
        <f>SUM(B159:F159)</f>
        <v>149200</v>
      </c>
      <c r="H159" s="1149" t="s">
        <v>1793</v>
      </c>
    </row>
    <row r="160" spans="1:10" x14ac:dyDescent="0.25">
      <c r="A160" s="1101" t="s">
        <v>1789</v>
      </c>
      <c r="B160" s="1112">
        <f>I148</f>
        <v>106875</v>
      </c>
      <c r="C160" s="1112">
        <f>I149</f>
        <v>69875</v>
      </c>
      <c r="D160" s="1112">
        <f>I150</f>
        <v>81100</v>
      </c>
      <c r="E160" s="1112">
        <f>I151</f>
        <v>168833.33333333334</v>
      </c>
      <c r="F160" s="1112">
        <f>I152</f>
        <v>89600</v>
      </c>
      <c r="G160" s="1102">
        <f>I153</f>
        <v>96981.395348837206</v>
      </c>
      <c r="H160" s="1150" t="s">
        <v>1794</v>
      </c>
    </row>
    <row r="161" spans="1:10" x14ac:dyDescent="0.25">
      <c r="A161" s="1103" t="s">
        <v>1790</v>
      </c>
      <c r="B161" s="1117">
        <f>IF(AB10=0,0,D148/AB10)</f>
        <v>6.5267175572519084E-2</v>
      </c>
      <c r="C161" s="1117">
        <f>IF(AB10=0,0,D149/AB10)</f>
        <v>6.4007633587786258E-2</v>
      </c>
      <c r="D161" s="1117">
        <f>IF(AB10=0,0,D150/AB10)</f>
        <v>4.3335877862595421E-2</v>
      </c>
      <c r="E161" s="1117">
        <f>IF(AB10=0,0,D151/AB10)</f>
        <v>7.7328244274809166E-2</v>
      </c>
      <c r="F161" s="1117">
        <f>IF(AB10=0,0,D152/AB10)</f>
        <v>6.83969465648855E-2</v>
      </c>
      <c r="G161" s="1104">
        <f>IF(AB10=0,0,D153/AB10)</f>
        <v>0.31833587786259543</v>
      </c>
      <c r="H161" s="1149" t="s">
        <v>1795</v>
      </c>
    </row>
    <row r="162" spans="1:10" x14ac:dyDescent="0.25">
      <c r="A162" s="1101" t="s">
        <v>1791</v>
      </c>
      <c r="B162" s="1112">
        <f>IF(D148=0,0,C131/D148)</f>
        <v>0.45847953216374271</v>
      </c>
      <c r="C162" s="1112">
        <f>IF(D149=0,0,H131/D149)</f>
        <v>0.67024448419797256</v>
      </c>
      <c r="D162" s="1112">
        <f>IF(D150=0,0,M131/D150)</f>
        <v>0.61299982385062535</v>
      </c>
      <c r="E162" s="1112">
        <f>IF(D151=0,0,R131/D151)</f>
        <v>0.3405725567620928</v>
      </c>
      <c r="F162" s="1112">
        <f>IF(D152=0,0,W131/D152)</f>
        <v>0.6640625</v>
      </c>
      <c r="G162" s="1102">
        <f>IF(D153=0,0,AB131/D153)</f>
        <v>0.53762409476763706</v>
      </c>
      <c r="H162" s="1150" t="s">
        <v>1796</v>
      </c>
    </row>
    <row r="163" spans="1:10" x14ac:dyDescent="0.25">
      <c r="A163" s="1151" t="s">
        <v>1792</v>
      </c>
      <c r="B163" s="1152" t="str">
        <f>IF(ABS(F148)&lt;0.03,"✅ Maîtrisé",IF(ABS(F148)&lt;0.08,"⚠️ Surveiller","🚨 Dérive"))</f>
        <v>⚠️ Surveiller</v>
      </c>
      <c r="C163" s="1152" t="str">
        <f>IF(ABS(F149)&lt;0.03,"✅ Maîtrisé",IF(ABS(F149)&lt;0.08,"⚠️ Surveiller","🚨 Dérive"))</f>
        <v>✅ Maîtrisé</v>
      </c>
      <c r="D163" s="1152" t="str">
        <f>IF(ABS(F150)&lt;0.03,"✅ Maîtrisé",IF(ABS(F150)&lt;0.08,"⚠️ Surveiller","🚨 Dérive"))</f>
        <v>✅ Maîtrisé</v>
      </c>
      <c r="E163" s="1152" t="str">
        <f>IF(ABS(F151)&lt;0.03,"✅ Maîtrisé",IF(ABS(F151)&lt;0.08,"⚠️ Surveiller","🚨 Dérive"))</f>
        <v>🚨 Dérive</v>
      </c>
      <c r="F163" s="1152" t="str">
        <f>IF(ABS(F152)&lt;0.03,"✅ Maîtrisé",IF(ABS(F152)&lt;0.08,"⚠️ Surveiller","🚨 Dérive"))</f>
        <v>✅ Maîtrisé</v>
      </c>
      <c r="G163" s="1152" t="str">
        <f>IF(ABS(F153)&lt;0.03,"✅ Maîtrisé",IF(ABS(F153)&lt;0.08,"⚠️ Surveiller","🚨 Dérive"))</f>
        <v>⚠️ Surveiller</v>
      </c>
      <c r="H163" s="1153" t="s">
        <v>1797</v>
      </c>
    </row>
    <row r="166" spans="1:10" x14ac:dyDescent="0.25">
      <c r="A166" s="1089" t="s">
        <v>1798</v>
      </c>
      <c r="B166" s="1090"/>
      <c r="C166" s="1090"/>
      <c r="D166" s="1090"/>
      <c r="E166" s="1090"/>
      <c r="F166" s="1090"/>
      <c r="G166" s="1090"/>
      <c r="H166" s="1090"/>
      <c r="I166" s="1090"/>
      <c r="J166" s="1090"/>
    </row>
    <row r="167" spans="1:10" x14ac:dyDescent="0.25">
      <c r="A167" s="1134" t="s">
        <v>1799</v>
      </c>
      <c r="B167" s="1135" t="s">
        <v>1774</v>
      </c>
      <c r="C167" s="1135" t="s">
        <v>164</v>
      </c>
      <c r="D167" s="1135" t="s">
        <v>1776</v>
      </c>
      <c r="E167" s="1135" t="s">
        <v>1777</v>
      </c>
      <c r="F167" s="1135" t="s">
        <v>1778</v>
      </c>
      <c r="G167" s="1135" t="s">
        <v>261</v>
      </c>
      <c r="H167" s="1135" t="s">
        <v>123</v>
      </c>
      <c r="I167" s="1135" t="s">
        <v>1800</v>
      </c>
      <c r="J167" s="1136" t="s">
        <v>587</v>
      </c>
    </row>
    <row r="168" spans="1:10" x14ac:dyDescent="0.25">
      <c r="A168" s="1154">
        <v>1</v>
      </c>
      <c r="B168" s="1155" t="s">
        <v>1785</v>
      </c>
      <c r="C168" s="1156" t="s">
        <v>1763</v>
      </c>
      <c r="D168" s="1113">
        <f>Q133</f>
        <v>245000</v>
      </c>
      <c r="E168" s="1113">
        <f>R133</f>
        <v>268000</v>
      </c>
      <c r="F168" s="1113">
        <f>E168-D168</f>
        <v>23000</v>
      </c>
      <c r="G168" s="1113">
        <f>IF(D168=0,0,F168/D168)</f>
        <v>9.3877551020408165E-2</v>
      </c>
      <c r="H168" s="1157" t="s">
        <v>1801</v>
      </c>
      <c r="I168" s="1158" t="s">
        <v>1802</v>
      </c>
      <c r="J168" s="1150" t="s">
        <v>1803</v>
      </c>
    </row>
    <row r="169" spans="1:10" x14ac:dyDescent="0.25">
      <c r="A169" s="1159">
        <v>2</v>
      </c>
      <c r="B169" s="1160" t="s">
        <v>1753</v>
      </c>
      <c r="C169" s="1161" t="s">
        <v>1768</v>
      </c>
      <c r="D169" s="1118">
        <f>B138</f>
        <v>95000</v>
      </c>
      <c r="E169" s="1118">
        <f>C138</f>
        <v>112000</v>
      </c>
      <c r="F169" s="1118">
        <f>E169-D169</f>
        <v>17000</v>
      </c>
      <c r="G169" s="1118">
        <f>IF(D169=0,0,F169/D169)</f>
        <v>0.17894736842105263</v>
      </c>
      <c r="H169" s="1162" t="s">
        <v>1801</v>
      </c>
      <c r="I169" s="1163" t="s">
        <v>1804</v>
      </c>
      <c r="J169" s="1149" t="s">
        <v>1805</v>
      </c>
    </row>
    <row r="170" spans="1:10" x14ac:dyDescent="0.25">
      <c r="A170" s="1154">
        <v>3</v>
      </c>
      <c r="B170" s="1155" t="s">
        <v>1785</v>
      </c>
      <c r="C170" s="1156" t="s">
        <v>1762</v>
      </c>
      <c r="D170" s="1113">
        <f>Q132</f>
        <v>180000</v>
      </c>
      <c r="E170" s="1113">
        <f>R132</f>
        <v>210000</v>
      </c>
      <c r="F170" s="1113">
        <f>E170-D170</f>
        <v>30000</v>
      </c>
      <c r="G170" s="1113">
        <f>IF(D170=0,0,F170/D170)</f>
        <v>0.16666666666666666</v>
      </c>
      <c r="H170" s="1157" t="s">
        <v>1806</v>
      </c>
      <c r="I170" s="1158" t="s">
        <v>1807</v>
      </c>
      <c r="J170" s="1150" t="s">
        <v>1808</v>
      </c>
    </row>
    <row r="171" spans="1:10" x14ac:dyDescent="0.25">
      <c r="A171" s="1159">
        <v>4</v>
      </c>
      <c r="B171" s="1160" t="s">
        <v>1753</v>
      </c>
      <c r="C171" s="1161" t="s">
        <v>1765</v>
      </c>
      <c r="D171" s="1118">
        <f>B135</f>
        <v>65000</v>
      </c>
      <c r="E171" s="1118">
        <f>C135</f>
        <v>78000</v>
      </c>
      <c r="F171" s="1118">
        <f>E171-D171</f>
        <v>13000</v>
      </c>
      <c r="G171" s="1118">
        <f>IF(D171=0,0,F171/D171)</f>
        <v>0.2</v>
      </c>
      <c r="H171" s="1162" t="s">
        <v>1806</v>
      </c>
      <c r="I171" s="1163" t="s">
        <v>1809</v>
      </c>
      <c r="J171" s="1149" t="s">
        <v>1810</v>
      </c>
    </row>
    <row r="172" spans="1:10" x14ac:dyDescent="0.25">
      <c r="A172" s="1164">
        <v>5</v>
      </c>
      <c r="B172" s="1165" t="s">
        <v>1786</v>
      </c>
      <c r="C172" s="1166" t="s">
        <v>1811</v>
      </c>
      <c r="D172" s="1167">
        <f>V131</f>
        <v>580000</v>
      </c>
      <c r="E172" s="1167">
        <f>W131</f>
        <v>595000</v>
      </c>
      <c r="F172" s="1167">
        <f>E172-D172</f>
        <v>15000</v>
      </c>
      <c r="G172" s="1167">
        <f>IF(D172=0,0,F172/D172)</f>
        <v>2.5862068965517241E-2</v>
      </c>
      <c r="H172" s="1168" t="s">
        <v>1806</v>
      </c>
      <c r="I172" s="1169" t="s">
        <v>1812</v>
      </c>
      <c r="J172" s="1170" t="s">
        <v>1813</v>
      </c>
    </row>
    <row r="174" spans="1:10" x14ac:dyDescent="0.25">
      <c r="A174" s="1171" t="s">
        <v>1814</v>
      </c>
      <c r="B174" s="1091"/>
      <c r="C174" s="1091"/>
      <c r="D174" s="1091"/>
      <c r="E174" s="1091"/>
      <c r="F174" s="1091"/>
      <c r="G174" s="1091"/>
      <c r="H174" s="1091"/>
      <c r="I174" s="1091"/>
      <c r="J174" s="1091"/>
    </row>
  </sheetData>
  <mergeCells count="37">
    <mergeCell ref="A1:AE1"/>
    <mergeCell ref="B5:C5"/>
    <mergeCell ref="D5:E5"/>
    <mergeCell ref="F5:G5"/>
    <mergeCell ref="H5:I5"/>
    <mergeCell ref="J5:K5"/>
    <mergeCell ref="A7:AE7"/>
    <mergeCell ref="B8:F8"/>
    <mergeCell ref="G8:K8"/>
    <mergeCell ref="L8:P8"/>
    <mergeCell ref="Q8:U8"/>
    <mergeCell ref="V8:Z8"/>
    <mergeCell ref="AA8:AE8"/>
    <mergeCell ref="A97:E97"/>
    <mergeCell ref="A24:N24"/>
    <mergeCell ref="A25:H25"/>
    <mergeCell ref="A33:H33"/>
    <mergeCell ref="A41:H41"/>
    <mergeCell ref="A47:H47"/>
    <mergeCell ref="A55:H55"/>
    <mergeCell ref="A66:H66"/>
    <mergeCell ref="A67:H67"/>
    <mergeCell ref="A85:K85"/>
    <mergeCell ref="A94:K94"/>
    <mergeCell ref="A96:E96"/>
    <mergeCell ref="A98:E98"/>
    <mergeCell ref="A99:E99"/>
    <mergeCell ref="A102:H102"/>
    <mergeCell ref="A113:H113"/>
    <mergeCell ref="A123:AE123"/>
    <mergeCell ref="V129:Z129"/>
    <mergeCell ref="AA129:AD129"/>
    <mergeCell ref="A126:N126"/>
    <mergeCell ref="B129:F129"/>
    <mergeCell ref="G129:K129"/>
    <mergeCell ref="L129:P129"/>
    <mergeCell ref="Q129:U129"/>
  </mergeCells>
  <conditionalFormatting sqref="F131:F142">
    <cfRule type="containsText" dxfId="44" priority="1" operator="containsText" text="fav.">
      <formula>NOT(ISERROR(SEARCH("fav.",F131)))</formula>
    </cfRule>
    <cfRule type="containsText" dxfId="43" priority="2" operator="containsText" text="Fav.">
      <formula>NOT(ISERROR(SEARCH("Fav.",F131)))</formula>
    </cfRule>
  </conditionalFormatting>
  <conditionalFormatting sqref="G148:G153">
    <cfRule type="containsText" dxfId="42" priority="11" operator="containsText" text="fav.">
      <formula>NOT(ISERROR(SEARCH("fav.",G148)))</formula>
    </cfRule>
    <cfRule type="containsText" dxfId="41" priority="12" operator="containsText" text="Fav.">
      <formula>NOT(ISERROR(SEARCH("Fav.",G148)))</formula>
    </cfRule>
  </conditionalFormatting>
  <conditionalFormatting sqref="K131:K142">
    <cfRule type="containsText" dxfId="40" priority="3" operator="containsText" text="fav.">
      <formula>NOT(ISERROR(SEARCH("fav.",K131)))</formula>
    </cfRule>
    <cfRule type="containsText" dxfId="39" priority="4" operator="containsText" text="Fav.">
      <formula>NOT(ISERROR(SEARCH("Fav.",K131)))</formula>
    </cfRule>
  </conditionalFormatting>
  <conditionalFormatting sqref="P131:P142">
    <cfRule type="containsText" dxfId="38" priority="5" operator="containsText" text="fav.">
      <formula>NOT(ISERROR(SEARCH("fav.",P131)))</formula>
    </cfRule>
    <cfRule type="containsText" dxfId="37" priority="6" operator="containsText" text="Fav.">
      <formula>NOT(ISERROR(SEARCH("Fav.",P131)))</formula>
    </cfRule>
  </conditionalFormatting>
  <conditionalFormatting sqref="U131:U142">
    <cfRule type="containsText" dxfId="36" priority="7" operator="containsText" text="fav.">
      <formula>NOT(ISERROR(SEARCH("fav.",U131)))</formula>
    </cfRule>
    <cfRule type="containsText" dxfId="35" priority="8" operator="containsText" text="Fav.">
      <formula>NOT(ISERROR(SEARCH("Fav.",U131)))</formula>
    </cfRule>
  </conditionalFormatting>
  <conditionalFormatting sqref="Z131:Z142">
    <cfRule type="containsText" dxfId="34" priority="9" operator="containsText" text="fav.">
      <formula>NOT(ISERROR(SEARCH("fav.",Z131)))</formula>
    </cfRule>
    <cfRule type="containsText" dxfId="33" priority="10" operator="containsText" text="Fav.">
      <formula>NOT(ISERROR(SEARCH("Fav.",Z131)))</formula>
    </cfRule>
  </conditionalFormatting>
  <pageMargins left="0.75" right="0.75" top="1" bottom="1" header="0.511811023622047" footer="0.511811023622047"/>
  <pageSetup orientation="landscape" horizontalDpi="300" verticalDpi="30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E251-8842-4A74-B821-0A80981B2B5C}">
  <sheetPr>
    <tabColor rgb="FF7030A0"/>
  </sheetPr>
  <dimension ref="B1:K87"/>
  <sheetViews>
    <sheetView showGridLines="0" workbookViewId="0">
      <selection activeCell="B2" sqref="B2:K2"/>
    </sheetView>
  </sheetViews>
  <sheetFormatPr baseColWidth="10" defaultColWidth="10.7109375" defaultRowHeight="15" x14ac:dyDescent="0.25"/>
  <cols>
    <col min="1" max="1" width="3.85546875" customWidth="1"/>
    <col min="2" max="2" width="97.28515625" customWidth="1"/>
    <col min="3" max="3" width="28.5703125" customWidth="1"/>
    <col min="4" max="8" width="26.7109375" customWidth="1"/>
    <col min="9" max="9" width="3.85546875" customWidth="1"/>
  </cols>
  <sheetData>
    <row r="1" spans="2:11" ht="5.0999999999999996" customHeight="1" x14ac:dyDescent="0.25"/>
    <row r="2" spans="2:11" ht="27.95" customHeight="1" x14ac:dyDescent="0.3">
      <c r="B2" s="1352" t="s">
        <v>444</v>
      </c>
      <c r="C2" s="1352"/>
      <c r="D2" s="1352"/>
      <c r="E2" s="1352"/>
      <c r="F2" s="1352"/>
      <c r="G2" s="1352"/>
      <c r="H2" s="1352"/>
      <c r="I2" s="1352"/>
      <c r="J2" s="1352"/>
      <c r="K2" s="1352"/>
    </row>
    <row r="3" spans="2:11" ht="15.95" customHeight="1" x14ac:dyDescent="0.25">
      <c r="B3" s="1353" t="s">
        <v>445</v>
      </c>
      <c r="C3" s="1176"/>
      <c r="D3" s="1176"/>
      <c r="E3" s="1176"/>
      <c r="F3" s="1176"/>
      <c r="G3" s="1176"/>
      <c r="H3" s="1176"/>
      <c r="I3" s="1176"/>
      <c r="J3" s="1176"/>
      <c r="K3" s="1176"/>
    </row>
    <row r="4" spans="2:11" ht="5.0999999999999996" customHeight="1" x14ac:dyDescent="0.25"/>
    <row r="5" spans="2:11" ht="20.100000000000001" customHeight="1" thickBot="1" x14ac:dyDescent="0.3">
      <c r="B5" s="171" t="s">
        <v>446</v>
      </c>
    </row>
    <row r="6" spans="2:11" x14ac:dyDescent="0.25">
      <c r="B6" s="394" t="s">
        <v>447</v>
      </c>
      <c r="C6" s="274" t="s">
        <v>112</v>
      </c>
      <c r="D6" s="394" t="s">
        <v>448</v>
      </c>
      <c r="E6" s="516"/>
      <c r="F6" s="516"/>
    </row>
    <row r="7" spans="2:11" x14ac:dyDescent="0.25">
      <c r="B7" s="395" t="s">
        <v>449</v>
      </c>
      <c r="C7" s="272">
        <v>3.9699999999999999E-2</v>
      </c>
      <c r="D7" s="395" t="s">
        <v>450</v>
      </c>
    </row>
    <row r="8" spans="2:11" x14ac:dyDescent="0.25">
      <c r="B8" s="391" t="s">
        <v>451</v>
      </c>
      <c r="C8" s="292">
        <v>0.25</v>
      </c>
      <c r="D8" s="391" t="s">
        <v>452</v>
      </c>
    </row>
    <row r="9" spans="2:11" x14ac:dyDescent="0.25">
      <c r="B9" s="391" t="s">
        <v>453</v>
      </c>
      <c r="C9" s="470">
        <f>C7*(1-C8)</f>
        <v>2.9774999999999999E-2</v>
      </c>
      <c r="D9" s="391" t="s">
        <v>454</v>
      </c>
    </row>
    <row r="10" spans="2:11" x14ac:dyDescent="0.25">
      <c r="B10" s="391"/>
      <c r="C10" s="231"/>
      <c r="D10" s="391"/>
    </row>
    <row r="11" spans="2:11" x14ac:dyDescent="0.25">
      <c r="B11" s="391" t="s">
        <v>455</v>
      </c>
      <c r="C11" s="272">
        <v>0.03</v>
      </c>
      <c r="D11" s="391" t="s">
        <v>456</v>
      </c>
    </row>
    <row r="12" spans="2:11" x14ac:dyDescent="0.25">
      <c r="B12" s="391" t="s">
        <v>457</v>
      </c>
      <c r="C12" s="293">
        <v>0.9</v>
      </c>
      <c r="D12" s="391" t="s">
        <v>458</v>
      </c>
    </row>
    <row r="13" spans="2:11" x14ac:dyDescent="0.25">
      <c r="B13" s="391" t="s">
        <v>459</v>
      </c>
      <c r="C13" s="292">
        <v>5.5E-2</v>
      </c>
      <c r="D13" s="391" t="s">
        <v>460</v>
      </c>
    </row>
    <row r="14" spans="2:11" x14ac:dyDescent="0.25">
      <c r="B14" s="391" t="s">
        <v>461</v>
      </c>
      <c r="C14" s="273">
        <f>C11+C12*C13</f>
        <v>7.9500000000000001E-2</v>
      </c>
      <c r="D14" s="391" t="s">
        <v>462</v>
      </c>
    </row>
    <row r="15" spans="2:11" x14ac:dyDescent="0.25">
      <c r="B15" s="391"/>
      <c r="C15" s="231"/>
      <c r="D15" s="391"/>
    </row>
    <row r="16" spans="2:11" x14ac:dyDescent="0.25">
      <c r="B16" s="391" t="str">
        <f>"Dettes financières nettes ("&amp;Accueil!F28&amp;")"</f>
        <v>Dettes financières nettes (M€)</v>
      </c>
      <c r="C16" s="471">
        <f>'Données Brutes'!F19+'Données Brutes'!F20+'Données Brutes'!F24-'Données Brutes'!F11-'Données Brutes'!F12</f>
        <v>4150000</v>
      </c>
      <c r="D16" s="391" t="s">
        <v>463</v>
      </c>
    </row>
    <row r="17" spans="2:4" x14ac:dyDescent="0.25">
      <c r="B17" s="391" t="str">
        <f>"Capitaux propres — book value ("&amp;Accueil!F28&amp;")"</f>
        <v>Capitaux propres — book value (M€)</v>
      </c>
      <c r="C17" s="471">
        <f>'Données Brutes'!F14+'Données Brutes'!F15+'Données Brutes'!F16+'Données Brutes'!F17+'Données Brutes'!F18</f>
        <v>13240000</v>
      </c>
      <c r="D17" s="391" t="s">
        <v>464</v>
      </c>
    </row>
    <row r="18" spans="2:4" x14ac:dyDescent="0.25">
      <c r="B18" s="391" t="str">
        <f>"Total capital investi ("&amp;Accueil!F28&amp;")"</f>
        <v>Total capital investi (M€)</v>
      </c>
      <c r="C18" s="471">
        <f>C16+C17</f>
        <v>17390000</v>
      </c>
      <c r="D18" s="391" t="s">
        <v>465</v>
      </c>
    </row>
    <row r="19" spans="2:4" x14ac:dyDescent="0.25">
      <c r="B19" s="391" t="s">
        <v>466</v>
      </c>
      <c r="C19" s="294">
        <f>C16/C18</f>
        <v>0.23864289821736631</v>
      </c>
      <c r="D19" s="391" t="s">
        <v>467</v>
      </c>
    </row>
    <row r="20" spans="2:4" x14ac:dyDescent="0.25">
      <c r="B20" s="393" t="s">
        <v>468</v>
      </c>
      <c r="C20" s="396">
        <f>C17/C18</f>
        <v>0.76135710178263372</v>
      </c>
      <c r="D20" s="393" t="s">
        <v>469</v>
      </c>
    </row>
    <row r="21" spans="2:4" x14ac:dyDescent="0.25">
      <c r="B21" s="392"/>
      <c r="C21" s="392"/>
      <c r="D21" s="392"/>
    </row>
    <row r="22" spans="2:4" ht="15.75" thickBot="1" x14ac:dyDescent="0.3">
      <c r="B22" s="275" t="s">
        <v>470</v>
      </c>
      <c r="C22" s="276">
        <f>C9*C19+C14*C20</f>
        <v>6.7633481886141461E-2</v>
      </c>
      <c r="D22" s="275" t="s">
        <v>471</v>
      </c>
    </row>
    <row r="24" spans="2:4" ht="9.9499999999999993" customHeight="1" x14ac:dyDescent="0.25"/>
    <row r="25" spans="2:4" ht="20.100000000000001" customHeight="1" x14ac:dyDescent="0.25">
      <c r="B25" s="171" t="s">
        <v>472</v>
      </c>
    </row>
    <row r="26" spans="2:4" x14ac:dyDescent="0.25">
      <c r="B26" s="382" t="s">
        <v>473</v>
      </c>
    </row>
    <row r="27" spans="2:4" x14ac:dyDescent="0.25">
      <c r="B27" s="386" t="s">
        <v>474</v>
      </c>
      <c r="C27" s="383">
        <v>0.05</v>
      </c>
      <c r="D27" s="173" t="s">
        <v>475</v>
      </c>
    </row>
    <row r="28" spans="2:4" x14ac:dyDescent="0.25">
      <c r="B28" s="387" t="s">
        <v>476</v>
      </c>
      <c r="C28" s="384">
        <v>0.15</v>
      </c>
      <c r="D28" s="173" t="s">
        <v>477</v>
      </c>
    </row>
    <row r="29" spans="2:4" x14ac:dyDescent="0.25">
      <c r="B29" s="387" t="s">
        <v>478</v>
      </c>
      <c r="C29" s="384">
        <v>0.25</v>
      </c>
      <c r="D29" s="173" t="s">
        <v>479</v>
      </c>
    </row>
    <row r="30" spans="2:4" x14ac:dyDescent="0.25">
      <c r="B30" s="387" t="s">
        <v>480</v>
      </c>
      <c r="C30" s="384">
        <v>0.09</v>
      </c>
      <c r="D30" s="173" t="s">
        <v>481</v>
      </c>
    </row>
    <row r="31" spans="2:4" x14ac:dyDescent="0.25">
      <c r="B31" s="388" t="s">
        <v>482</v>
      </c>
      <c r="C31" s="385">
        <f>'Ratios &amp; Indicateurs'!F10/('Données Brutes'!F38)*365/365</f>
        <v>0.1648148148148148</v>
      </c>
      <c r="D31" s="173" t="s">
        <v>483</v>
      </c>
    </row>
    <row r="32" spans="2:4" ht="9.9499999999999993" customHeight="1" thickBot="1" x14ac:dyDescent="0.3"/>
    <row r="33" spans="2:8" ht="18" customHeight="1" x14ac:dyDescent="0.25">
      <c r="B33" s="287" t="s">
        <v>484</v>
      </c>
      <c r="C33" s="472" t="s">
        <v>485</v>
      </c>
      <c r="D33" s="472" t="s">
        <v>486</v>
      </c>
      <c r="E33" s="472" t="s">
        <v>487</v>
      </c>
      <c r="F33" s="472" t="s">
        <v>488</v>
      </c>
      <c r="G33" s="472" t="s">
        <v>489</v>
      </c>
      <c r="H33" s="473" t="s">
        <v>490</v>
      </c>
    </row>
    <row r="34" spans="2:8" x14ac:dyDescent="0.25">
      <c r="B34" s="277" t="str">
        <f>"Chiffre d'Affaires ("&amp;Accueil!F28&amp;")"</f>
        <v>Chiffre d'Affaires (M€)</v>
      </c>
      <c r="C34" s="278">
        <f>'Données Brutes'!F38</f>
        <v>32400000</v>
      </c>
      <c r="D34" s="278">
        <f>C34*(1+$C$27)</f>
        <v>34020000</v>
      </c>
      <c r="E34" s="278">
        <f>D34*(1+$C$27)</f>
        <v>35721000</v>
      </c>
      <c r="F34" s="278">
        <f>E34*(1+$C$27)</f>
        <v>37507050</v>
      </c>
      <c r="G34" s="278">
        <f>F34*(1+$C$27)</f>
        <v>39382402.5</v>
      </c>
      <c r="H34" s="279">
        <f>G34*(1+$C$27)</f>
        <v>41351522.625</v>
      </c>
    </row>
    <row r="35" spans="2:8" x14ac:dyDescent="0.25">
      <c r="B35" s="280" t="str">
        <f>"EBITDA ("&amp;Accueil!F28&amp;")"</f>
        <v>EBITDA (M€)</v>
      </c>
      <c r="C35" s="281">
        <f>'Dashboard Interactif'!C4</f>
        <v>4770000</v>
      </c>
      <c r="D35" s="281">
        <f>D34*$C$28</f>
        <v>5103000</v>
      </c>
      <c r="E35" s="281">
        <f>E34*$C$28</f>
        <v>5358150</v>
      </c>
      <c r="F35" s="281">
        <f>F34*$C$28</f>
        <v>5626057.5</v>
      </c>
      <c r="G35" s="281">
        <f>G34*$C$28</f>
        <v>5907360.375</v>
      </c>
      <c r="H35" s="282">
        <f>H34*$C$28</f>
        <v>6202728.3937499998</v>
      </c>
    </row>
    <row r="36" spans="2:8" x14ac:dyDescent="0.25">
      <c r="B36" s="277" t="str">
        <f>"- Amortissements ("&amp;Accueil!F28&amp;")"</f>
        <v>- Amortissements (M€)</v>
      </c>
      <c r="C36" s="278">
        <f>'Données Brutes'!F48</f>
        <v>1450000</v>
      </c>
      <c r="D36" s="278">
        <f>C36+D41/10</f>
        <v>1756180</v>
      </c>
      <c r="E36" s="278">
        <f>D36+E41/10</f>
        <v>2077669</v>
      </c>
      <c r="F36" s="278">
        <f>E36+F41/10</f>
        <v>2415232.4500000002</v>
      </c>
      <c r="G36" s="278">
        <f>F36+G41/10</f>
        <v>2769674.0725000002</v>
      </c>
      <c r="H36" s="279">
        <f>G36+H41/10</f>
        <v>3141837.7761250003</v>
      </c>
    </row>
    <row r="37" spans="2:8" x14ac:dyDescent="0.25">
      <c r="B37" s="280" t="str">
        <f>"EBIT ("&amp;Accueil!F28&amp;")"</f>
        <v>EBIT (M€)</v>
      </c>
      <c r="C37" s="281">
        <f t="shared" ref="C37:H37" si="0">C35-C36</f>
        <v>3320000</v>
      </c>
      <c r="D37" s="281">
        <f t="shared" si="0"/>
        <v>3346820</v>
      </c>
      <c r="E37" s="281">
        <f t="shared" si="0"/>
        <v>3280481</v>
      </c>
      <c r="F37" s="281">
        <f t="shared" si="0"/>
        <v>3210825.05</v>
      </c>
      <c r="G37" s="281">
        <f t="shared" si="0"/>
        <v>3137686.3024999998</v>
      </c>
      <c r="H37" s="282">
        <f t="shared" si="0"/>
        <v>3060890.6176249995</v>
      </c>
    </row>
    <row r="38" spans="2:8" x14ac:dyDescent="0.25">
      <c r="B38" s="277" t="str">
        <f>"- Impôts sur EBIT ("&amp;Accueil!F28&amp;")"</f>
        <v>- Impôts sur EBIT (M€)</v>
      </c>
      <c r="C38" s="278">
        <f>C37*C$29</f>
        <v>830000</v>
      </c>
      <c r="D38" s="278">
        <f>D37*$C$29</f>
        <v>836705</v>
      </c>
      <c r="E38" s="278">
        <f>E37*$C$29</f>
        <v>820120.25</v>
      </c>
      <c r="F38" s="278">
        <f>F37*$C$29</f>
        <v>802706.26249999995</v>
      </c>
      <c r="G38" s="278">
        <f>G37*$C$29</f>
        <v>784421.57562499994</v>
      </c>
      <c r="H38" s="279">
        <f>H37*$C$29</f>
        <v>765222.65440624987</v>
      </c>
    </row>
    <row r="39" spans="2:8" x14ac:dyDescent="0.25">
      <c r="B39" s="280" t="str">
        <f>"NOPAT ("&amp;Accueil!F28&amp;")"</f>
        <v>NOPAT (M€)</v>
      </c>
      <c r="C39" s="281">
        <f t="shared" ref="C39:H39" si="1">C37-C38</f>
        <v>2490000</v>
      </c>
      <c r="D39" s="281">
        <f t="shared" si="1"/>
        <v>2510115</v>
      </c>
      <c r="E39" s="281">
        <f t="shared" si="1"/>
        <v>2460360.75</v>
      </c>
      <c r="F39" s="281">
        <f t="shared" si="1"/>
        <v>2408118.7874999996</v>
      </c>
      <c r="G39" s="281">
        <f t="shared" si="1"/>
        <v>2353264.7268749997</v>
      </c>
      <c r="H39" s="282">
        <f t="shared" si="1"/>
        <v>2295667.9632187495</v>
      </c>
    </row>
    <row r="40" spans="2:8" x14ac:dyDescent="0.25">
      <c r="B40" s="277" t="str">
        <f>"+ Amortissements reintegres ("&amp;Accueil!F28&amp;")"</f>
        <v>+ Amortissements reintegres (M€)</v>
      </c>
      <c r="C40" s="278">
        <f t="shared" ref="C40:H40" si="2">C36</f>
        <v>1450000</v>
      </c>
      <c r="D40" s="278">
        <f t="shared" si="2"/>
        <v>1756180</v>
      </c>
      <c r="E40" s="278">
        <f t="shared" si="2"/>
        <v>2077669</v>
      </c>
      <c r="F40" s="278">
        <f t="shared" si="2"/>
        <v>2415232.4500000002</v>
      </c>
      <c r="G40" s="278">
        <f t="shared" si="2"/>
        <v>2769674.0725000002</v>
      </c>
      <c r="H40" s="279">
        <f t="shared" si="2"/>
        <v>3141837.7761250003</v>
      </c>
    </row>
    <row r="41" spans="2:8" x14ac:dyDescent="0.25">
      <c r="B41" s="280" t="str">
        <f>"- Capex ("&amp;Accueil!F28&amp;")"</f>
        <v>- Capex (M€)</v>
      </c>
      <c r="C41" s="281">
        <f>'Données Brutes'!E73</f>
        <v>1800000</v>
      </c>
      <c r="D41" s="281">
        <f>D34*$C$30</f>
        <v>3061800</v>
      </c>
      <c r="E41" s="281">
        <f>E34*$C$30</f>
        <v>3214890</v>
      </c>
      <c r="F41" s="281">
        <f>F34*$C$30</f>
        <v>3375634.5</v>
      </c>
      <c r="G41" s="281">
        <f>G34*$C$30</f>
        <v>3544416.2250000001</v>
      </c>
      <c r="H41" s="282">
        <f>H34*$C$30</f>
        <v>3721637.0362499999</v>
      </c>
    </row>
    <row r="42" spans="2:8" x14ac:dyDescent="0.25">
      <c r="B42" s="277" t="str">
        <f>"- Variation BFR ("&amp;Accueil!F28&amp;")"</f>
        <v>- Variation BFR (M€)</v>
      </c>
      <c r="C42" s="278">
        <f>'Données Brutes'!E71</f>
        <v>-50000</v>
      </c>
      <c r="D42" s="278">
        <f>(D34-C34)*$C$31</f>
        <v>267000</v>
      </c>
      <c r="E42" s="278">
        <f>(E34-D34)*$C$31</f>
        <v>280350</v>
      </c>
      <c r="F42" s="278">
        <f>(F34-E34)*$C$31</f>
        <v>294367.5</v>
      </c>
      <c r="G42" s="278">
        <f>(G34-F34)*$C$31</f>
        <v>309085.875</v>
      </c>
      <c r="H42" s="279">
        <f>(H34-G34)*$C$31</f>
        <v>324540.16874999995</v>
      </c>
    </row>
    <row r="43" spans="2:8" x14ac:dyDescent="0.25">
      <c r="B43" s="283" t="str">
        <f>"FCFF (Flux Dispo Entreprise) "&amp;Accueil!F28</f>
        <v>FCFF (Flux Dispo Entreprise) M€</v>
      </c>
      <c r="C43" s="284">
        <f t="shared" ref="C43:H43" si="3">C39+C40-C41-C42</f>
        <v>2190000</v>
      </c>
      <c r="D43" s="284">
        <f t="shared" si="3"/>
        <v>937495</v>
      </c>
      <c r="E43" s="284">
        <f t="shared" si="3"/>
        <v>1042789.75</v>
      </c>
      <c r="F43" s="284">
        <f t="shared" si="3"/>
        <v>1153349.2374999998</v>
      </c>
      <c r="G43" s="284">
        <f t="shared" si="3"/>
        <v>1269436.6993749994</v>
      </c>
      <c r="H43" s="285">
        <f t="shared" si="3"/>
        <v>1391328.5343437495</v>
      </c>
    </row>
    <row r="44" spans="2:8" x14ac:dyDescent="0.25">
      <c r="B44" s="286"/>
      <c r="C44" s="474"/>
      <c r="D44" s="474"/>
      <c r="E44" s="474"/>
      <c r="F44" s="474"/>
      <c r="G44" s="474"/>
      <c r="H44" s="475"/>
    </row>
    <row r="45" spans="2:8" x14ac:dyDescent="0.25">
      <c r="B45" s="277" t="s">
        <v>491</v>
      </c>
      <c r="C45" s="278">
        <v>1</v>
      </c>
      <c r="D45" s="278">
        <f>1/(1+$C$22)^1</f>
        <v>0.93665102955870549</v>
      </c>
      <c r="E45" s="278">
        <f>1/(1+$C$22)^2</f>
        <v>0.8773151511733831</v>
      </c>
      <c r="F45" s="278">
        <f>1/(1+$C$22)^3</f>
        <v>0.82173813959400066</v>
      </c>
      <c r="G45" s="278">
        <f>1/(1+$C$22)^4</f>
        <v>0.7696818744783761</v>
      </c>
      <c r="H45" s="279">
        <f>1/(1+$C$22)^5</f>
        <v>0.72092332016284533</v>
      </c>
    </row>
    <row r="46" spans="2:8" ht="15.75" thickBot="1" x14ac:dyDescent="0.3">
      <c r="B46" s="288" t="s">
        <v>492</v>
      </c>
      <c r="C46" s="289">
        <f t="shared" ref="C46:H46" si="4">C43*C45</f>
        <v>2190000</v>
      </c>
      <c r="D46" s="289">
        <f t="shared" si="4"/>
        <v>878105.65695613855</v>
      </c>
      <c r="E46" s="289">
        <f t="shared" si="4"/>
        <v>914855.24716330436</v>
      </c>
      <c r="F46" s="289">
        <f t="shared" si="4"/>
        <v>947751.05672540911</v>
      </c>
      <c r="G46" s="289">
        <f t="shared" si="4"/>
        <v>977062.41830659239</v>
      </c>
      <c r="H46" s="290">
        <f t="shared" si="4"/>
        <v>1003041.1864164013</v>
      </c>
    </row>
    <row r="48" spans="2:8" ht="9.9499999999999993" customHeight="1" x14ac:dyDescent="0.25"/>
    <row r="49" spans="2:8" ht="20.100000000000001" customHeight="1" x14ac:dyDescent="0.25">
      <c r="B49" s="171" t="s">
        <v>493</v>
      </c>
      <c r="C49" s="195"/>
    </row>
    <row r="50" spans="2:8" x14ac:dyDescent="0.25">
      <c r="B50" s="174" t="s">
        <v>494</v>
      </c>
      <c r="C50" s="476">
        <v>0.02</v>
      </c>
      <c r="D50" t="s">
        <v>495</v>
      </c>
    </row>
    <row r="51" spans="2:8" x14ac:dyDescent="0.25">
      <c r="B51" s="174" t="str">
        <f>"FCFF N+5 (base calcul VT) "&amp;Accueil!F28</f>
        <v>FCFF N+5 (base calcul VT) M€</v>
      </c>
      <c r="C51" s="176">
        <f>H43</f>
        <v>1391328.5343437495</v>
      </c>
    </row>
    <row r="52" spans="2:8" x14ac:dyDescent="0.25">
      <c r="B52" s="174" t="str">
        <f>"Valeur Terminale (VT) "&amp;Accueil!F28</f>
        <v>Valeur Terminale (VT) M€</v>
      </c>
      <c r="C52" s="176">
        <f>C51*(1+C50)/(C22-C50)</f>
        <v>29793226.29453874</v>
      </c>
    </row>
    <row r="53" spans="2:8" x14ac:dyDescent="0.25">
      <c r="B53" s="177" t="str">
        <f>"VT actualisee "&amp;Accueil!F28</f>
        <v>VT actualisee M€</v>
      </c>
      <c r="C53" s="178">
        <f>C52/(1+C22)^5</f>
        <v>21478631.618621856</v>
      </c>
    </row>
    <row r="54" spans="2:8" ht="9.9499999999999993" customHeight="1" x14ac:dyDescent="0.25"/>
    <row r="55" spans="2:8" ht="20.100000000000001" customHeight="1" x14ac:dyDescent="0.25">
      <c r="B55" s="324" t="s">
        <v>496</v>
      </c>
      <c r="C55" s="477"/>
      <c r="E55" s="893" t="s">
        <v>1678</v>
      </c>
      <c r="F55" s="868"/>
      <c r="G55" s="868"/>
      <c r="H55" s="868"/>
    </row>
    <row r="56" spans="2:8" x14ac:dyDescent="0.25">
      <c r="B56" s="325" t="str">
        <f>"Σ FCFF actualisés ("&amp;Accueil!F28&amp;")"</f>
        <v>Σ FCFF actualisés (M€)</v>
      </c>
      <c r="C56" s="478">
        <f>SUM(D46:H46)</f>
        <v>4720815.5655678455</v>
      </c>
      <c r="E56" s="916" t="str">
        <f>IF('Valorisation DCF'!C41&gt;=PLAN_AMORT!N20,"✅ CAPEX ("&amp;TEXT(C41,"#,##0")&amp;"€) &gt; D&amp;A PLAN_AMORT ("&amp;TEXT(PLAN_AMORT!N20,"#,##0")&amp;"€)","⚠️ Sous-investissement : CAPEX "&amp;TEXT(C41,"#,##0")&amp;"€ &lt; D&amp;A "&amp;TEXT(PLAN_AMORT!N20,"#,##0")&amp;"€")</f>
        <v>✅ CAPEX (1800000,0€) &gt; D&amp;A PLAN_AMORT (301688,680€)</v>
      </c>
    </row>
    <row r="57" spans="2:8" x14ac:dyDescent="0.25">
      <c r="B57" s="325" t="str">
        <f>"VT actualisée ("&amp;Accueil!F28&amp;")"</f>
        <v>VT actualisée (M€)</v>
      </c>
      <c r="C57" s="478">
        <f>C53</f>
        <v>21478631.618621856</v>
      </c>
      <c r="E57" s="917" t="str">
        <f>"Seuil rentabilité BU : "&amp;TEXT(IFERROR(ECARTS_BU!G73/(ECARTS_BU!G71/ECARTS_BU!G69),0),"#,##0")&amp;"€ | Croiss. impl. : "&amp;TEXT(ROUND((IFERROR(ECARTS_BU!G73/(ECARTS_BU!G71/ECARTS_BU!G69),0)/ECARTS_BU!AB10-1)*100,1),"0.0")&amp;"%"</f>
        <v>Seuil rentabilité BU : -2622542,824€ | Croiss. impl. : -12.0%</v>
      </c>
    </row>
    <row r="58" spans="2:8" x14ac:dyDescent="0.25">
      <c r="B58" s="326" t="str">
        <f>"📌 ENTERPRISE VALUE ("&amp;Accueil!F28&amp;")"</f>
        <v>📌 ENTERPRISE VALUE (M€)</v>
      </c>
      <c r="C58" s="479">
        <f>C56+C57</f>
        <v>26199447.1841897</v>
      </c>
    </row>
    <row r="59" spans="2:8" x14ac:dyDescent="0.25">
      <c r="B59" s="327" t="str">
        <f>"− Dettes financières nettes ("&amp;Accueil!F28&amp;")"</f>
        <v>− Dettes financières nettes (M€)</v>
      </c>
      <c r="C59" s="480">
        <f>C16</f>
        <v>4150000</v>
      </c>
    </row>
    <row r="60" spans="2:8" x14ac:dyDescent="0.25">
      <c r="B60" s="328" t="str">
        <f>"💰 EQUITY VALUE ("&amp;Accueil!F28&amp;")"</f>
        <v>💰 EQUITY VALUE (M€)</v>
      </c>
      <c r="C60" s="335">
        <f>C58-C59</f>
        <v>22049447.1841897</v>
      </c>
    </row>
    <row r="61" spans="2:8" x14ac:dyDescent="0.25">
      <c r="B61" s="329"/>
      <c r="C61" s="334"/>
    </row>
    <row r="62" spans="2:8" x14ac:dyDescent="0.25">
      <c r="B62" s="330" t="s">
        <v>497</v>
      </c>
      <c r="C62" s="336">
        <v>1000</v>
      </c>
    </row>
    <row r="63" spans="2:8" x14ac:dyDescent="0.25">
      <c r="B63" s="331" t="str">
        <f>"📌 Prix par action ("&amp;Accueil!F28&amp;")"</f>
        <v>📌 Prix par action (M€)</v>
      </c>
      <c r="C63" s="488">
        <f>C60/C62</f>
        <v>22049.447184189699</v>
      </c>
    </row>
    <row r="64" spans="2:8" x14ac:dyDescent="0.25">
      <c r="B64" s="329"/>
      <c r="C64" s="334"/>
    </row>
    <row r="65" spans="2:7" x14ac:dyDescent="0.25">
      <c r="B65" s="332" t="s">
        <v>498</v>
      </c>
      <c r="C65" s="477">
        <f>C56+C53*0.8-C59</f>
        <v>17753720.860465333</v>
      </c>
    </row>
    <row r="66" spans="2:7" x14ac:dyDescent="0.25">
      <c r="B66" s="333" t="str">
        <f>"   Scénario bas ("&amp;Accueil!F28&amp;")"</f>
        <v xml:space="preserve">   Scénario bas (M€)</v>
      </c>
      <c r="C66" s="489">
        <f>C60</f>
        <v>22049447.1841897</v>
      </c>
    </row>
    <row r="67" spans="2:7" ht="15.75" thickBot="1" x14ac:dyDescent="0.3">
      <c r="B67" s="337" t="str">
        <f>"   Scénario haut ("&amp;Accueil!F28&amp;")"</f>
        <v xml:space="preserve">   Scénario haut (M€)</v>
      </c>
      <c r="C67" s="490">
        <f>C56+C53*1.2-C59</f>
        <v>26345173.507914074</v>
      </c>
    </row>
    <row r="70" spans="2:7" ht="20.100000000000001" customHeight="1" x14ac:dyDescent="0.25">
      <c r="B70" s="339" t="s">
        <v>499</v>
      </c>
    </row>
    <row r="71" spans="2:7" x14ac:dyDescent="0.25">
      <c r="B71" s="340"/>
      <c r="C71" s="338">
        <v>6.5</v>
      </c>
      <c r="D71" t="s">
        <v>500</v>
      </c>
    </row>
    <row r="72" spans="2:7" x14ac:dyDescent="0.25">
      <c r="B72" s="340"/>
      <c r="C72" s="338">
        <v>0.8</v>
      </c>
      <c r="D72" t="s">
        <v>501</v>
      </c>
    </row>
    <row r="73" spans="2:7" x14ac:dyDescent="0.25">
      <c r="B73" s="340"/>
      <c r="C73" s="338">
        <v>12</v>
      </c>
      <c r="D73" t="s">
        <v>502</v>
      </c>
    </row>
    <row r="74" spans="2:7" x14ac:dyDescent="0.25">
      <c r="B74" s="341"/>
    </row>
    <row r="75" spans="2:7" x14ac:dyDescent="0.25">
      <c r="B75" s="340"/>
      <c r="C75" s="172">
        <f>'Dashboard Interactif'!C4*C71</f>
        <v>31005000</v>
      </c>
    </row>
    <row r="76" spans="2:7" x14ac:dyDescent="0.25">
      <c r="B76" s="340"/>
      <c r="C76" s="172">
        <f>'Dashboard Interactif'!B4*C72</f>
        <v>25920000</v>
      </c>
    </row>
    <row r="77" spans="2:7" x14ac:dyDescent="0.25">
      <c r="B77" s="340"/>
      <c r="C77" s="172">
        <f>'Dashboard Interactif'!D4*C73</f>
        <v>25380000</v>
      </c>
    </row>
    <row r="79" spans="2:7" ht="20.100000000000001" customHeight="1" thickBot="1" x14ac:dyDescent="0.3">
      <c r="B79" s="175" t="s">
        <v>503</v>
      </c>
    </row>
    <row r="80" spans="2:7" x14ac:dyDescent="0.25">
      <c r="B80" s="291" t="str">
        <f>"EV ("&amp;Accueil!F28&amp;")  WACC \\ g →"</f>
        <v>EV (M€)  WACC \\ g →</v>
      </c>
      <c r="C80" s="297">
        <v>0.01</v>
      </c>
      <c r="D80" s="297">
        <v>1.4999999999999999E-2</v>
      </c>
      <c r="E80" s="297">
        <v>0.02</v>
      </c>
      <c r="F80" s="297">
        <v>2.5000000000000001E-2</v>
      </c>
      <c r="G80" s="298">
        <v>0.03</v>
      </c>
    </row>
    <row r="81" spans="2:7" x14ac:dyDescent="0.25">
      <c r="B81" s="295">
        <v>0.05</v>
      </c>
      <c r="C81" s="299">
        <f>ROUND(($C$56+($C$51*(1+C$80)/($B81-C$80))/(1+$B81)^5)/Accueil!$F$27,IF(Accueil!$F$29=0,0,Accueil!$F$29))</f>
        <v>32.200000000000003</v>
      </c>
      <c r="D81" s="299">
        <f>ROUND(($C$56+($C$51*(1+D$80)/($B81-D$80))/(1+$B81)^5)/Accueil!$F$27,IF(Accueil!$F$29=0,0,Accueil!$F$29))</f>
        <v>36.299999999999997</v>
      </c>
      <c r="E81" s="299">
        <f>ROUND(($C$56+($C$51*(1+E$80)/($B81-E$80))/(1+$B81)^5)/Accueil!$F$27,IF(Accueil!$F$29=0,0,Accueil!$F$29))</f>
        <v>41.8</v>
      </c>
      <c r="F81" s="299">
        <f>ROUND(($C$56+($C$51*(1+F$80)/($B81-F$80))/(1+$B81)^5)/Accueil!$F$27,IF(Accueil!$F$29=0,0,Accueil!$F$29))</f>
        <v>49.4</v>
      </c>
      <c r="G81" s="299">
        <f>ROUND(($C$56+($C$51*(1+G$80)/($B81-G$80))/(1+$B81)^5)/Accueil!$F$27,IF(Accueil!$F$29=0,0,Accueil!$F$29))</f>
        <v>60.9</v>
      </c>
    </row>
    <row r="82" spans="2:7" x14ac:dyDescent="0.25">
      <c r="B82" s="295">
        <v>5.5E-2</v>
      </c>
      <c r="C82" s="299">
        <f>ROUND(($C$56+($C$51*(1+C$80)/($B82-C$80))/(1+$B82)^5)/Accueil!$F$27,IF(Accueil!$F$29=0,0,Accueil!$F$29))</f>
        <v>28.6</v>
      </c>
      <c r="D82" s="299">
        <f>ROUND(($C$56+($C$51*(1+D$80)/($B82-D$80))/(1+$B82)^5)/Accueil!$F$27,IF(Accueil!$F$29=0,0,Accueil!$F$29))</f>
        <v>31.7</v>
      </c>
      <c r="E82" s="299">
        <f>ROUND(($C$56+($C$51*(1+E$80)/($B82-E$80))/(1+$B82)^5)/Accueil!$F$27,IF(Accueil!$F$29=0,0,Accueil!$F$29))</f>
        <v>35.700000000000003</v>
      </c>
      <c r="F82" s="299">
        <f>ROUND(($C$56+($C$51*(1+F$80)/($B82-F$80))/(1+$B82)^5)/Accueil!$F$27,IF(Accueil!$F$29=0,0,Accueil!$F$29))</f>
        <v>41.1</v>
      </c>
      <c r="G82" s="299">
        <f>ROUND(($C$56+($C$51*(1+G$80)/($B82-G$80))/(1+$B82)^5)/Accueil!$F$27,IF(Accueil!$F$29=0,0,Accueil!$F$29))</f>
        <v>48.6</v>
      </c>
    </row>
    <row r="83" spans="2:7" x14ac:dyDescent="0.25">
      <c r="B83" s="295">
        <v>0.06</v>
      </c>
      <c r="C83" s="299">
        <f>ROUND(($C$56+($C$51*(1+C$80)/($B83-C$80))/(1+$B83)^5)/Accueil!$F$27,IF(Accueil!$F$29=0,0,Accueil!$F$29))</f>
        <v>25.7</v>
      </c>
      <c r="D83" s="299">
        <f>ROUND(($C$56+($C$51*(1+D$80)/($B83-D$80))/(1+$B83)^5)/Accueil!$F$27,IF(Accueil!$F$29=0,0,Accueil!$F$29))</f>
        <v>28.2</v>
      </c>
      <c r="E83" s="299">
        <f>ROUND(($C$56+($C$51*(1+E$80)/($B83-E$80))/(1+$B83)^5)/Accueil!$F$27,IF(Accueil!$F$29=0,0,Accueil!$F$29))</f>
        <v>31.2</v>
      </c>
      <c r="F83" s="299">
        <f>ROUND(($C$56+($C$51*(1+F$80)/($B83-F$80))/(1+$B83)^5)/Accueil!$F$27,IF(Accueil!$F$29=0,0,Accueil!$F$29))</f>
        <v>35.200000000000003</v>
      </c>
      <c r="G83" s="299">
        <f>ROUND(($C$56+($C$51*(1+G$80)/($B83-G$80))/(1+$B83)^5)/Accueil!$F$27,IF(Accueil!$F$29=0,0,Accueil!$F$29))</f>
        <v>40.4</v>
      </c>
    </row>
    <row r="84" spans="2:7" x14ac:dyDescent="0.25">
      <c r="B84" s="295">
        <v>6.5000000000000002E-2</v>
      </c>
      <c r="C84" s="299">
        <f>ROUND(($C$56+($C$51*(1+C$80)/($B84-C$80))/(1+$B84)^5)/Accueil!$F$27,IF(Accueil!$F$29=0,0,Accueil!$F$29))</f>
        <v>23.4</v>
      </c>
      <c r="D84" s="299">
        <f>ROUND(($C$56+($C$51*(1+D$80)/($B84-D$80))/(1+$B84)^5)/Accueil!$F$27,IF(Accueil!$F$29=0,0,Accueil!$F$29))</f>
        <v>25.3</v>
      </c>
      <c r="E84" s="299">
        <f>ROUND(($C$56+($C$51*(1+E$80)/($B84-E$80))/(1+$B84)^5)/Accueil!$F$27,IF(Accueil!$F$29=0,0,Accueil!$F$29))</f>
        <v>27.7</v>
      </c>
      <c r="F84" s="299">
        <f>ROUND(($C$56+($C$51*(1+F$80)/($B84-F$80))/(1+$B84)^5)/Accueil!$F$27,IF(Accueil!$F$29=0,0,Accueil!$F$29))</f>
        <v>30.7</v>
      </c>
      <c r="G84" s="299">
        <f>ROUND(($C$56+($C$51*(1+G$80)/($B84-G$80))/(1+$B84)^5)/Accueil!$F$27,IF(Accueil!$F$29=0,0,Accueil!$F$29))</f>
        <v>34.6</v>
      </c>
    </row>
    <row r="85" spans="2:7" x14ac:dyDescent="0.25">
      <c r="B85" s="295">
        <v>7.0000000000000007E-2</v>
      </c>
      <c r="C85" s="299">
        <f>ROUND(($C$56+($C$51*(1+C$80)/($B85-C$80))/(1+$B85)^5)/Accueil!$F$27,IF(Accueil!$F$29=0,0,Accueil!$F$29))</f>
        <v>21.4</v>
      </c>
      <c r="D85" s="299">
        <f>ROUND(($C$56+($C$51*(1+D$80)/($B85-D$80))/(1+$B85)^5)/Accueil!$F$27,IF(Accueil!$F$29=0,0,Accueil!$F$29))</f>
        <v>23</v>
      </c>
      <c r="E85" s="299">
        <f>ROUND(($C$56+($C$51*(1+E$80)/($B85-E$80))/(1+$B85)^5)/Accueil!$F$27,IF(Accueil!$F$29=0,0,Accueil!$F$29))</f>
        <v>25</v>
      </c>
      <c r="F85" s="299">
        <f>ROUND(($C$56+($C$51*(1+F$80)/($B85-F$80))/(1+$B85)^5)/Accueil!$F$27,IF(Accueil!$F$29=0,0,Accueil!$F$29))</f>
        <v>27.3</v>
      </c>
      <c r="G85" s="299">
        <f>ROUND(($C$56+($C$51*(1+G$80)/($B85-G$80))/(1+$B85)^5)/Accueil!$F$27,IF(Accueil!$F$29=0,0,Accueil!$F$29))</f>
        <v>30.3</v>
      </c>
    </row>
    <row r="86" spans="2:7" x14ac:dyDescent="0.25">
      <c r="B86" s="295">
        <v>7.4999999999999997E-2</v>
      </c>
      <c r="C86" s="299">
        <f t="shared" ref="C86:C87" si="5">ROUND(($C$56+($C$51*(1+C$80)/($B86-C$80))/(1+$B86)^5)/1000000,1)</f>
        <v>19.8</v>
      </c>
      <c r="D86" s="299">
        <f t="shared" ref="D86:G87" si="6">ROUND(($C$56+($C$51*(1+D$80)/($B86-D$80))/(1+$B86)^5)/1000000,1)</f>
        <v>21.1</v>
      </c>
      <c r="E86" s="299">
        <f t="shared" si="6"/>
        <v>22.7</v>
      </c>
      <c r="F86" s="299">
        <f t="shared" si="6"/>
        <v>24.6</v>
      </c>
      <c r="G86" s="299">
        <f t="shared" si="6"/>
        <v>26.9</v>
      </c>
    </row>
    <row r="87" spans="2:7" ht="15.75" thickBot="1" x14ac:dyDescent="0.3">
      <c r="B87" s="296">
        <v>0.08</v>
      </c>
      <c r="C87" s="299">
        <f t="shared" si="5"/>
        <v>18.399999999999999</v>
      </c>
      <c r="D87" s="299">
        <f t="shared" si="6"/>
        <v>19.5</v>
      </c>
      <c r="E87" s="299">
        <f t="shared" si="6"/>
        <v>20.8</v>
      </c>
      <c r="F87" s="299">
        <f t="shared" si="6"/>
        <v>22.4</v>
      </c>
      <c r="G87" s="299">
        <f t="shared" si="6"/>
        <v>24.2</v>
      </c>
    </row>
  </sheetData>
  <mergeCells count="2">
    <mergeCell ref="B2:K2"/>
    <mergeCell ref="B3:K3"/>
  </mergeCells>
  <conditionalFormatting sqref="C81:G87">
    <cfRule type="cellIs" dxfId="32" priority="1" operator="greaterThan">
      <formula>60</formula>
    </cfRule>
    <cfRule type="cellIs" dxfId="31" priority="2" operator="lessThan">
      <formula>40</formula>
    </cfRule>
  </conditionalFormatting>
  <pageMargins left="0.7" right="0.7" top="0.75" bottom="0.75" header="0.3" footer="0.3"/>
  <ignoredErrors>
    <ignoredError sqref="C38" formula="1"/>
  </ignoredErrors>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3CCC7-EAC5-45D4-A522-D85FD0F830BC}">
  <sheetPr>
    <tabColor rgb="FFED7D31"/>
  </sheetPr>
  <dimension ref="A1:R81"/>
  <sheetViews>
    <sheetView showGridLines="0" topLeftCell="A38" workbookViewId="0">
      <selection activeCell="C49" sqref="C49"/>
    </sheetView>
  </sheetViews>
  <sheetFormatPr baseColWidth="10" defaultColWidth="10.7109375" defaultRowHeight="15" x14ac:dyDescent="0.25"/>
  <cols>
    <col min="1" max="1" width="0.5703125" style="18" customWidth="1"/>
    <col min="2" max="3" width="26.7109375" style="18" customWidth="1"/>
    <col min="4" max="4" width="17.140625" style="18" customWidth="1"/>
    <col min="5" max="5" width="21" style="18" customWidth="1"/>
    <col min="6" max="6" width="120.140625" style="18" bestFit="1" customWidth="1"/>
    <col min="7" max="7" width="57.140625" style="18" customWidth="1"/>
    <col min="8" max="12" width="24.7109375" style="18" customWidth="1"/>
    <col min="13" max="13" width="2.7109375" style="18" customWidth="1"/>
    <col min="14" max="14" width="22.85546875" style="18" customWidth="1"/>
    <col min="15" max="16" width="24.7109375" style="18" customWidth="1"/>
    <col min="17" max="17" width="12.7109375" customWidth="1"/>
    <col min="18" max="18" width="11.42578125" collapsed="1"/>
  </cols>
  <sheetData>
    <row r="1" spans="2:17" ht="39.950000000000003" customHeight="1" x14ac:dyDescent="0.35">
      <c r="B1" s="1234" t="str">
        <f>"📊 DASHBOARD FINANCIER — "&amp;'Données Brutes'!L1&amp;" | Exercice 2025"</f>
        <v>📊 DASHBOARD FINANCIER — Acier Côte Ouest SAS | Exercice 2025</v>
      </c>
      <c r="C1" s="1235"/>
      <c r="D1" s="1235"/>
      <c r="E1" s="1235"/>
      <c r="F1" s="1235"/>
      <c r="G1" s="1235"/>
      <c r="H1" s="1235"/>
      <c r="I1" s="1235"/>
      <c r="J1" s="1235"/>
      <c r="K1" s="1235"/>
      <c r="L1" s="1235"/>
      <c r="M1" s="1235"/>
      <c r="N1" s="1235"/>
      <c r="O1" s="1235"/>
      <c r="P1" s="1235"/>
    </row>
    <row r="2" spans="2:17" ht="15.75" thickBot="1" x14ac:dyDescent="0.3"/>
    <row r="3" spans="2:17" ht="18" customHeight="1" thickTop="1" x14ac:dyDescent="0.25">
      <c r="B3" s="19" t="s">
        <v>504</v>
      </c>
      <c r="C3" s="19" t="s">
        <v>505</v>
      </c>
      <c r="D3" s="19" t="s">
        <v>506</v>
      </c>
      <c r="E3" s="19" t="s">
        <v>99</v>
      </c>
      <c r="F3" s="19" t="s">
        <v>507</v>
      </c>
      <c r="G3" s="1363" t="s">
        <v>956</v>
      </c>
      <c r="H3" s="1364"/>
    </row>
    <row r="4" spans="2:17" ht="27.95" customHeight="1" x14ac:dyDescent="0.35">
      <c r="B4" s="481">
        <f>SUMIFS('Données Brutes'!F38:F56,'Données Brutes'!A38:A56,"Chiffre d'affaires net")</f>
        <v>32400000</v>
      </c>
      <c r="C4" s="481">
        <f>(SUMIF('Données Brutes'!A38:A56,"Chiffre d'affaires net",'Données Brutes'!F38:F56)+SUMIF('Données Brutes'!A38:A56,"Production stockée",'Données Brutes'!F38:F56)+SUMIF('Données Brutes'!A38:A56,"Production immobilisée",'Données Brutes'!F38:F56)+SUMIF('Données Brutes'!A38:A56,"Subventions exploitation",'Données Brutes'!F38:F56))-(SUMIF('Données Brutes'!A38:A56,"Achats matières premières",'Données Brutes'!F38:F56)+SUMIF('Données Brutes'!A38:A56,"Variation stocks MP",'Données Brutes'!F38:F56)+SUMIF('Données Brutes'!A38:A56,"Autres achats &amp; charges ext.",'Données Brutes'!F38:F56)+SUMIF('Données Brutes'!A38:A56,"Impôts &amp; taxes",'Données Brutes'!F38:F56)+SUMIF('Données Brutes'!A38:A56,"Charges de personnel",'Données Brutes'!F38:F56))</f>
        <v>4770000</v>
      </c>
      <c r="D4" s="481">
        <f>SUMIFS('Données Brutes'!F2:F26,'Données Brutes'!A2:A26,"Résultat net")</f>
        <v>2115000</v>
      </c>
      <c r="E4" s="358">
        <f>'Ratios &amp; Indicateurs'!F27</f>
        <v>0.15974320241691842</v>
      </c>
      <c r="F4" s="1039">
        <f>'Ratios &amp; Indicateurs'!F90</f>
        <v>121</v>
      </c>
      <c r="G4" s="1042">
        <f>ROUND('Ratios &amp; Indicateurs'!F20,2)</f>
        <v>2.94</v>
      </c>
      <c r="H4" s="1045" t="str">
        <f>IF('Ratios &amp; Indicateurs'!F20&gt;=2.99,"SAIN",IF('Ratios &amp; Indicateurs'!F20&gt;=1.81,"ZONE GRISE","RISQUE"))</f>
        <v>ZONE GRISE</v>
      </c>
    </row>
    <row r="5" spans="2:17" x14ac:dyDescent="0.25">
      <c r="B5" s="359" t="str">
        <f>IF((SUMIFS('Données Brutes'!F38:F56,'Données Brutes'!A38:A56,"Chiffre d'affaires net")-SUMIFS('Données Brutes'!E38:E56,'Données Brutes'!A38:A56,"Chiffre d'affaires net"))/SUMIFS('Données Brutes'!E38:E56,'Données Brutes'!A38:A56,"Chiffre d'affaires net")&gt;=0,"▲ +"&amp;TEXT((SUMIFS('Données Brutes'!F38:F56,'Données Brutes'!A38:A56,"Chiffre d'affaires net")-SUMIFS('Données Brutes'!E38:E56,'Données Brutes'!A38:A56,"Chiffre d'affaires net"))/SUMIFS('Données Brutes'!E38:E56,'Données Brutes'!A38:A56,"Chiffre d'affaires net")*100,"0,0")&amp;"% vs 2024","▼ "&amp;TEXT((SUMIFS('Données Brutes'!F38:F56,'Données Brutes'!A38:A56,"Chiffre d'affaires net")-SUMIFS('Données Brutes'!E38:E56,'Données Brutes'!A38:A56,"Chiffre d'affaires net"))/SUMIFS('Données Brutes'!E38:E56,'Données Brutes'!A38:A56,"Chiffre d'affaires net")*100,"0,0")&amp;"% vs 2024")</f>
        <v>▲ +8,7% vs 2024</v>
      </c>
      <c r="C5" s="361" t="str">
        <f>"Marge EBITDA : "&amp;TEXT('Ratios &amp; Indicateurs'!F24*100,"0,0")&amp;"%"</f>
        <v>Marge EBITDA : 14,7%</v>
      </c>
      <c r="D5" s="359" t="str">
        <f>IF((D4-SUMIF('Données Brutes'!A2:A26,"Résultat net",'Données Brutes'!E2:E26))&gt;=0,"▲ +"&amp;TEXT((D4-SUMIF('Données Brutes'!A2:A26,"Résultat net",'Données Brutes'!E2:E26))/Accueil!F27,"# ##0")&amp;" "&amp;Accueil!F28,"▼ "&amp;TEXT((D4-SUMIF('Données Brutes'!A2:A26,"Résultat net",'Données Brutes'!E2:E26))/Accueil!F27,"# ##0")&amp;" "&amp;Accueil!F28)</f>
        <v>▲ +0 M€</v>
      </c>
      <c r="E5" s="360" t="str">
        <f>IF(('Ratios &amp; Indicateurs'!F27-'Ratios &amp; Indicateurs'!E27)&gt;=0,"▲ +"&amp;TEXT(('Ratios &amp; Indicateurs'!F27-'Ratios &amp; Indicateurs'!E27)*100,"0.0")&amp;" pts","▼ "&amp;TEXT(('Ratios &amp; Indicateurs'!F27-'Ratios &amp; Indicateurs'!E27)*100,"0.0")&amp;" pts")</f>
        <v>▼ -0.4 pts</v>
      </c>
      <c r="F5" s="1040" t="str">
        <f>IF('Ratios &amp; Indicateurs'!F90/150&gt;=0.75,"🟢 VERT",IF('Ratios &amp; Indicateurs'!F90/150&gt;=0.5,"🟠 ORANGE","🔴 ROUGE"))</f>
        <v>🟢 VERT</v>
      </c>
      <c r="G5" s="1365" t="str">
        <f>IF('Ratios &amp; Indicateurs'!F20&gt;=2.99,"Risque faillite très faible",IF('Ratios &amp; Indicateurs'!F20&gt;=1.81,"Vigilance — zone d'incertitude","⚠️ ALERTE — Risque défaillance"))</f>
        <v>Vigilance — zone d'incertitude</v>
      </c>
      <c r="H5" s="1366"/>
    </row>
    <row r="6" spans="2:17" x14ac:dyDescent="0.25">
      <c r="B6" s="362" t="str">
        <f>"Tréso. Nette : "&amp;TEXT((SUMIF('Données Brutes'!A2:A26,"Trésorerie active",'Données Brutes'!F2:F26)+SUMIF('Données Brutes'!A2:A26,"VMP",'Données Brutes'!F2:F26))/Accueil!F27,"# ##0")&amp;" "&amp;Accueil!F28</f>
        <v>Tréso. Nette : 2 M€</v>
      </c>
      <c r="C6" s="342" t="str">
        <f>"DIO : "&amp;TEXT('Ratios &amp; Indicateurs'!F35,"0")&amp;"j · DSO : "&amp;TEXT('Ratios &amp; Indicateurs'!F34,"0")&amp;"j"</f>
        <v>DIO : 129j · DSO : 57j</v>
      </c>
      <c r="D6" s="342" t="str">
        <f>"Marge Nette : "&amp;TEXT('Ratios &amp; Indicateurs'!F26*100,"0,0")&amp;"%"</f>
        <v>Marge Nette : 6,5%</v>
      </c>
      <c r="E6" s="363" t="str">
        <f>"Z-Score : "&amp;TEXT('Ratios &amp; Indicateurs'!F20,"0,00")</f>
        <v>Z-Score : 2,94</v>
      </c>
      <c r="F6" s="1041" t="str">
        <f>IF('Ratios &amp; Indicateurs'!F90/150&gt;=0.75,"Santé financière solide",IF('Ratios &amp; Indicateurs'!F90/150&gt;=0.5,"Vigilance requise","Risques élevés"))</f>
        <v>Santé financière solide</v>
      </c>
      <c r="G6" s="1043">
        <f>'Ratios &amp; Indicateurs'!F20</f>
        <v>2.9382453126911403</v>
      </c>
      <c r="H6" s="1046">
        <f>5-'Ratios &amp; Indicateurs'!F20</f>
        <v>2.0617546873088597</v>
      </c>
    </row>
    <row r="7" spans="2:17" ht="15.75" thickBot="1" x14ac:dyDescent="0.3">
      <c r="B7" s="20"/>
      <c r="C7" s="20"/>
      <c r="D7" s="20"/>
      <c r="E7" s="20"/>
      <c r="F7" s="20"/>
      <c r="G7" s="1044">
        <v>5</v>
      </c>
      <c r="H7" s="1047"/>
    </row>
    <row r="9" spans="2:17" ht="20.100000000000001" customHeight="1" x14ac:dyDescent="0.25">
      <c r="B9" s="1356" t="s">
        <v>508</v>
      </c>
      <c r="C9" s="1357"/>
      <c r="D9" s="1357"/>
      <c r="E9" s="1357"/>
      <c r="F9" s="1357"/>
      <c r="H9" s="1358" t="s">
        <v>509</v>
      </c>
      <c r="I9" s="1359"/>
      <c r="J9" s="1359"/>
      <c r="K9" s="1359"/>
      <c r="L9" s="1359"/>
      <c r="M9" s="371"/>
      <c r="N9" s="371"/>
      <c r="O9" s="371"/>
      <c r="P9" s="371"/>
      <c r="Q9" s="372"/>
    </row>
    <row r="10" spans="2:17" x14ac:dyDescent="0.25">
      <c r="B10" s="31" t="s">
        <v>510</v>
      </c>
      <c r="C10" s="31" t="s">
        <v>112</v>
      </c>
      <c r="D10" s="31" t="s">
        <v>93</v>
      </c>
      <c r="E10" s="31" t="s">
        <v>94</v>
      </c>
      <c r="F10" s="31" t="s">
        <v>111</v>
      </c>
      <c r="H10" s="483" t="s">
        <v>511</v>
      </c>
      <c r="I10" s="483" t="s">
        <v>512</v>
      </c>
      <c r="J10" s="483" t="s">
        <v>513</v>
      </c>
      <c r="K10" s="483" t="s">
        <v>514</v>
      </c>
      <c r="L10" s="483" t="s">
        <v>515</v>
      </c>
      <c r="M10" s="371"/>
      <c r="N10" s="371"/>
      <c r="O10" s="371"/>
      <c r="P10" s="371"/>
      <c r="Q10" s="372"/>
    </row>
    <row r="11" spans="2:17" x14ac:dyDescent="0.25">
      <c r="B11" s="32" t="s">
        <v>516</v>
      </c>
      <c r="C11" s="225">
        <f>'Ratios &amp; Indicateurs'!F6</f>
        <v>2.0914826498422712</v>
      </c>
      <c r="D11" s="32" t="s">
        <v>517</v>
      </c>
      <c r="E11" s="32" t="str">
        <f>IF('Ratios &amp; Indicateurs'!F6&gt;=1.5,"✅ OK",IF('Ratios &amp; Indicateurs'!F6&gt;=1,"⚠️ Faible","🔴 Critique"))</f>
        <v>✅ OK</v>
      </c>
      <c r="F11" s="142" t="str">
        <f>IF(E11="✅ OK","✅ Liquidité générale ("&amp;TEXT(C11,"0,00")&amp;"x) — conforme · Trésorerie court terme sécurisée","⚠️ Liquidité ("&amp;TEXT(C11,"0,00")&amp;"x) sous norme · Tension possible sur paiements courants")</f>
        <v>✅ Liquidité générale (2,09x) — conforme · Trésorerie court terme sécurisée</v>
      </c>
      <c r="H11" s="373">
        <v>0</v>
      </c>
      <c r="I11" s="373">
        <f>H11*(1-'Ratios &amp; Indicateurs'!F42)</f>
        <v>0</v>
      </c>
      <c r="J11" s="374">
        <f>SUMIF('Données Brutes'!A38:A56,"Autres achats &amp; charges ext.",'Données Brutes'!F38:F56)+SUMIF('Données Brutes'!A38:A56,"Impôts &amp; taxes",'Données Brutes'!F38:F56)+SUMIF('Données Brutes'!A38:A56,"Charges de personnel",'Données Brutes'!F38:F56)+SUMIF('Données Brutes'!A38:A56,"Dotations amortissements",'Données Brutes'!F38:F56)+SUMIF('Données Brutes'!A38:A56,"Dotations provisions exploit.",'Données Brutes'!F38:F56)+SUMIF('Données Brutes'!A38:A56,"Autres charges exploitation",'Données Brutes'!F38:F56)</f>
        <v>14010000</v>
      </c>
      <c r="K11" s="374">
        <f t="shared" ref="K11:K18" si="0">I11+J11</f>
        <v>14010000</v>
      </c>
      <c r="L11" s="373">
        <v>0</v>
      </c>
      <c r="M11" s="371"/>
      <c r="N11" s="371"/>
      <c r="O11" s="371"/>
      <c r="P11" s="371"/>
      <c r="Q11" s="372"/>
    </row>
    <row r="12" spans="2:17" x14ac:dyDescent="0.25">
      <c r="B12" s="33" t="s">
        <v>518</v>
      </c>
      <c r="C12" s="226">
        <f>'Ratios &amp; Indicateurs'!F7</f>
        <v>1.2082018927444795</v>
      </c>
      <c r="D12" s="33" t="s">
        <v>519</v>
      </c>
      <c r="E12" s="33" t="str">
        <f>IF('Ratios &amp; Indicateurs'!F7&gt;=1,"✅ OK",IF('Ratios &amp; Indicateurs'!F7&gt;=0.7,"⚠️ Faible","🔴 Critique"))</f>
        <v>✅ OK</v>
      </c>
      <c r="F12" s="142" t="str">
        <f>IF(E12="✅ OK","✅ Quick Ratio ("&amp;TEXT(C12,"0,00")&amp;"x) — actifs liquides couvrent le passif courant","⚠️ Quick Ratio ("&amp;TEXT(C12,"0,00")&amp;"x) · Stocks trop lourds dans l'actif courant")</f>
        <v>✅ Quick Ratio (1,21x) — actifs liquides couvrent le passif courant</v>
      </c>
      <c r="H12" s="373">
        <v>5000000</v>
      </c>
      <c r="I12" s="373">
        <f>H12*(1-'Ratios &amp; Indicateurs'!F42)</f>
        <v>2445987.6543209874</v>
      </c>
      <c r="J12" s="374">
        <v>14010000</v>
      </c>
      <c r="K12" s="374">
        <f t="shared" si="0"/>
        <v>16455987.654320987</v>
      </c>
      <c r="L12" s="373">
        <v>5000000</v>
      </c>
      <c r="M12" s="371"/>
      <c r="N12" s="371"/>
      <c r="O12" s="371"/>
      <c r="P12" s="371"/>
      <c r="Q12" s="372"/>
    </row>
    <row r="13" spans="2:17" x14ac:dyDescent="0.25">
      <c r="B13" s="32" t="s">
        <v>520</v>
      </c>
      <c r="C13" s="482">
        <f>'Ratios &amp; Indicateurs'!F9</f>
        <v>6920000</v>
      </c>
      <c r="D13" s="32" t="s">
        <v>285</v>
      </c>
      <c r="E13" s="32" t="str">
        <f>IF('Ratios &amp; Indicateurs'!F9&gt;0,"✅ OK","🔴 Négatif")</f>
        <v>✅ OK</v>
      </c>
      <c r="F13" s="142" t="str">
        <f>IF(E13="✅ OK","✅ FRNG positif ("&amp;TEXT(C13/Accueil!F27,"# ##0")&amp;" "&amp;Accueil!F28&amp;") — structure financière saine","🔴 FRNG négatif · Dettes CT financent actifs LT · Risque structurel")</f>
        <v>✅ FRNG positif (7 M€) — structure financière saine</v>
      </c>
      <c r="H13" s="373">
        <v>10000000</v>
      </c>
      <c r="I13" s="373">
        <f>H13*(1-'Ratios &amp; Indicateurs'!F42)</f>
        <v>4891975.3086419748</v>
      </c>
      <c r="J13" s="374">
        <v>14010000</v>
      </c>
      <c r="K13" s="374">
        <f t="shared" si="0"/>
        <v>18901975.308641974</v>
      </c>
      <c r="L13" s="373">
        <v>10000000</v>
      </c>
      <c r="M13" s="371"/>
      <c r="N13" s="371"/>
      <c r="O13" s="371"/>
      <c r="P13" s="371"/>
      <c r="Q13" s="372"/>
    </row>
    <row r="14" spans="2:17" x14ac:dyDescent="0.25">
      <c r="B14" s="33" t="s">
        <v>521</v>
      </c>
      <c r="C14" s="227">
        <f>'Ratios &amp; Indicateurs'!F11</f>
        <v>60.157407407407405</v>
      </c>
      <c r="D14" s="33" t="s">
        <v>324</v>
      </c>
      <c r="E14" s="33" t="str">
        <f>IF('Ratios &amp; Indicateurs'!F11&lt;60,"✅ OK",IF('Ratios &amp; Indicateurs'!F11&lt;90,"⚠️ Long","🔴 Critique"))</f>
        <v>⚠️ Long</v>
      </c>
      <c r="F14" s="142" t="str">
        <f>IF(E14="✅ OK","✅ BFR ("&amp;TEXT(C14,"0,0")&amp;" j) maîtrisé — cycle d'exploitation bien financé","⚠️ BFR ("&amp;TEXT(C14,"0,0")&amp;" j) élevé · Réduire stocks ou accélérer encaissements")</f>
        <v>⚠️ BFR (60,2 j) élevé · Réduire stocks ou accélérer encaissements</v>
      </c>
      <c r="H14" s="373">
        <v>16000000</v>
      </c>
      <c r="I14" s="373">
        <f>H14*(1-'Ratios &amp; Indicateurs'!F42)</f>
        <v>7827160.4938271595</v>
      </c>
      <c r="J14" s="374">
        <v>14010000</v>
      </c>
      <c r="K14" s="374">
        <f t="shared" si="0"/>
        <v>21837160.49382716</v>
      </c>
      <c r="L14" s="373">
        <v>16000000</v>
      </c>
      <c r="M14" s="371"/>
      <c r="N14" s="371"/>
      <c r="O14" s="371"/>
      <c r="P14" s="371"/>
      <c r="Q14" s="372"/>
    </row>
    <row r="15" spans="2:17" x14ac:dyDescent="0.25">
      <c r="B15" s="32" t="s">
        <v>522</v>
      </c>
      <c r="C15" s="225">
        <f>'Ratios &amp; Indicateurs'!F14</f>
        <v>0.93504531722054385</v>
      </c>
      <c r="D15" s="32" t="s">
        <v>523</v>
      </c>
      <c r="E15" s="32" t="str">
        <f>IF('Ratios &amp; Indicateurs'!F14&lt;1,"✅ OK",IF('Ratios &amp; Indicateurs'!F14&lt;2,"⚠️ Élevé","🔴 Critique"))</f>
        <v>✅ OK</v>
      </c>
      <c r="F15" s="142" t="str">
        <f>IF(E15="✅ OK","✅ Endettement ("&amp;TEXT(C15,"0,00")&amp;"x) — levier financier maîtrisé",IF(E15="⚠️ Élevé","⚠️ Debt/Equity ("&amp;TEXT(C15,"0,00")&amp;"x) &gt; 1 · Renforcer CP ou rembourser dette","🔴 Endettement critique · Restructuration financière requise"))</f>
        <v>✅ Endettement (0,94x) — levier financier maîtrisé</v>
      </c>
      <c r="H15" s="373">
        <v>22000000</v>
      </c>
      <c r="I15" s="373">
        <f>H15*(1-'Ratios &amp; Indicateurs'!F42)</f>
        <v>10762345.679012345</v>
      </c>
      <c r="J15" s="374">
        <v>14010000</v>
      </c>
      <c r="K15" s="374">
        <f t="shared" si="0"/>
        <v>24772345.679012343</v>
      </c>
      <c r="L15" s="373">
        <v>22000000</v>
      </c>
      <c r="M15" s="371"/>
      <c r="N15" s="371"/>
      <c r="O15" s="371"/>
      <c r="P15" s="371"/>
      <c r="Q15" s="372"/>
    </row>
    <row r="16" spans="2:17" x14ac:dyDescent="0.25">
      <c r="B16" s="33" t="s">
        <v>101</v>
      </c>
      <c r="C16" s="226">
        <f>'Ratios &amp; Indicateurs'!F20</f>
        <v>2.9382453126911403</v>
      </c>
      <c r="D16" s="33" t="s">
        <v>524</v>
      </c>
      <c r="E16" s="33" t="str">
        <f>IF('Ratios &amp; Indicateurs'!F20&gt;2.99,"✅ Zone Sûre",IF('Ratios &amp; Indicateurs'!F20&gt;1.81,"⚠️ Zone Grise","🔴 Zone Danger"))</f>
        <v>⚠️ Zone Grise</v>
      </c>
      <c r="F16" s="142" t="str">
        <f>IF(E16="✅ Zone Sûre","✅ Altman Z ("&amp;TEXT(C16,"0,00")&amp;") &gt; 2.99 — Zone sûre · Risque de défaillance faible",IF(E16="⚠️ Zone Grise","⚠️ Altman Z ("&amp;TEXT(C16,"0,00")&amp;") en Zone Grise (1,81–2,99) · Vigilance accrue","🔴 Altman Z ("&amp;TEXT(C16,"0,00")&amp;") &lt; 1.81 — Zone Danger · Risque de défaillance élevé"))</f>
        <v>⚠️ Altman Z (2,94) en Zone Grise (1,81–2,99) · Vigilance accrue</v>
      </c>
      <c r="H16" s="373">
        <v>28000000</v>
      </c>
      <c r="I16" s="373">
        <f>H16*(1-'Ratios &amp; Indicateurs'!F42)</f>
        <v>13697530.86419753</v>
      </c>
      <c r="J16" s="374">
        <v>14010000</v>
      </c>
      <c r="K16" s="374">
        <f t="shared" si="0"/>
        <v>27707530.86419753</v>
      </c>
      <c r="L16" s="373">
        <v>28000000</v>
      </c>
      <c r="M16" s="371"/>
      <c r="N16" s="371"/>
      <c r="O16" s="371"/>
      <c r="P16" s="371"/>
      <c r="Q16" s="372"/>
    </row>
    <row r="17" spans="2:17" x14ac:dyDescent="0.25">
      <c r="B17" s="32" t="s">
        <v>525</v>
      </c>
      <c r="C17" s="228">
        <f>'Ratios &amp; Indicateurs'!F18</f>
        <v>12.23076923076923</v>
      </c>
      <c r="D17" s="32" t="s">
        <v>526</v>
      </c>
      <c r="E17" s="32" t="str">
        <f>IF('Ratios &amp; Indicateurs'!F18&gt;=5,"✅ OK",IF('Ratios &amp; Indicateurs'!F18&gt;=3,"⚠️ Faible","🔴 Critique"))</f>
        <v>✅ OK</v>
      </c>
      <c r="F17" s="142" t="str">
        <f>IF(E17="✅ OK","✅ Couverture intérêts ("&amp;TEXT(C17,"0,0")&amp;"x) — EBITDA couvre largement les charges fin.","⚠️ Couverture intérêts ("&amp;TEXT(C17,"0,0")&amp;"x) insuffisante · Risque sur service de la dette")</f>
        <v>✅ Couverture intérêts (12,2x) — EBITDA couvre largement les charges fin.</v>
      </c>
      <c r="H17" s="373">
        <v>34000000</v>
      </c>
      <c r="I17" s="373">
        <f>H17*(1-'Ratios &amp; Indicateurs'!F42)</f>
        <v>16632716.049382715</v>
      </c>
      <c r="J17" s="374">
        <v>14010000</v>
      </c>
      <c r="K17" s="374">
        <f t="shared" si="0"/>
        <v>30642716.049382716</v>
      </c>
      <c r="L17" s="373">
        <v>34000000</v>
      </c>
      <c r="M17" s="371"/>
      <c r="N17" s="371"/>
      <c r="O17" s="371"/>
      <c r="P17" s="371"/>
      <c r="Q17" s="372"/>
    </row>
    <row r="18" spans="2:17" x14ac:dyDescent="0.25">
      <c r="B18" s="33" t="s">
        <v>97</v>
      </c>
      <c r="C18" s="229">
        <f>'Ratios &amp; Indicateurs'!F24</f>
        <v>0.14722222222222223</v>
      </c>
      <c r="D18" s="33" t="s">
        <v>98</v>
      </c>
      <c r="E18" s="33" t="str">
        <f>IF('Ratios &amp; Indicateurs'!F24&gt;=0.2,"✅ OK",IF('Ratios &amp; Indicateurs'!F24&gt;=0.15,"⚠️ Faible","🔴 Critique"))</f>
        <v>🔴 Critique</v>
      </c>
      <c r="F18" s="142" t="str">
        <f>IF(E18="✅ OK","✅ Marge EBITDA ("&amp;TEXT(C18,"0,0%")&amp;") — rentabilité opérationnelle satisfaisante",IF(E18="⚠️ Faible","⚠️ Marge EBITDA ("&amp;TEXT(C18,"0,0%")&amp;") entre 15-20% · Surveiller charges variables","🔴 Marge EBITDA ("&amp;TEXT(C18,"0,0%")&amp;") &lt; 15% · Audit coûts d'exploitation urgent"))</f>
        <v>🔴 Marge EBITDA (14,7%) &lt; 15% · Audit coûts d'exploitation urgent</v>
      </c>
      <c r="H18" s="375">
        <v>40000000</v>
      </c>
      <c r="I18" s="375">
        <f>H18*(1-'Ratios &amp; Indicateurs'!F42)</f>
        <v>19567901.234567899</v>
      </c>
      <c r="J18" s="374">
        <v>14010000</v>
      </c>
      <c r="K18" s="374">
        <f t="shared" si="0"/>
        <v>33577901.234567896</v>
      </c>
      <c r="L18" s="375">
        <v>40000000</v>
      </c>
      <c r="M18" s="371"/>
      <c r="N18" s="371"/>
      <c r="O18" s="371"/>
      <c r="P18" s="371"/>
      <c r="Q18" s="372"/>
    </row>
    <row r="19" spans="2:17" x14ac:dyDescent="0.25">
      <c r="B19" s="32" t="s">
        <v>99</v>
      </c>
      <c r="C19" s="230">
        <f>'Ratios &amp; Indicateurs'!F27</f>
        <v>0.15974320241691842</v>
      </c>
      <c r="D19" s="32" t="s">
        <v>100</v>
      </c>
      <c r="E19" s="32" t="str">
        <f>IF('Ratios &amp; Indicateurs'!F27&gt;=0.15,"✅ OK",IF('Ratios &amp; Indicateurs'!F27&gt;=0.12,"⚠️ Faible","🔴 Critique"))</f>
        <v>✅ OK</v>
      </c>
      <c r="F19" s="142" t="str">
        <f>IF(E19="✅ OK","✅ ROE ("&amp;TEXT(C19,"0,0%")&amp;") — rentabilité des capitaux propres satisfaisante","⚠️ ROE ("&amp;TEXT(C19,"0,0%")&amp;") sous 15% · Optimiser marge ou reconsidérer structure du capital")</f>
        <v>✅ ROE (16,0%) — rentabilité des capitaux propres satisfaisante</v>
      </c>
      <c r="H19" s="371"/>
      <c r="I19" s="371"/>
      <c r="J19" s="371"/>
      <c r="K19" s="371"/>
      <c r="L19" s="371"/>
      <c r="M19" s="371"/>
      <c r="N19" s="371"/>
      <c r="O19" s="371"/>
      <c r="P19" s="371"/>
      <c r="Q19" s="372"/>
    </row>
    <row r="20" spans="2:17" x14ac:dyDescent="0.25">
      <c r="B20" s="33" t="s">
        <v>527</v>
      </c>
      <c r="C20" s="227">
        <f>'Ratios &amp; Indicateurs'!F34</f>
        <v>57.453703703703702</v>
      </c>
      <c r="D20" s="33" t="s">
        <v>322</v>
      </c>
      <c r="E20" s="33" t="str">
        <f>IF('Ratios &amp; Indicateurs'!F34&lt;45,"✅ OK",IF('Ratios &amp; Indicateurs'!F34&lt;60,"⚠️ Long","🔴 Critique"))</f>
        <v>⚠️ Long</v>
      </c>
      <c r="F20" s="142" t="str">
        <f>IF(E20="✅ OK","✅ DSO ("&amp;TEXT(C20,"0,0")&amp;" j) — recouvrement clients efficace",IF(E20="⚠️ Long","⚠️ DSO ("&amp;TEXT(C20,"0,0")&amp;" j) &gt; 45 j · Renforcer relances · Impact trésorerie","🔴 DSO ("&amp;TEXT(C20,"0,0")&amp;" j) critique · Réviser politique crédit et recouvrement"))</f>
        <v>⚠️ DSO (57,5 j) &gt; 45 j · Renforcer relances · Impact trésorerie</v>
      </c>
      <c r="H20" s="1358" t="s">
        <v>528</v>
      </c>
      <c r="I20" s="1359"/>
      <c r="J20" s="1359"/>
      <c r="K20" s="1359"/>
      <c r="L20" s="1359"/>
      <c r="M20" s="371"/>
      <c r="N20" s="371"/>
      <c r="O20" s="371"/>
      <c r="P20" s="371"/>
      <c r="Q20" s="372"/>
    </row>
    <row r="21" spans="2:17" x14ac:dyDescent="0.25">
      <c r="B21" s="32" t="s">
        <v>529</v>
      </c>
      <c r="C21" s="228">
        <f>'Ratios &amp; Indicateurs'!F37</f>
        <v>119.64440155705448</v>
      </c>
      <c r="D21" s="32" t="s">
        <v>324</v>
      </c>
      <c r="E21" s="32" t="str">
        <f>IF('Ratios &amp; Indicateurs'!F37&lt;60,"✅ OK",IF('Ratios &amp; Indicateurs'!F37&lt;90,"⚠️ Long","🔴 Critique"))</f>
        <v>🔴 Critique</v>
      </c>
      <c r="F21" s="142" t="str">
        <f>IF(E21="✅ OK","✅ CCC ("&amp;TEXT(C21,"0,0")&amp;" j) — cycle de trésorerie maîtrisé",IF(E21="⚠️ Long","⚠️ CCC ("&amp;TEXT(C21,"0,0")&amp;" j) · Trésorerie immobilisée · Optimiser DSO + DIO ou allonger DPO","🔴 CCC ("&amp;TEXT(C21,"0,0")&amp;" j) excessif · Action structurelle requise sur le BFR"))</f>
        <v>🔴 CCC (119,6 j) excessif · Action structurelle requise sur le BFR</v>
      </c>
      <c r="H21" s="509" t="s">
        <v>530</v>
      </c>
      <c r="I21" s="1360" t="s">
        <v>531</v>
      </c>
      <c r="J21" s="1360"/>
      <c r="K21" s="1360"/>
      <c r="L21" s="1360"/>
      <c r="M21" s="371"/>
      <c r="N21" s="371"/>
      <c r="O21" s="371"/>
      <c r="P21" s="371"/>
      <c r="Q21" s="372"/>
    </row>
    <row r="22" spans="2:17" x14ac:dyDescent="0.25">
      <c r="B22" s="33" t="s">
        <v>532</v>
      </c>
      <c r="C22" s="227">
        <f>'Ratios &amp; Indicateurs'!F44</f>
        <v>308.98187311178242</v>
      </c>
      <c r="D22" s="33" t="s">
        <v>115</v>
      </c>
      <c r="E22" s="33" t="str">
        <f>IF('Ratios &amp; Indicateurs'!F44&lt;270,"✅ OK",IF('Ratios &amp; Indicateurs'!F44&lt;300,"⚠️ Tardif","🔴 Critique"))</f>
        <v>🔴 Critique</v>
      </c>
      <c r="F22" s="142" t="str">
        <f>IF(E22="✅ OK","✅ Point Mort ("&amp;TEXT(C22,"0")&amp;" j) — seuil atteint tôt · Bonne marge de sécurité",IF(E22="⚠️ Tardif","⚠️ Point Mort ("&amp;TEXT(C22,"0")&amp;" j) tardif · Réduire charges fixes ou augmenter CA","🔴 Point Mort ("&amp;TEXT(C22,"0")&amp;" j) dépassé · L'entreprise ne couvre pas ses coûts fixes"))</f>
        <v>🔴 Point Mort (309 j) dépassé · L'entreprise ne couvre pas ses coûts fixes</v>
      </c>
      <c r="H22" s="376" t="s">
        <v>533</v>
      </c>
      <c r="I22" s="1361">
        <f>MIN(10,'Ratios &amp; Indicateurs'!F6/2*10)</f>
        <v>10</v>
      </c>
      <c r="J22" s="1362"/>
      <c r="K22" s="1362"/>
      <c r="L22" s="1362"/>
      <c r="M22" s="371"/>
      <c r="N22" s="371"/>
      <c r="O22" s="371"/>
      <c r="P22" s="371"/>
      <c r="Q22" s="372"/>
    </row>
    <row r="23" spans="2:17" x14ac:dyDescent="0.25">
      <c r="H23" s="376" t="s">
        <v>534</v>
      </c>
      <c r="I23" s="1354">
        <f>MIN(10,'Ratios &amp; Indicateurs'!F15/0.5*10)</f>
        <v>10</v>
      </c>
      <c r="J23" s="1355"/>
      <c r="K23" s="1355"/>
      <c r="L23" s="1355"/>
      <c r="M23" s="371"/>
      <c r="N23" s="371"/>
      <c r="O23" s="371"/>
      <c r="P23" s="371"/>
      <c r="Q23" s="372"/>
    </row>
    <row r="24" spans="2:17" ht="21.95" customHeight="1" x14ac:dyDescent="0.25">
      <c r="B24" s="364" t="s">
        <v>535</v>
      </c>
      <c r="C24" s="365"/>
      <c r="D24" s="365"/>
      <c r="E24" s="365"/>
      <c r="F24" s="365"/>
      <c r="H24" s="371" t="s">
        <v>536</v>
      </c>
      <c r="I24" s="377">
        <f>MIN(10,'Ratios &amp; Indicateurs'!F27/0.2*10)</f>
        <v>7.9871601208459211</v>
      </c>
      <c r="J24" s="371"/>
      <c r="K24" s="371"/>
      <c r="L24" s="371"/>
      <c r="M24" s="371"/>
      <c r="N24" s="371"/>
      <c r="O24" s="371"/>
      <c r="P24" s="371"/>
      <c r="Q24" s="372"/>
    </row>
    <row r="25" spans="2:17" ht="18" customHeight="1" x14ac:dyDescent="0.25">
      <c r="B25" s="366" t="str">
        <f>"✅ FORCES  ·  Liquidité solide ("&amp;TEXT(C11,"0,00")&amp;"x) · Endettement maîtrisé (D/E "&amp;TEXT(C15,"0,00")&amp;"x) · ROE "&amp;TEXT(C19*100,"0,0")&amp;"% &gt; norme 12%"</f>
        <v>✅ FORCES  ·  Liquidité solide (2,09x) · Endettement maîtrisé (D/E 0,94x) · ROE 16,0% &gt; norme 12%</v>
      </c>
      <c r="C25" s="185"/>
      <c r="D25" s="185"/>
      <c r="E25" s="185"/>
      <c r="F25" s="185"/>
      <c r="H25" s="371" t="s">
        <v>537</v>
      </c>
      <c r="I25" s="377">
        <f>MAX(0,MIN(10,(1-'Ratios &amp; Indicateurs'!F37/120)*10))</f>
        <v>2.9633203578793843E-2</v>
      </c>
      <c r="J25" s="371"/>
      <c r="K25" s="371"/>
      <c r="L25" s="371"/>
      <c r="M25" s="371"/>
      <c r="N25" s="371"/>
      <c r="O25" s="371"/>
      <c r="P25" s="371"/>
      <c r="Q25" s="372"/>
    </row>
    <row r="26" spans="2:17" ht="18" customHeight="1" x14ac:dyDescent="0.25">
      <c r="B26" s="367" t="str">
        <f>"⚠️ VIGILANCE  ·  Marge EBITDA ("&amp;TEXT(C18*100,"0,0")&amp;"%) &lt; 15% · CCC "&amp;TEXT(C21,"0")&amp;" jours (norme &lt; 60j) · Point Mort "&amp;TEXT(C22,"0")&amp;" j / 365 · Z-Score en zone grise"</f>
        <v>⚠️ VIGILANCE  ·  Marge EBITDA (14,7%) &lt; 15% · CCC 120 jours (norme &lt; 60j) · Point Mort 309 j / 365 · Z-Score en zone grise</v>
      </c>
      <c r="C26" s="355"/>
      <c r="D26" s="355"/>
      <c r="E26" s="355"/>
      <c r="F26" s="355"/>
      <c r="H26" s="371" t="s">
        <v>538</v>
      </c>
      <c r="I26" s="377">
        <f>MIN(10,'Ratios &amp; Indicateurs'!F18/8*10)</f>
        <v>10</v>
      </c>
      <c r="J26" s="371"/>
      <c r="K26" s="371"/>
      <c r="L26" s="371"/>
      <c r="M26" s="371"/>
      <c r="N26" s="371"/>
      <c r="O26" s="371"/>
      <c r="P26" s="371"/>
      <c r="Q26" s="372"/>
    </row>
    <row r="27" spans="2:17" ht="18" customHeight="1" x14ac:dyDescent="0.25">
      <c r="B27" s="368" t="str">
        <f>"🔴 ACTIONS  ·  Réduire DSO ("&amp;TEXT(C20,"0")&amp;"j → 45j) pour libérer "&amp;TEXT((C20-45)/365*B4/1000,"# ##0")&amp;"k€ · Auditer charges fixes · Renégocier DPO fournisseurs"</f>
        <v>🔴 ACTIONS  ·  Réduire DSO (57j → 45j) pour libérer 1 105k€ · Auditer charges fixes · Renégocier DPO fournisseurs</v>
      </c>
      <c r="C27" s="356"/>
      <c r="D27" s="356"/>
      <c r="E27" s="356"/>
      <c r="F27" s="356"/>
      <c r="H27" s="371" t="s">
        <v>539</v>
      </c>
      <c r="I27" s="377">
        <f>MAX(0,MIN(10,'Ratios &amp; Indicateurs'!F46/0.3*10))</f>
        <v>5.1158106747230656</v>
      </c>
      <c r="J27" s="371"/>
      <c r="K27" s="371"/>
      <c r="L27" s="371"/>
      <c r="M27" s="371"/>
      <c r="N27" s="371"/>
      <c r="O27" s="371"/>
      <c r="P27" s="371"/>
      <c r="Q27" s="372"/>
    </row>
    <row r="28" spans="2:17" ht="18" customHeight="1" x14ac:dyDescent="0.25">
      <c r="B28" s="369" t="str">
        <f>"📊 SCORE GLOBAL : "&amp;TEXT(F4,"0")&amp;" / 150 pts ("&amp;TEXT(F4/150*100,"0")&amp;"%) — "&amp;IF(F4/150&gt;=0.75,"Entreprise saine, axes d'optimisation identifiés",IF(F4/150&gt;=0.5,"Vigilance requise sur plusieurs ratios","Situation critique, actions immédiates"))</f>
        <v>📊 SCORE GLOBAL : 121 / 150 pts (81%) — Entreprise saine, axes d'optimisation identifiés</v>
      </c>
      <c r="C28" s="370"/>
      <c r="D28" s="370"/>
      <c r="E28" s="370"/>
      <c r="F28" s="370"/>
      <c r="H28" s="371"/>
      <c r="I28" s="371"/>
      <c r="J28" s="371"/>
      <c r="K28" s="371"/>
      <c r="L28" s="371"/>
      <c r="M28" s="371"/>
      <c r="N28" s="371"/>
      <c r="O28" s="371"/>
      <c r="P28" s="371"/>
      <c r="Q28" s="372"/>
    </row>
    <row r="29" spans="2:17" x14ac:dyDescent="0.25">
      <c r="H29" s="371"/>
      <c r="I29" s="371"/>
      <c r="J29" s="371"/>
      <c r="K29" s="371"/>
      <c r="L29" s="371"/>
      <c r="M29" s="371"/>
      <c r="N29" s="371"/>
      <c r="O29" s="371"/>
      <c r="P29" s="371"/>
      <c r="Q29" s="372"/>
    </row>
    <row r="30" spans="2:17" x14ac:dyDescent="0.25">
      <c r="B30" s="893" t="s">
        <v>1652</v>
      </c>
      <c r="C30" s="868"/>
      <c r="D30" s="868"/>
      <c r="E30" s="868"/>
      <c r="F30" s="868"/>
      <c r="G30"/>
      <c r="H30" s="371"/>
      <c r="I30" s="371"/>
      <c r="J30" s="371"/>
      <c r="K30" s="371"/>
      <c r="L30" s="371"/>
      <c r="M30" s="371"/>
      <c r="N30" s="378" t="s">
        <v>540</v>
      </c>
      <c r="O30" s="379"/>
      <c r="P30" s="379"/>
      <c r="Q30" s="380"/>
    </row>
    <row r="31" spans="2:17" x14ac:dyDescent="0.25">
      <c r="B31" s="894" t="s">
        <v>1653</v>
      </c>
      <c r="C31" s="894" t="s">
        <v>1654</v>
      </c>
      <c r="D31" s="894" t="s">
        <v>1655</v>
      </c>
      <c r="E31" s="894" t="s">
        <v>1656</v>
      </c>
      <c r="F31" s="894" t="s">
        <v>1657</v>
      </c>
      <c r="H31" s="371"/>
      <c r="I31" s="371"/>
      <c r="J31" s="371"/>
      <c r="K31" s="371"/>
      <c r="L31" s="371"/>
      <c r="M31" s="371"/>
      <c r="N31" s="378" t="s">
        <v>541</v>
      </c>
      <c r="O31" s="378" t="s">
        <v>542</v>
      </c>
      <c r="P31" s="378" t="s">
        <v>505</v>
      </c>
      <c r="Q31" s="381" t="s">
        <v>506</v>
      </c>
    </row>
    <row r="32" spans="2:17" ht="18.75" x14ac:dyDescent="0.3">
      <c r="B32" s="571" t="str">
        <f>ROUND(STOCKS!C95,1)&amp;" j"</f>
        <v>7,6 j</v>
      </c>
      <c r="C32" s="571" t="str">
        <f>ROUND(IFERROR((PLAN_AMORT!L20+PLAN_AMORT!N20)/PLAN_AMORT!N20,0),1)&amp;" ans"</f>
        <v>2,4 ans</v>
      </c>
      <c r="D32" s="571" t="str">
        <f>ROUND(SUM(ECARTS_BU!C107:G107)/1000,0)&amp;" k€"</f>
        <v>2640 k€</v>
      </c>
      <c r="E32" s="571" t="str">
        <f>ROUND(IFERROR('Valorisation DCF'!C41/PLAN_AMORT!N20,0),1)&amp;"x"</f>
        <v>6x</v>
      </c>
      <c r="F32" s="571" t="str">
        <f>ROUND(IFERROR(1-PLAN_AMORT!O20/PLAN_AMORT!D20,0)*100,1)&amp;"%"</f>
        <v>33,1%</v>
      </c>
      <c r="H32" s="371"/>
      <c r="I32" s="371"/>
      <c r="J32" s="371"/>
      <c r="K32" s="371"/>
      <c r="L32" s="371"/>
      <c r="M32" s="371"/>
      <c r="N32" s="371">
        <v>2023</v>
      </c>
      <c r="O32" s="375">
        <f>SUMIF('Données Brutes'!A38:A56,"Chiffre d'affaires net",'Données Brutes'!D38:D56)</f>
        <v>28500000</v>
      </c>
      <c r="P32" s="375">
        <f>(SUMIF('Données Brutes'!A38:A56,"Chiffre d'affaires net",'Données Brutes'!D38:D56)+SUMIF('Données Brutes'!A38:A56,"Production stockée",'Données Brutes'!D38:D56)+SUMIF('Données Brutes'!A38:A56,"Production immobilisée",'Données Brutes'!D38:D56)+SUMIF('Données Brutes'!A38:A56,"Subventions exploitation",'Données Brutes'!D38:D56))-(SUMIF('Données Brutes'!A38:A56,"Achats matières premières",'Données Brutes'!D38:D56)+SUMIF('Données Brutes'!A38:A56,"Variation stocks MP",'Données Brutes'!D38:D56)+SUMIF('Données Brutes'!A38:A56,"Autres achats &amp; charges ext.",'Données Brutes'!D38:D56)+SUMIF('Données Brutes'!A38:A56,"Impôts &amp; taxes",'Données Brutes'!D38:D56)+SUMIF('Données Brutes'!A38:A56,"Charges de personnel",'Données Brutes'!D38:D56))</f>
        <v>3980000</v>
      </c>
      <c r="Q32" s="374">
        <f>SUMIF('Données Brutes'!A2:A26,"Résultat net",'Données Brutes'!D2:D26)</f>
        <v>1975000</v>
      </c>
    </row>
    <row r="33" spans="2:17" x14ac:dyDescent="0.25">
      <c r="B33" s="895" t="str">
        <f>IF(STOCKS!C95&lt;45,"✅",IF(STOCKS!C95&lt;73,"⚠️","🔴"))</f>
        <v>✅</v>
      </c>
      <c r="C33" s="895" t="str">
        <f>IF('Ratios &amp; Indicateurs'!F76&lt;10,"✅",IF('Ratios &amp; Indicateurs'!F76&lt;15,"⚠️","🔴"))</f>
        <v>✅</v>
      </c>
      <c r="D33" s="895" t="str">
        <f>IF(SUM(ECARTS_BU!C107:G107)&gt;0,"✅ Création valeur","🔴 Destruction")</f>
        <v>✅ Création valeur</v>
      </c>
      <c r="E33" s="895" t="str">
        <f>IF('Ratios &amp; Indicateurs'!F75&gt;1,"✅ Invest. +","🔴 Sous-inv.")</f>
        <v>✅ Invest. +</v>
      </c>
      <c r="F33" s="895" t="str">
        <f>IF('Ratios &amp; Indicateurs'!F74&lt;0.7,"✅ Parc jeune","🔴 Vétuste")</f>
        <v>✅ Parc jeune</v>
      </c>
      <c r="H33" s="371"/>
      <c r="I33" s="371"/>
      <c r="J33" s="371"/>
      <c r="K33" s="371"/>
      <c r="L33" s="371"/>
      <c r="M33" s="371"/>
      <c r="N33" s="371">
        <v>2024</v>
      </c>
      <c r="O33" s="375">
        <f>SUMIF('Données Brutes'!A38:A56,"Chiffre d'affaires net",'Données Brutes'!E38:E56)</f>
        <v>29800000</v>
      </c>
      <c r="P33" s="375">
        <f>(SUMIF('Données Brutes'!A38:A56,"Chiffre d'affaires net",'Données Brutes'!E38:E56)+SUMIF('Données Brutes'!A38:A56,"Production stockée",'Données Brutes'!E38:E56)+SUMIF('Données Brutes'!A38:A56,"Production immobilisée",'Données Brutes'!E38:E56)+SUMIF('Données Brutes'!A38:A56,"Subventions exploitation",'Données Brutes'!E38:E56))-(SUMIF('Données Brutes'!A38:A56,"Achats matières premières",'Données Brutes'!E38:E56)+SUMIF('Données Brutes'!A38:A56,"Variation stocks MP",'Données Brutes'!E38:E56)+SUMIF('Données Brutes'!A38:A56,"Autres achats &amp; charges ext.",'Données Brutes'!E38:E56)+SUMIF('Données Brutes'!A38:A56,"Impôts &amp; taxes",'Données Brutes'!E38:E56)+SUMIF('Données Brutes'!A38:A56,"Charges de personnel",'Données Brutes'!E38:E56))</f>
        <v>4225000</v>
      </c>
      <c r="Q33" s="374">
        <f>SUMIF('Données Brutes'!A2:A26,"Résultat net",'Données Brutes'!E2:E26)</f>
        <v>2045000</v>
      </c>
    </row>
    <row r="34" spans="2:17" ht="15.75" thickBot="1" x14ac:dyDescent="0.3">
      <c r="H34" s="371"/>
      <c r="I34" s="371"/>
      <c r="J34" s="371"/>
      <c r="K34" s="371"/>
      <c r="L34" s="371"/>
      <c r="M34" s="371"/>
      <c r="N34" s="371">
        <v>2025</v>
      </c>
      <c r="O34" s="375">
        <f>SUMIF('Données Brutes'!A38:A56,"Chiffre d'affaires net",'Données Brutes'!F38:F56)</f>
        <v>32400000</v>
      </c>
      <c r="P34" s="375">
        <f>(SUMIF('Données Brutes'!A38:A56,"Chiffre d'affaires net",'Données Brutes'!F38:F56)+SUMIF('Données Brutes'!A38:A56,"Production stockée",'Données Brutes'!F38:F56)+SUMIF('Données Brutes'!A38:A56,"Production immobilisée",'Données Brutes'!F38:F56)+SUMIF('Données Brutes'!A38:A56,"Subventions exploitation",'Données Brutes'!F38:F56))-(SUMIF('Données Brutes'!A38:A56,"Achats matières premières",'Données Brutes'!F38:F56)+SUMIF('Données Brutes'!A38:A56,"Variation stocks MP",'Données Brutes'!F38:F56)+SUMIF('Données Brutes'!A38:A56,"Autres achats &amp; charges ext.",'Données Brutes'!F38:F56)+SUMIF('Données Brutes'!A38:A56,"Impôts &amp; taxes",'Données Brutes'!F38:F56)+SUMIF('Données Brutes'!A38:A56,"Charges de personnel",'Données Brutes'!F38:F56))</f>
        <v>4770000</v>
      </c>
      <c r="Q34" s="374">
        <f>SUMIF('Données Brutes'!A2:A26,"Résultat net",'Données Brutes'!F2:F26)</f>
        <v>2115000</v>
      </c>
    </row>
    <row r="35" spans="2:17" x14ac:dyDescent="0.25">
      <c r="B35" s="1379" t="s">
        <v>1689</v>
      </c>
      <c r="C35" s="1380"/>
      <c r="D35" s="1380"/>
      <c r="E35" s="1380"/>
      <c r="F35" s="1381"/>
      <c r="H35" s="371"/>
      <c r="I35" s="371"/>
      <c r="J35" s="371"/>
      <c r="K35" s="371"/>
      <c r="L35" s="371"/>
      <c r="M35" s="371"/>
      <c r="N35" s="371"/>
      <c r="O35" s="371"/>
      <c r="P35" s="371"/>
      <c r="Q35" s="372"/>
    </row>
    <row r="36" spans="2:17" x14ac:dyDescent="0.25">
      <c r="B36" s="1006" t="s">
        <v>1690</v>
      </c>
      <c r="C36" s="1002" t="s">
        <v>1653</v>
      </c>
      <c r="D36" s="1002" t="s">
        <v>1691</v>
      </c>
      <c r="E36" s="976" t="s">
        <v>1733</v>
      </c>
      <c r="F36" s="1008" t="s">
        <v>1692</v>
      </c>
      <c r="H36" s="371"/>
      <c r="I36" s="371"/>
      <c r="J36" s="371"/>
      <c r="K36" s="371"/>
      <c r="L36" s="371"/>
      <c r="M36" s="371"/>
      <c r="N36" s="378" t="s">
        <v>543</v>
      </c>
      <c r="O36" s="379"/>
      <c r="P36" s="371"/>
      <c r="Q36" s="372"/>
    </row>
    <row r="37" spans="2:17" ht="18.75" x14ac:dyDescent="0.3">
      <c r="B37" s="1007">
        <f>'Ratios &amp; Indicateurs'!F34</f>
        <v>57.453703703703702</v>
      </c>
      <c r="C37" s="1003">
        <f>STOCKS!C95</f>
        <v>7.5983390020648454</v>
      </c>
      <c r="D37" s="1004">
        <f>'Ratios &amp; Indicateurs'!F36</f>
        <v>66.768292682926827</v>
      </c>
      <c r="E37" s="1005">
        <f>'Ratios &amp; Indicateurs'!F34+STOCKS!C95-'Ratios &amp; Indicateurs'!F36</f>
        <v>-1.7162499771582844</v>
      </c>
      <c r="F37" s="1009">
        <f>IFERROR(('Ratios &amp; Indicateurs'!F34+STOCKS!C95-'Ratios &amp; Indicateurs'!F36)-('Ratios &amp; Indicateurs'!E34+7-'Ratios &amp; Indicateurs'!E36),0)</f>
        <v>0.95210644151943313</v>
      </c>
      <c r="H37" s="371"/>
      <c r="I37" s="371"/>
      <c r="J37" s="371"/>
      <c r="K37" s="371"/>
      <c r="L37" s="371"/>
      <c r="M37" s="371"/>
      <c r="N37" s="378" t="s">
        <v>544</v>
      </c>
      <c r="O37" s="378" t="s">
        <v>545</v>
      </c>
      <c r="P37" s="371"/>
      <c r="Q37" s="372"/>
    </row>
    <row r="38" spans="2:17" ht="15.75" thickBot="1" x14ac:dyDescent="0.3">
      <c r="B38" s="1010" t="str">
        <f>IF(B37&lt;45,"✅","⚠️")</f>
        <v>⚠️</v>
      </c>
      <c r="C38" s="895" t="str">
        <f>IF(C37&lt;73,"✅","⚠️")</f>
        <v>✅</v>
      </c>
      <c r="D38" s="895" t="str">
        <f>IF(D37&gt;30,"✅","⚠️")</f>
        <v>✅</v>
      </c>
      <c r="E38" s="895" t="str">
        <f>IF(E37&lt;45,"✅",IF(E37&lt;90,"⚠️","🔴"))</f>
        <v>✅</v>
      </c>
      <c r="F38" s="1011" t="str">
        <f>IF(F37&lt;0,"✅ Amélioration","🔴 Dégradation")</f>
        <v>🔴 Dégradation</v>
      </c>
      <c r="H38" s="371"/>
      <c r="I38" s="371"/>
      <c r="J38" s="371"/>
      <c r="K38" s="371"/>
      <c r="L38" s="371"/>
      <c r="M38" s="371"/>
      <c r="N38" s="371" t="s">
        <v>546</v>
      </c>
      <c r="O38" s="371">
        <f>SUMIF('Données Brutes'!A38:A56,"Chiffre d'affaires net",'Données Brutes'!F38:F56)</f>
        <v>32400000</v>
      </c>
      <c r="P38" s="371"/>
      <c r="Q38" s="372"/>
    </row>
    <row r="39" spans="2:17" x14ac:dyDescent="0.25">
      <c r="B39" s="1382" t="s">
        <v>1693</v>
      </c>
      <c r="C39" s="1383"/>
      <c r="D39" s="1383"/>
      <c r="E39" s="1383"/>
      <c r="F39" s="1384"/>
      <c r="H39" s="371"/>
      <c r="I39" s="371"/>
      <c r="J39" s="371"/>
      <c r="K39" s="371"/>
      <c r="L39" s="371"/>
      <c r="M39" s="371"/>
      <c r="N39" s="371" t="s">
        <v>307</v>
      </c>
      <c r="O39" s="375">
        <f>SUMIF('Données Brutes'!A38:A56,"Chiffre d'affaires net",'Données Brutes'!F38:F56)-SUMIF('Données Brutes'!A38:A56,"Achats matières premières",'Données Brutes'!F38:F56)-SUMIF('Données Brutes'!A38:A56,"Variation stocks MP",'Données Brutes'!F38:F56)</f>
        <v>16550000</v>
      </c>
      <c r="P39" s="371"/>
      <c r="Q39" s="372"/>
    </row>
    <row r="40" spans="2:17" x14ac:dyDescent="0.25">
      <c r="B40" s="1016" t="s">
        <v>1694</v>
      </c>
      <c r="C40" s="1012" t="s">
        <v>1695</v>
      </c>
      <c r="D40" s="1012" t="s">
        <v>1696</v>
      </c>
      <c r="E40" s="1012" t="s">
        <v>1697</v>
      </c>
      <c r="F40" s="1018" t="s">
        <v>1698</v>
      </c>
      <c r="H40" s="371"/>
      <c r="I40" s="371"/>
      <c r="J40" s="371"/>
      <c r="K40" s="371"/>
      <c r="L40" s="371"/>
      <c r="M40" s="371"/>
      <c r="N40" s="371" t="s">
        <v>547</v>
      </c>
      <c r="O40" s="375">
        <f>(SUMIF('Données Brutes'!A38:A56,"Chiffre d'affaires net",'Données Brutes'!F38:F56)-SUMIF('Données Brutes'!A38:A56,"Achats matières premières",'Données Brutes'!F38:F56)-SUMIF('Données Brutes'!A38:A56,"Variation stocks MP",'Données Brutes'!F38:F56))-SUMIF('Données Brutes'!A38:A56,"Autres achats &amp; charges ext.",'Données Brutes'!F38:F56)</f>
        <v>11900000</v>
      </c>
      <c r="P40" s="371"/>
      <c r="Q40" s="372"/>
    </row>
    <row r="41" spans="2:17" ht="15.75" x14ac:dyDescent="0.25">
      <c r="B41" s="1017">
        <f>STOCKS!J29</f>
        <v>5600000</v>
      </c>
      <c r="C41" s="1014" t="str">
        <f>ROUND(STOCKS!C92,1)&amp;"x"</f>
        <v>48x</v>
      </c>
      <c r="D41" s="1013">
        <f>STOCKS!L29</f>
        <v>34747.02649493808</v>
      </c>
      <c r="E41" s="1015">
        <f>STOCKS!C97/100</f>
        <v>5.7679542889074759E-2</v>
      </c>
      <c r="F41" s="1019">
        <f>STOCKS!J29-STOCKS!D29</f>
        <v>830000</v>
      </c>
      <c r="H41" s="371"/>
      <c r="I41" s="371"/>
      <c r="J41" s="371"/>
      <c r="K41" s="371"/>
      <c r="L41" s="371"/>
      <c r="M41" s="371"/>
      <c r="N41" s="371" t="s">
        <v>548</v>
      </c>
      <c r="O41" s="375">
        <f>(SUMIF('Données Brutes'!A38:A56,"Chiffre d'affaires net",'Données Brutes'!F38:F56)+SUMIF('Données Brutes'!A38:A56,"Production stockée",'Données Brutes'!F38:F56)+SUMIF('Données Brutes'!A38:A56,"Production immobilisée",'Données Brutes'!F38:F56)+SUMIF('Données Brutes'!A38:A56,"Subventions exploitation",'Données Brutes'!F38:F56))-(SUMIF('Données Brutes'!A38:A56,"Achats matières premières",'Données Brutes'!F38:F56)+SUMIF('Données Brutes'!A38:A56,"Variation stocks MP",'Données Brutes'!F38:F56)+SUMIF('Données Brutes'!A38:A56,"Autres achats &amp; charges ext.",'Données Brutes'!F38:F56)+SUMIF('Données Brutes'!A38:A56,"Impôts &amp; taxes",'Données Brutes'!F38:F56)+SUMIF('Données Brutes'!A38:A56,"Charges de personnel",'Données Brutes'!F38:F56))</f>
        <v>4770000</v>
      </c>
      <c r="P41" s="371"/>
      <c r="Q41" s="372"/>
    </row>
    <row r="42" spans="2:17" ht="15.75" thickBot="1" x14ac:dyDescent="0.3">
      <c r="B42" s="1010" t="str">
        <f>""</f>
        <v/>
      </c>
      <c r="C42" s="895" t="str">
        <f>IF(STOCKS!C92&gt;5,"✅","🔴")</f>
        <v>✅</v>
      </c>
      <c r="D42" s="895" t="str">
        <f>IF(STOCKS!L29/STOCKS!J29&lt;0.05,"✅","⚠️")</f>
        <v>✅</v>
      </c>
      <c r="E42" s="895" t="str">
        <f>IF(STOCKS!C97&lt;5,"✅","⚠️ &gt; 5%")</f>
        <v>⚠️ &gt; 5%</v>
      </c>
      <c r="F42" s="1011" t="str">
        <f>IF(ABS(F41)&lt;500000,"✅ Stable","⚠️ Variation")</f>
        <v>⚠️ Variation</v>
      </c>
      <c r="H42" s="371"/>
      <c r="I42" s="371"/>
      <c r="J42" s="371"/>
      <c r="K42" s="371"/>
      <c r="L42" s="371"/>
      <c r="M42" s="371"/>
      <c r="N42" s="371" t="s">
        <v>549</v>
      </c>
      <c r="O42" s="375">
        <f>(((SUMIF('Données Brutes'!A38:A56,"Chiffre d'affaires net",'Données Brutes'!F38:F56)-SUMIF('Données Brutes'!A38:A56,"Achats matières premières",'Données Brutes'!F38:F56)-SUMIF('Données Brutes'!A38:A56,"Variation stocks MP",'Données Brutes'!F38:F56))-SUMIF('Données Brutes'!A38:A56,"Autres achats &amp; charges ext.",'Données Brutes'!F38:F56))-SUMIF('Données Brutes'!A38:A56,"Impôts &amp; taxes",'Données Brutes'!F38:F56)-SUMIF('Données Brutes'!A38:A56,"Charges de personnel",'Données Brutes'!F38:F56))-SUMIF('Données Brutes'!A38:A56,"Dotations amortissements",'Données Brutes'!F38:F56)-SUMIF('Données Brutes'!A38:A56,"Dotations provisions exploit.",'Données Brutes'!F38:F56)-SUMIF('Données Brutes'!A38:A56,"Autres charges exploitation",'Données Brutes'!F38:F56)+SUMIF('Données Brutes'!A38:A56,"Autres produits exploitation",'Données Brutes'!F38:F56)</f>
        <v>2780000</v>
      </c>
      <c r="P42" s="371"/>
      <c r="Q42" s="372"/>
    </row>
    <row r="43" spans="2:17" x14ac:dyDescent="0.25">
      <c r="B43" s="1385" t="s">
        <v>1699</v>
      </c>
      <c r="C43" s="1386"/>
      <c r="D43" s="1386"/>
      <c r="E43" s="1386"/>
      <c r="F43" s="1387"/>
      <c r="H43" s="371"/>
      <c r="I43" s="371"/>
      <c r="J43" s="371"/>
      <c r="K43" s="371"/>
      <c r="L43" s="371"/>
      <c r="M43" s="371"/>
      <c r="N43" s="371" t="s">
        <v>506</v>
      </c>
      <c r="O43" s="375">
        <f>SUMIF('Données Brutes'!A2:A26,"Résultat net",'Données Brutes'!F2:F26)</f>
        <v>2115000</v>
      </c>
      <c r="P43" s="371"/>
      <c r="Q43" s="372"/>
    </row>
    <row r="44" spans="2:17" x14ac:dyDescent="0.25">
      <c r="B44" s="1022" t="s">
        <v>1657</v>
      </c>
      <c r="C44" s="1020" t="s">
        <v>1656</v>
      </c>
      <c r="D44" s="1020" t="s">
        <v>1339</v>
      </c>
      <c r="E44" s="1020" t="s">
        <v>1700</v>
      </c>
      <c r="F44" s="1024" t="s">
        <v>1701</v>
      </c>
      <c r="H44" s="371"/>
      <c r="I44" s="371"/>
      <c r="J44" s="371"/>
      <c r="K44" s="371"/>
      <c r="L44" s="371"/>
      <c r="M44" s="371"/>
      <c r="N44" s="371"/>
      <c r="O44" s="375"/>
      <c r="P44" s="371"/>
      <c r="Q44" s="372"/>
    </row>
    <row r="45" spans="2:17" ht="15.75" x14ac:dyDescent="0.25">
      <c r="B45" s="1023">
        <f>1-PLAN_AMORT!O20/PLAN_AMORT!D20</f>
        <v>0.33136587185354693</v>
      </c>
      <c r="C45" s="1021">
        <f>IFERROR('Valorisation DCF'!C41/PLAN_AMORT!N20,0)</f>
        <v>5.9664154452198872</v>
      </c>
      <c r="D45" s="1013">
        <f>PLAN_AMORT!N20</f>
        <v>301688.68</v>
      </c>
      <c r="E45" s="1013">
        <f>PLAN_AMORT!O20</f>
        <v>1460965.5699999998</v>
      </c>
      <c r="F45" s="1025">
        <f>IFERROR((PLAN_AMORT!L20+PLAN_AMORT!N20)/PLAN_AMORT!N20,0)</f>
        <v>2.3999390033460983</v>
      </c>
      <c r="H45" s="371"/>
      <c r="I45" s="371"/>
      <c r="J45" s="371"/>
      <c r="K45" s="371"/>
      <c r="L45" s="371"/>
      <c r="M45" s="371"/>
      <c r="N45" s="378" t="s">
        <v>550</v>
      </c>
      <c r="O45" s="379"/>
      <c r="P45" s="379"/>
      <c r="Q45" s="380"/>
    </row>
    <row r="46" spans="2:17" ht="15.75" thickBot="1" x14ac:dyDescent="0.3">
      <c r="B46" s="1010" t="str">
        <f>IF(B45&lt;0.5,"✅ Parc récent",IF(B45&lt;0.7,"⚠️ Parc mature","🔴 Vieillissant"))</f>
        <v>✅ Parc récent</v>
      </c>
      <c r="C46" s="895" t="str">
        <f>IF(C45&gt;1,"✅ Invest. +","🔴 Sous-invest.")</f>
        <v>✅ Invest. +</v>
      </c>
      <c r="D46" s="895" t="str">
        <f>""</f>
        <v/>
      </c>
      <c r="E46" s="895" t="str">
        <f>""</f>
        <v/>
      </c>
      <c r="F46" s="1011" t="str">
        <f>IF(F45&lt;10,"✅ Récent",IF(F45&lt;15,"⚠️","🔴 Vétuste"))</f>
        <v>✅ Récent</v>
      </c>
      <c r="H46" s="371"/>
      <c r="I46" s="371"/>
      <c r="J46" s="371"/>
      <c r="K46" s="371"/>
      <c r="L46" s="371"/>
      <c r="M46" s="371"/>
      <c r="N46" s="378" t="s">
        <v>164</v>
      </c>
      <c r="O46" s="378" t="s">
        <v>551</v>
      </c>
      <c r="P46" s="378" t="s">
        <v>552</v>
      </c>
      <c r="Q46" s="381" t="s">
        <v>261</v>
      </c>
    </row>
    <row r="47" spans="2:17" x14ac:dyDescent="0.25">
      <c r="B47" s="1388" t="s">
        <v>1702</v>
      </c>
      <c r="C47" s="1389"/>
      <c r="D47" s="1389"/>
      <c r="E47" s="1389"/>
      <c r="F47" s="1389"/>
      <c r="G47" s="1390"/>
      <c r="H47" s="371"/>
      <c r="I47" s="371"/>
      <c r="J47" s="371"/>
      <c r="K47" s="371"/>
      <c r="L47" s="371"/>
      <c r="M47" s="371"/>
      <c r="N47" s="371" t="s">
        <v>542</v>
      </c>
      <c r="O47" s="371">
        <f>SUMIF('Données Brutes'!B80:B88,"Revenus",'Données Brutes'!C80:C88)</f>
        <v>34000000</v>
      </c>
      <c r="P47" s="371">
        <f>SUMIF('Données Brutes'!B80:B88,"Revenus",'Données Brutes'!D80:D88)</f>
        <v>32400000</v>
      </c>
      <c r="Q47" s="372">
        <f t="shared" ref="Q47:Q52" si="1">IFERROR((P47-O47)/ABS(O47),0)</f>
        <v>-4.7058823529411764E-2</v>
      </c>
    </row>
    <row r="48" spans="2:17" x14ac:dyDescent="0.25">
      <c r="B48" s="1026" t="s">
        <v>1703</v>
      </c>
      <c r="C48" s="1027" t="s">
        <v>1704</v>
      </c>
      <c r="D48" s="1027" t="s">
        <v>1705</v>
      </c>
      <c r="E48" s="1027" t="s">
        <v>1706</v>
      </c>
      <c r="F48" s="1027" t="s">
        <v>1523</v>
      </c>
      <c r="G48" s="1028" t="s">
        <v>1707</v>
      </c>
      <c r="H48" s="371"/>
      <c r="I48" s="371"/>
      <c r="J48" s="371"/>
      <c r="K48" s="371"/>
      <c r="L48" s="371"/>
      <c r="M48" s="371"/>
      <c r="N48" s="371" t="s">
        <v>553</v>
      </c>
      <c r="O48" s="375">
        <f>SUMIF('Données Brutes'!B80:B88,"COGS",'Données Brutes'!C80:C88)</f>
        <v>15800000</v>
      </c>
      <c r="P48" s="375">
        <f>SUMIF('Données Brutes'!B80:B88,"COGS",'Données Brutes'!D80:D88)</f>
        <v>16100000</v>
      </c>
      <c r="Q48" s="500">
        <f t="shared" si="1"/>
        <v>1.8987341772151899E-2</v>
      </c>
    </row>
    <row r="49" spans="2:17" x14ac:dyDescent="0.25">
      <c r="B49" s="1029" t="s">
        <v>1708</v>
      </c>
      <c r="C49" s="1030">
        <f>ECARTS_BU!E10</f>
        <v>-0.04</v>
      </c>
      <c r="D49" s="1030">
        <f>ECARTS_BU!B60</f>
        <v>0.41</v>
      </c>
      <c r="E49" s="1030">
        <f>ECARTS_BU!B62</f>
        <v>0.20907407407407408</v>
      </c>
      <c r="F49" s="1030">
        <f>ECARTS_BU!C106</f>
        <v>0.28225</v>
      </c>
      <c r="G49" s="1031">
        <f>ECARTS_BU!C107</f>
        <v>631200</v>
      </c>
      <c r="H49" s="371"/>
      <c r="I49" s="371"/>
      <c r="J49" s="371"/>
      <c r="K49" s="371"/>
      <c r="L49" s="371"/>
      <c r="M49" s="371"/>
      <c r="N49" s="371" t="s">
        <v>554</v>
      </c>
      <c r="O49" s="375">
        <f>SUMIF('Données Brutes'!A80:A88,"Charges de personnel",'Données Brutes'!C80:C88)</f>
        <v>6700000</v>
      </c>
      <c r="P49" s="375">
        <f>SUMIF('Données Brutes'!A80:A88,"Charges de personnel",'Données Brutes'!D80:D88)</f>
        <v>6900000</v>
      </c>
      <c r="Q49" s="500">
        <f t="shared" si="1"/>
        <v>2.9850746268656716E-2</v>
      </c>
    </row>
    <row r="50" spans="2:17" x14ac:dyDescent="0.25">
      <c r="B50" s="1032" t="s">
        <v>1709</v>
      </c>
      <c r="C50" s="1033">
        <f>ECARTS_BU!J10</f>
        <v>1.7857142857142856E-2</v>
      </c>
      <c r="D50" s="1033">
        <f>ECARTS_BU!C60</f>
        <v>0.47</v>
      </c>
      <c r="E50" s="1033">
        <f>ECARTS_BU!C62</f>
        <v>0.25842105263157894</v>
      </c>
      <c r="F50" s="1033">
        <f>ECARTS_BU!D106</f>
        <v>0.35071428571428598</v>
      </c>
      <c r="G50" s="1034">
        <f>ECARTS_BU!D107</f>
        <v>558000</v>
      </c>
      <c r="H50" s="371"/>
      <c r="I50" s="371"/>
      <c r="J50" s="371"/>
      <c r="K50" s="371"/>
      <c r="L50" s="371"/>
      <c r="M50" s="371"/>
      <c r="N50" s="371" t="s">
        <v>555</v>
      </c>
      <c r="O50" s="375">
        <f>SUMIF('Données Brutes'!A80:A88,"Autres charges externes",'Données Brutes'!C80:C88)</f>
        <v>4400000</v>
      </c>
      <c r="P50" s="375">
        <f>SUMIF('Données Brutes'!A80:A88,"Autres charges externes",'Données Brutes'!D80:D88)</f>
        <v>4650000</v>
      </c>
      <c r="Q50" s="500">
        <f t="shared" si="1"/>
        <v>5.6818181818181816E-2</v>
      </c>
    </row>
    <row r="51" spans="2:17" x14ac:dyDescent="0.25">
      <c r="B51" s="1029" t="s">
        <v>1710</v>
      </c>
      <c r="C51" s="1030">
        <f>ECARTS_BU!O10</f>
        <v>-6.3157894736842107E-2</v>
      </c>
      <c r="D51" s="1030">
        <f>ECARTS_BU!D60</f>
        <v>0.41015730337078654</v>
      </c>
      <c r="E51" s="1030">
        <f>ECARTS_BU!D62</f>
        <v>0.14779775280898877</v>
      </c>
      <c r="F51" s="1030">
        <f>ECARTS_BU!E106</f>
        <v>0.175386666666667</v>
      </c>
      <c r="G51" s="1031">
        <f>ECARTS_BU!E107</f>
        <v>135580</v>
      </c>
      <c r="H51" s="371"/>
      <c r="I51" s="371"/>
      <c r="J51" s="371"/>
      <c r="K51" s="371"/>
      <c r="L51" s="371"/>
      <c r="M51" s="371"/>
      <c r="N51" s="371" t="s">
        <v>272</v>
      </c>
      <c r="O51" s="375">
        <f>SUMIF('Données Brutes'!B80:B88,"Invest.",'Données Brutes'!C80:C88)</f>
        <v>2800000</v>
      </c>
      <c r="P51" s="375">
        <f>SUMIF('Données Brutes'!B80:B88,"Invest.",'Données Brutes'!D80:D88)</f>
        <v>3200000</v>
      </c>
      <c r="Q51" s="500">
        <f t="shared" si="1"/>
        <v>0.14285714285714285</v>
      </c>
    </row>
    <row r="52" spans="2:17" x14ac:dyDescent="0.25">
      <c r="B52" s="1032" t="s">
        <v>1711</v>
      </c>
      <c r="C52" s="1033">
        <f>ECARTS_BU!T10</f>
        <v>3.2258064516129031E-2</v>
      </c>
      <c r="D52" s="1033">
        <f>ECARTS_BU!E60</f>
        <v>0.66</v>
      </c>
      <c r="E52" s="1033">
        <f>ECARTS_BU!E62</f>
        <v>0.4428125</v>
      </c>
      <c r="F52" s="1033">
        <f>ECARTS_BU!F106</f>
        <v>0.50607142857142895</v>
      </c>
      <c r="G52" s="1034">
        <f>ECARTS_BU!F107</f>
        <v>1179000</v>
      </c>
      <c r="H52" s="371"/>
      <c r="I52" s="371"/>
      <c r="J52" s="371"/>
      <c r="K52" s="371"/>
      <c r="L52" s="371"/>
      <c r="M52" s="371"/>
      <c r="N52" s="371" t="s">
        <v>506</v>
      </c>
      <c r="O52" s="375">
        <f>SUMIF('Données Brutes'!B80:B88,"Bottom Line",'Données Brutes'!C80:C88)</f>
        <v>1900000</v>
      </c>
      <c r="P52" s="375">
        <f>SUMIF('Données Brutes'!B80:B88,"Bottom Line",'Données Brutes'!D80:D88)</f>
        <v>1580000</v>
      </c>
      <c r="Q52" s="500">
        <f t="shared" si="1"/>
        <v>-0.16842105263157894</v>
      </c>
    </row>
    <row r="53" spans="2:17" x14ac:dyDescent="0.25">
      <c r="B53" s="1029" t="s">
        <v>1712</v>
      </c>
      <c r="C53" s="1030">
        <f>ECARTS_BU!Y10</f>
        <v>-0.05</v>
      </c>
      <c r="D53" s="1030">
        <f>ECARTS_BU!F60</f>
        <v>0.48</v>
      </c>
      <c r="E53" s="1030">
        <f>ECARTS_BU!F62</f>
        <v>0.21473684210526317</v>
      </c>
      <c r="F53" s="1030">
        <f>ECARTS_BU!G106</f>
        <v>0.255</v>
      </c>
      <c r="G53" s="1031">
        <f>ECARTS_BU!G107</f>
        <v>136000</v>
      </c>
      <c r="H53" s="371"/>
      <c r="I53" s="371"/>
      <c r="J53" s="371"/>
      <c r="K53" s="371"/>
      <c r="L53" s="371"/>
      <c r="M53" s="371"/>
      <c r="N53" s="371"/>
      <c r="O53" s="375"/>
      <c r="P53" s="375"/>
      <c r="Q53" s="500"/>
    </row>
    <row r="54" spans="2:17" ht="15.75" thickBot="1" x14ac:dyDescent="0.3">
      <c r="B54" s="1035" t="s">
        <v>1713</v>
      </c>
      <c r="C54" s="1036">
        <f>ECARTS_BU!AD10</f>
        <v>-1.50375939849624E-2</v>
      </c>
      <c r="D54" s="1036">
        <f>ECARTS_BU!G60</f>
        <v>0.48921984732824425</v>
      </c>
      <c r="E54" s="1037">
        <f>ECARTS_BU!G62</f>
        <v>0.26899083969465648</v>
      </c>
      <c r="F54" s="1037" t="str">
        <f>ROUND(AVERAGE(ECARTS_BU!C106:G106)*100,1)&amp;"%"</f>
        <v>31,4%</v>
      </c>
      <c r="G54" s="1038">
        <f>SUM(ECARTS_BU!C107:G107)</f>
        <v>2639780</v>
      </c>
      <c r="H54" s="371"/>
      <c r="I54" s="371"/>
      <c r="J54" s="371"/>
      <c r="K54" s="371"/>
      <c r="L54" s="371"/>
      <c r="M54" s="371"/>
      <c r="N54" s="371"/>
      <c r="O54" s="371"/>
      <c r="P54" s="371"/>
      <c r="Q54" s="372"/>
    </row>
    <row r="55" spans="2:17" x14ac:dyDescent="0.25">
      <c r="H55" s="371"/>
      <c r="I55" s="371"/>
      <c r="J55" s="371"/>
      <c r="K55" s="371"/>
      <c r="L55" s="371"/>
      <c r="M55" s="371"/>
      <c r="N55" s="378" t="s">
        <v>556</v>
      </c>
      <c r="O55" s="379"/>
      <c r="P55" s="379"/>
      <c r="Q55" s="372"/>
    </row>
    <row r="56" spans="2:17" x14ac:dyDescent="0.25">
      <c r="B56"/>
      <c r="C56"/>
      <c r="D56"/>
      <c r="E56"/>
      <c r="H56" s="371"/>
      <c r="I56" s="371"/>
      <c r="J56" s="371"/>
      <c r="K56" s="371"/>
      <c r="L56" s="371"/>
      <c r="M56" s="371"/>
      <c r="N56" s="378" t="s">
        <v>164</v>
      </c>
      <c r="O56" s="378" t="s">
        <v>545</v>
      </c>
      <c r="P56" s="378" t="s">
        <v>557</v>
      </c>
      <c r="Q56" s="372"/>
    </row>
    <row r="57" spans="2:17" x14ac:dyDescent="0.25">
      <c r="B57"/>
      <c r="C57"/>
      <c r="D57"/>
      <c r="E57"/>
      <c r="H57" s="371"/>
      <c r="I57" s="371"/>
      <c r="J57" s="371"/>
      <c r="K57" s="371"/>
      <c r="L57" s="371"/>
      <c r="M57" s="371"/>
      <c r="N57" s="371" t="s">
        <v>558</v>
      </c>
      <c r="O57" s="375">
        <f>SUMIF('Données Brutes'!A38:A56,"Achats matières premières",'Données Brutes'!F38:F56)+SUMIF('Données Brutes'!A38:A56,"Variation stocks MP",'Données Brutes'!F38:F56)</f>
        <v>15850000</v>
      </c>
      <c r="P57" s="501">
        <f>O57/SUMIF('Données Brutes'!A38:A56,"Chiffre d'affaires net",'Données Brutes'!F38:F56)</f>
        <v>0.48919753086419754</v>
      </c>
      <c r="Q57" s="372"/>
    </row>
    <row r="58" spans="2:17" ht="15.75" thickBot="1" x14ac:dyDescent="0.3">
      <c r="B58"/>
      <c r="C58"/>
      <c r="D58"/>
      <c r="E58"/>
      <c r="H58" s="371"/>
      <c r="I58" s="371"/>
      <c r="J58" s="371"/>
      <c r="K58" s="371"/>
      <c r="L58" s="371"/>
      <c r="M58" s="371"/>
      <c r="N58" s="371" t="s">
        <v>554</v>
      </c>
      <c r="O58" s="375">
        <f>SUMIF('Données Brutes'!A38:A56,"Charges de personnel",'Données Brutes'!F38:F56)</f>
        <v>6900000</v>
      </c>
      <c r="P58" s="501">
        <f>O58/SUMIF('Données Brutes'!A38:A56,"Chiffre d'affaires net",'Données Brutes'!F38:F56)</f>
        <v>0.21296296296296297</v>
      </c>
      <c r="Q58" s="372"/>
    </row>
    <row r="59" spans="2:17" ht="21.95" customHeight="1" x14ac:dyDescent="0.25">
      <c r="B59" s="1367" t="s">
        <v>559</v>
      </c>
      <c r="C59" s="1368"/>
      <c r="D59" s="1368"/>
      <c r="E59" s="1368"/>
      <c r="F59" s="1368"/>
      <c r="G59" s="1369"/>
      <c r="H59" s="371"/>
      <c r="I59" s="371"/>
      <c r="J59" s="371"/>
      <c r="K59" s="371"/>
      <c r="L59" s="371"/>
      <c r="M59" s="371"/>
      <c r="N59" s="371" t="s">
        <v>560</v>
      </c>
      <c r="O59" s="375">
        <f>SUMIF('Données Brutes'!A38:A56,"Autres achats &amp; charges ext.",'Données Brutes'!F38:F56)</f>
        <v>4650000</v>
      </c>
      <c r="P59" s="501">
        <f>O59/SUMIF('Données Brutes'!A38:A56,"Chiffre d'affaires net",'Données Brutes'!F38:F56)</f>
        <v>0.14351851851851852</v>
      </c>
      <c r="Q59" s="372"/>
    </row>
    <row r="60" spans="2:17" x14ac:dyDescent="0.25">
      <c r="B60" s="1370" t="s">
        <v>561</v>
      </c>
      <c r="C60" s="1371"/>
      <c r="D60" s="1371"/>
      <c r="E60" s="1371"/>
      <c r="F60" s="1371"/>
      <c r="G60" s="1372"/>
      <c r="H60" s="371"/>
      <c r="I60" s="371"/>
      <c r="J60" s="371"/>
      <c r="K60" s="371"/>
      <c r="L60" s="371"/>
      <c r="M60" s="371"/>
      <c r="N60" s="371" t="s">
        <v>562</v>
      </c>
      <c r="O60" s="375">
        <f>SUMIF('Données Brutes'!A38:A56,"Dotations amortissements",'Données Brutes'!F38:F56)+SUMIF('Données Brutes'!A38:A56,"Dotations provisions exploit.",'Données Brutes'!F38:F56)</f>
        <v>1670000</v>
      </c>
      <c r="P60" s="501" t="s">
        <v>1729</v>
      </c>
      <c r="Q60" s="372" t="s">
        <v>1730</v>
      </c>
    </row>
    <row r="61" spans="2:17" x14ac:dyDescent="0.25">
      <c r="B61" s="1052"/>
      <c r="G61" s="1053"/>
      <c r="H61" s="371"/>
      <c r="I61" s="371"/>
      <c r="J61" s="371"/>
      <c r="K61" s="371"/>
      <c r="L61" s="371"/>
      <c r="M61" s="371"/>
      <c r="N61" s="371" t="s">
        <v>563</v>
      </c>
      <c r="O61" s="375">
        <f>SUMIF('Données Brutes'!A38:A56,"Impôts &amp; taxes",'Données Brutes'!F38:F56)+SUMIF('Données Brutes'!A38:A56,"Charges financières",'Données Brutes'!F38:F56)+SUMIF('Données Brutes'!A38:A56,"Autres charges exploitation",'Données Brutes'!F38:F56)</f>
        <v>1180000</v>
      </c>
      <c r="P61" s="501">
        <f>-'Ratios &amp; Indicateurs'!F36</f>
        <v>-66.768292682926827</v>
      </c>
      <c r="Q61" s="372" t="s">
        <v>1731</v>
      </c>
    </row>
    <row r="62" spans="2:17" x14ac:dyDescent="0.25">
      <c r="B62" s="1054" t="s">
        <v>92</v>
      </c>
      <c r="C62" s="1055" t="s">
        <v>564</v>
      </c>
      <c r="D62" s="1055" t="s">
        <v>565</v>
      </c>
      <c r="E62" s="1055" t="s">
        <v>94</v>
      </c>
      <c r="F62" s="1056" t="s">
        <v>94</v>
      </c>
      <c r="G62" s="1057" t="s">
        <v>567</v>
      </c>
      <c r="H62" s="371"/>
      <c r="I62" s="371"/>
      <c r="J62" s="371"/>
      <c r="K62" s="371"/>
      <c r="L62" s="371"/>
      <c r="M62" s="371"/>
      <c r="N62" s="371"/>
      <c r="O62" s="371"/>
      <c r="P62" s="969">
        <f>STOCKS!C95</f>
        <v>7.5983390020648454</v>
      </c>
      <c r="Q62" s="372" t="s">
        <v>1732</v>
      </c>
    </row>
    <row r="63" spans="2:17" ht="15.75" x14ac:dyDescent="0.25">
      <c r="B63" s="1058" t="s">
        <v>1738</v>
      </c>
      <c r="C63" s="979"/>
      <c r="D63" s="996"/>
      <c r="E63" s="1059" t="str">
        <f>IF(C63="","—",IF(C63&lt;=D63,"✅ Objectif",IF(C63&lt;=D63*1.2,"⚠️ En cours","🔴 Critique")))</f>
        <v>—</v>
      </c>
      <c r="F63" s="1060" t="str">
        <f>IF(C63&lt;=D63,"Objectif atteint",IF(C63&lt;=D63*1.2,"En cours","Ecart critique"))</f>
        <v>Objectif atteint</v>
      </c>
      <c r="G63" s="990" t="s">
        <v>568</v>
      </c>
      <c r="H63" s="371"/>
      <c r="I63" s="371"/>
      <c r="J63" s="371"/>
      <c r="K63" s="371"/>
      <c r="L63" s="371"/>
      <c r="M63" s="371"/>
      <c r="N63" s="371"/>
      <c r="O63" s="371"/>
      <c r="P63" s="371">
        <f>'Ratios &amp; Indicateurs'!F34</f>
        <v>57.453703703703702</v>
      </c>
      <c r="Q63" s="372" t="s">
        <v>527</v>
      </c>
    </row>
    <row r="64" spans="2:17" ht="15.75" x14ac:dyDescent="0.25">
      <c r="B64" s="1061" t="s">
        <v>1739</v>
      </c>
      <c r="C64" s="980"/>
      <c r="D64" s="1062"/>
      <c r="E64" s="1059" t="str">
        <f>IF(C64="","—",IF(C64&gt;=D64,"✅ Conforme",IF(C64&gt;=75,"⚠️ Acceptable","🔴 Non conforme")))</f>
        <v>—</v>
      </c>
      <c r="F64" s="1063" t="str">
        <f>IF(C64&gt;=D64,"Conforme",IF(C64&gt;=75,"Acceptable","Non conforme - sanction"))</f>
        <v>Conforme</v>
      </c>
      <c r="G64" s="1064" t="s">
        <v>569</v>
      </c>
      <c r="H64" s="371"/>
      <c r="I64" s="371"/>
      <c r="J64" s="371"/>
      <c r="K64" s="371"/>
      <c r="L64" s="371"/>
      <c r="M64" s="371"/>
      <c r="N64" s="371"/>
      <c r="O64" s="371"/>
      <c r="P64" s="371"/>
      <c r="Q64" s="372"/>
    </row>
    <row r="65" spans="2:17" ht="15.75" x14ac:dyDescent="0.25">
      <c r="B65" s="1065" t="s">
        <v>1740</v>
      </c>
      <c r="C65" s="1066"/>
      <c r="D65" s="1067"/>
      <c r="E65" s="1068" t="str">
        <f>IF(C65="","—",IF(C65&lt;=D65,"✅ Objectif",IF(C65&lt;=D65*1.5,"⚠️ À améliorer","🔴 Risque élevé")))</f>
        <v>—</v>
      </c>
      <c r="F65" s="1069" t="str">
        <f>IF(C65&lt;=D65,"Objectif atteint",IF(C65&lt;=D65*1.5,"A ameliorer","Risque eleve - action urgente"))</f>
        <v>Objectif atteint</v>
      </c>
      <c r="G65" s="1070" t="s">
        <v>570</v>
      </c>
      <c r="H65" s="371"/>
      <c r="I65" s="371"/>
      <c r="J65" s="371"/>
      <c r="K65" s="371"/>
      <c r="L65" s="371"/>
      <c r="M65" s="371"/>
      <c r="N65" s="371"/>
      <c r="O65" s="371"/>
      <c r="P65" s="375">
        <f>'Données Brutes'!D5</f>
        <v>2800000</v>
      </c>
      <c r="Q65" s="372"/>
    </row>
    <row r="66" spans="2:17" ht="15.75" thickBot="1" x14ac:dyDescent="0.3">
      <c r="B66" s="1373" t="s">
        <v>1741</v>
      </c>
      <c r="C66" s="1374"/>
      <c r="D66" s="1374"/>
      <c r="E66" s="1374"/>
      <c r="F66" s="1374"/>
      <c r="G66" s="1375"/>
      <c r="H66" s="371"/>
      <c r="I66" s="371"/>
      <c r="J66" s="371"/>
      <c r="K66" s="371"/>
      <c r="L66" s="371"/>
      <c r="M66" s="371"/>
      <c r="N66" s="371"/>
      <c r="O66" s="371"/>
      <c r="P66" s="375">
        <f>'Données Brutes'!E5</f>
        <v>3100000</v>
      </c>
      <c r="Q66" s="372"/>
    </row>
    <row r="67" spans="2:17" ht="15.75" thickBot="1" x14ac:dyDescent="0.3">
      <c r="H67" s="371"/>
      <c r="I67" s="371"/>
      <c r="J67" s="371"/>
      <c r="K67" s="371"/>
      <c r="L67" s="371"/>
      <c r="M67" s="371"/>
      <c r="N67" s="371"/>
      <c r="O67" s="371"/>
      <c r="P67" s="375">
        <f>'Données Brutes'!F5</f>
        <v>3400000</v>
      </c>
      <c r="Q67" s="372"/>
    </row>
    <row r="68" spans="2:17" x14ac:dyDescent="0.25">
      <c r="B68" s="1376" t="s">
        <v>1714</v>
      </c>
      <c r="C68" s="1377"/>
      <c r="D68" s="1377"/>
      <c r="E68" s="1378"/>
      <c r="H68" s="371"/>
      <c r="I68" s="371"/>
      <c r="J68" s="371"/>
      <c r="K68" s="371"/>
      <c r="L68" s="371"/>
      <c r="M68" s="371"/>
      <c r="N68" s="371"/>
      <c r="O68" s="371"/>
      <c r="P68" s="371"/>
      <c r="Q68" s="372"/>
    </row>
    <row r="69" spans="2:17" x14ac:dyDescent="0.25">
      <c r="B69" s="982" t="s">
        <v>1715</v>
      </c>
      <c r="C69" s="977" t="s">
        <v>1716</v>
      </c>
      <c r="D69" s="977" t="s">
        <v>112</v>
      </c>
      <c r="E69" s="988" t="s">
        <v>94</v>
      </c>
      <c r="H69" s="371"/>
      <c r="I69" s="371"/>
      <c r="J69" s="371"/>
      <c r="K69" s="371"/>
      <c r="L69" s="371"/>
      <c r="M69" s="371"/>
      <c r="N69" s="371"/>
      <c r="O69" s="371"/>
      <c r="P69" s="371"/>
      <c r="Q69" s="372"/>
    </row>
    <row r="70" spans="2:17" ht="15.75" x14ac:dyDescent="0.25">
      <c r="B70" s="1071" t="s">
        <v>1717</v>
      </c>
      <c r="C70" s="1072" t="s">
        <v>1718</v>
      </c>
      <c r="D70" s="1073">
        <f>STOCKS!C92</f>
        <v>48.036814348611109</v>
      </c>
      <c r="E70" s="1074" t="str">
        <f>IF(STOCKS!C92&gt;5,"✅","🔴")</f>
        <v>✅</v>
      </c>
      <c r="H70" s="371"/>
      <c r="I70" s="371"/>
      <c r="J70" s="371"/>
      <c r="K70" s="371"/>
      <c r="L70" s="371"/>
      <c r="M70" s="371"/>
      <c r="N70" s="371"/>
      <c r="O70" s="371"/>
      <c r="P70" s="371">
        <f>1-PLAN_AMORT!O20/PLAN_AMORT!D20</f>
        <v>0.33136587185354693</v>
      </c>
      <c r="Q70" s="372"/>
    </row>
    <row r="71" spans="2:17" ht="15.75" x14ac:dyDescent="0.25">
      <c r="B71" s="986"/>
      <c r="C71" s="1075" t="s">
        <v>1288</v>
      </c>
      <c r="D71" s="1076">
        <f>STOCKS!C95</f>
        <v>7.5983390020648454</v>
      </c>
      <c r="E71" s="1077" t="str">
        <f>IF(STOCKS!C95&lt;73,"✅","🔴")</f>
        <v>✅</v>
      </c>
      <c r="P71" s="371">
        <f>1-P70</f>
        <v>0.66863412814645307</v>
      </c>
    </row>
    <row r="72" spans="2:17" ht="15.75" x14ac:dyDescent="0.25">
      <c r="B72" s="1058"/>
      <c r="C72" s="236" t="s">
        <v>1719</v>
      </c>
      <c r="D72" s="997">
        <f>IFERROR(STOCKS!L29/STOCKS!J29,0)</f>
        <v>6.2048261598103716E-3</v>
      </c>
      <c r="E72" s="991" t="str">
        <f>IF(IFERROR(STOCKS!L29/STOCKS!J29,0)&lt;0.05,"✅","🔴")</f>
        <v>✅</v>
      </c>
      <c r="P72" s="371">
        <v>1</v>
      </c>
    </row>
    <row r="73" spans="2:17" ht="15.75" x14ac:dyDescent="0.25">
      <c r="B73" s="983" t="s">
        <v>1720</v>
      </c>
      <c r="C73" s="978" t="s">
        <v>1721</v>
      </c>
      <c r="D73" s="998">
        <f>1-PLAN_AMORT!O20/PLAN_AMORT!D20</f>
        <v>0.33136587185354693</v>
      </c>
      <c r="E73" s="992" t="str">
        <f>IF((1-PLAN_AMORT!O20/PLAN_AMORT!D20)&lt;0.7,"✅","🔴")</f>
        <v>✅</v>
      </c>
      <c r="P73" s="969">
        <f>'Ratios &amp; Indicateurs'!F20</f>
        <v>2.9382453126911403</v>
      </c>
    </row>
    <row r="74" spans="2:17" ht="15.75" x14ac:dyDescent="0.25">
      <c r="B74" s="986"/>
      <c r="C74" s="1075" t="s">
        <v>1656</v>
      </c>
      <c r="D74" s="1078">
        <f>IFERROR('Valorisation DCF'!C41/PLAN_AMORT!N20,0)</f>
        <v>5.9664154452198872</v>
      </c>
      <c r="E74" s="1077" t="str">
        <f>IF(IFERROR('Valorisation DCF'!C41/PLAN_AMORT!N20,0)&gt;1,"✅","🔴")</f>
        <v>✅</v>
      </c>
      <c r="P74" s="969">
        <f>5-P73</f>
        <v>2.0617546873088597</v>
      </c>
    </row>
    <row r="75" spans="2:17" x14ac:dyDescent="0.25">
      <c r="B75" s="1058"/>
      <c r="C75" s="236" t="s">
        <v>1339</v>
      </c>
      <c r="D75" s="1079">
        <f>PLAN_AMORT!N20</f>
        <v>301688.68</v>
      </c>
      <c r="E75" s="989" t="s">
        <v>386</v>
      </c>
      <c r="P75" s="371">
        <v>5</v>
      </c>
    </row>
    <row r="76" spans="2:17" ht="15.75" x14ac:dyDescent="0.25">
      <c r="B76" s="984" t="s">
        <v>1722</v>
      </c>
      <c r="C76" s="1080" t="s">
        <v>1723</v>
      </c>
      <c r="D76" s="1081">
        <f>IFERROR(ECARTS_BU!AB10/ECARTS_BU!AA10,0)</f>
        <v>0.98496240601503759</v>
      </c>
      <c r="E76" s="993" t="str">
        <f>IF(AND(IFERROR(ECARTS_BU!AB10/ECARTS_BU!AA10,0)&gt;=0.95,IFERROR(ECARTS_BU!AB10/ECARTS_BU!AA10,0)&lt;=1.05),"✅",IF(AND(IFERROR(ECARTS_BU!AB10/ECARTS_BU!AA10,0)&gt;=0.9,IFERROR(ECARTS_BU!AB10/ECARTS_BU!AA10,0)&lt;=1.1),"⚠️","🔴"))</f>
        <v>✅</v>
      </c>
    </row>
    <row r="77" spans="2:17" ht="15.75" x14ac:dyDescent="0.25">
      <c r="B77" s="986"/>
      <c r="C77" s="1075" t="s">
        <v>1724</v>
      </c>
      <c r="D77" s="1082">
        <f>SUM(ECARTS_BU!C107:G107)</f>
        <v>2639780</v>
      </c>
      <c r="E77" s="1077" t="str">
        <f>IF(SUM(ECARTS_BU!C107:G107)&gt;0,"✅ Création","🔴 Destruction")</f>
        <v>✅ Création</v>
      </c>
    </row>
    <row r="78" spans="2:17" ht="15.75" x14ac:dyDescent="0.25">
      <c r="B78" s="1058"/>
      <c r="C78" s="236" t="s">
        <v>1725</v>
      </c>
      <c r="D78" s="999">
        <f>COUNTIF(ECARTS_BU!C106:G106,"&gt;"&amp;'Valorisation DCF'!C22)</f>
        <v>5</v>
      </c>
      <c r="E78" s="991" t="str">
        <f>IF(COUNTIF(ECARTS_BU!C106:G106,"&gt;"&amp;'Valorisation DCF'!C22)&gt;=4,"✅",IF(COUNTIF(ECARTS_BU!C106:G106,"&gt;"&amp;'Valorisation DCF'!C22)&gt;=3,"⚠️","🔴"))</f>
        <v>✅</v>
      </c>
    </row>
    <row r="79" spans="2:17" ht="15.75" x14ac:dyDescent="0.25">
      <c r="B79" s="985" t="s">
        <v>1726</v>
      </c>
      <c r="C79" s="1083" t="s">
        <v>956</v>
      </c>
      <c r="D79" s="1000">
        <f>'Ratios &amp; Indicateurs'!F20</f>
        <v>2.9382453126911403</v>
      </c>
      <c r="E79" s="994" t="str">
        <f>IF('Ratios &amp; Indicateurs'!F20&gt;=2.99,"✅",IF('Ratios &amp; Indicateurs'!F20&gt;=1.81,"⚠️","🔴"))</f>
        <v>⚠️</v>
      </c>
    </row>
    <row r="80" spans="2:17" ht="15.75" x14ac:dyDescent="0.25">
      <c r="B80" s="986"/>
      <c r="C80" s="1075" t="s">
        <v>1727</v>
      </c>
      <c r="D80" s="1084">
        <f>'Ratios &amp; Indicateurs'!F62</f>
        <v>5</v>
      </c>
      <c r="E80" s="1077" t="str">
        <f>IF('Ratios &amp; Indicateurs'!F62&gt;=7,"✅",IF('Ratios &amp; Indicateurs'!F62&gt;=5,"⚠️","🔴"))</f>
        <v>⚠️</v>
      </c>
    </row>
    <row r="81" spans="2:5" ht="16.5" thickBot="1" x14ac:dyDescent="0.3">
      <c r="B81" s="987"/>
      <c r="C81" s="981" t="s">
        <v>1728</v>
      </c>
      <c r="D81" s="1001">
        <f>'Ratios &amp; Indicateurs'!F37</f>
        <v>119.64440155705448</v>
      </c>
      <c r="E81" s="995" t="str">
        <f>IF('Ratios &amp; Indicateurs'!F37&lt;45,"✅",IF('Ratios &amp; Indicateurs'!F37&lt;90,"⚠️","🔴"))</f>
        <v>🔴</v>
      </c>
    </row>
  </sheetData>
  <mergeCells count="17">
    <mergeCell ref="B59:G59"/>
    <mergeCell ref="B60:G60"/>
    <mergeCell ref="B66:G66"/>
    <mergeCell ref="B68:E68"/>
    <mergeCell ref="B35:F35"/>
    <mergeCell ref="B39:F39"/>
    <mergeCell ref="B43:F43"/>
    <mergeCell ref="B47:G47"/>
    <mergeCell ref="I23:L23"/>
    <mergeCell ref="B1:P1"/>
    <mergeCell ref="B9:F9"/>
    <mergeCell ref="H9:L9"/>
    <mergeCell ref="H20:L20"/>
    <mergeCell ref="I21:L21"/>
    <mergeCell ref="I22:L22"/>
    <mergeCell ref="G3:H3"/>
    <mergeCell ref="G5:H5"/>
  </mergeCells>
  <conditionalFormatting sqref="C49:F53">
    <cfRule type="colorScale" priority="17">
      <colorScale>
        <cfvo type="min"/>
        <cfvo type="max"/>
        <color rgb="FFFF7128"/>
        <color rgb="FFFFEF9C"/>
      </colorScale>
    </cfRule>
    <cfRule type="colorScale" priority="21">
      <colorScale>
        <cfvo type="min"/>
        <cfvo type="percent" val="50"/>
        <cfvo type="max"/>
        <color rgb="FFF8696B"/>
        <color rgb="FFFFFFFF"/>
        <color rgb="FF63BE7B"/>
      </colorScale>
    </cfRule>
  </conditionalFormatting>
  <conditionalFormatting sqref="E11:E22">
    <cfRule type="containsText" dxfId="30" priority="11" operator="containsText" text="✅">
      <formula>NOT(ISERROR(SEARCH("✅",E11)))</formula>
    </cfRule>
    <cfRule type="containsText" dxfId="29" priority="12" operator="containsText" text="⚠️">
      <formula>NOT(ISERROR(SEARCH("⚠️",E11)))</formula>
    </cfRule>
    <cfRule type="containsText" dxfId="28" priority="13" operator="containsText" text="🔴">
      <formula>NOT(ISERROR(SEARCH("🔴",E11)))</formula>
    </cfRule>
    <cfRule type="containsText" dxfId="27" priority="14" operator="containsText" text="Critique">
      <formula>NOT(ISERROR(SEARCH("Critique",E11)))</formula>
    </cfRule>
    <cfRule type="containsText" dxfId="26" priority="15" operator="containsText" text="⚠️">
      <formula>NOT(ISERROR(SEARCH("⚠️",E11)))</formula>
    </cfRule>
    <cfRule type="containsText" dxfId="25" priority="16" operator="containsText" text="✅">
      <formula>NOT(ISERROR(SEARCH("✅",E11)))</formula>
    </cfRule>
  </conditionalFormatting>
  <conditionalFormatting sqref="E18">
    <cfRule type="containsText" dxfId="24" priority="1" operator="containsText" text="Critique">
      <formula>NOT(ISERROR(SEARCH("Critique",E18)))</formula>
    </cfRule>
    <cfRule type="containsText" dxfId="23" priority="2" operator="containsText" text="Critique">
      <formula>NOT(ISERROR(SEARCH("Critique",E18)))</formula>
    </cfRule>
  </conditionalFormatting>
  <conditionalFormatting sqref="E22">
    <cfRule type="containsText" dxfId="22" priority="3" operator="containsText" text="Critique">
      <formula>NOT(ISERROR(SEARCH("Critique",E22)))</formula>
    </cfRule>
    <cfRule type="containsText" dxfId="21" priority="4" operator="containsText" text="Critique">
      <formula>NOT(ISERROR(SEARCH("Critique",E22)))</formula>
    </cfRule>
  </conditionalFormatting>
  <conditionalFormatting sqref="E11:F22">
    <cfRule type="containsText" dxfId="20" priority="8" operator="containsText" text="✅">
      <formula>NOT(ISERROR(SEARCH("✅",E11)))</formula>
    </cfRule>
    <cfRule type="containsText" dxfId="19" priority="9" operator="containsText" text="⚠️">
      <formula>NOT(ISERROR(SEARCH("⚠️",E11)))</formula>
    </cfRule>
    <cfRule type="containsText" dxfId="18" priority="10" operator="containsText" text="🔴">
      <formula>NOT(ISERROR(SEARCH("🔴",E11)))</formula>
    </cfRule>
  </conditionalFormatting>
  <conditionalFormatting sqref="G4">
    <cfRule type="cellIs" dxfId="17" priority="18" operator="greaterThanOrEqual">
      <formula>2.99</formula>
    </cfRule>
    <cfRule type="cellIs" dxfId="16" priority="19" operator="greaterThanOrEqual">
      <formula>1.81</formula>
    </cfRule>
    <cfRule type="cellIs" dxfId="15" priority="20" operator="lessThan">
      <formula>1.81</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03E38-05F8-4B65-909D-B1BD633EDDEB}">
  <sheetPr>
    <tabColor rgb="FFED7D31"/>
  </sheetPr>
  <dimension ref="B1:G32"/>
  <sheetViews>
    <sheetView showGridLines="0" topLeftCell="B1" workbookViewId="0">
      <pane ySplit="4" topLeftCell="A5" activePane="bottomLeft" state="frozen"/>
      <selection activeCell="B1" sqref="B1"/>
      <selection pane="bottomLeft" activeCell="G8" sqref="G8"/>
    </sheetView>
  </sheetViews>
  <sheetFormatPr baseColWidth="10" defaultColWidth="10.7109375" defaultRowHeight="15" x14ac:dyDescent="0.25"/>
  <cols>
    <col min="1" max="1" width="1" customWidth="1"/>
    <col min="2" max="2" width="28.42578125" customWidth="1"/>
    <col min="3" max="4" width="24.7109375" customWidth="1"/>
    <col min="5" max="5" width="27.140625" customWidth="1"/>
    <col min="6" max="6" width="20" customWidth="1"/>
    <col min="7" max="7" width="48.140625" customWidth="1"/>
  </cols>
  <sheetData>
    <row r="1" spans="2:7" ht="35.1" customHeight="1" x14ac:dyDescent="0.3">
      <c r="B1" s="1391" t="s">
        <v>571</v>
      </c>
      <c r="C1" s="1235"/>
      <c r="D1" s="1235"/>
      <c r="E1" s="1235"/>
      <c r="F1" s="1235"/>
      <c r="G1" s="1235"/>
    </row>
    <row r="3" spans="2:7" ht="21.95" customHeight="1" thickBot="1" x14ac:dyDescent="0.3">
      <c r="B3" s="1356" t="s">
        <v>572</v>
      </c>
      <c r="C3" s="1357"/>
      <c r="D3" s="1357"/>
      <c r="E3" s="1357"/>
      <c r="F3" s="1357"/>
      <c r="G3" s="1357"/>
    </row>
    <row r="4" spans="2:7" x14ac:dyDescent="0.25">
      <c r="B4" s="246" t="s">
        <v>510</v>
      </c>
      <c r="C4" s="242" t="s">
        <v>573</v>
      </c>
      <c r="D4" s="242" t="s">
        <v>574</v>
      </c>
      <c r="E4" s="242" t="s">
        <v>575</v>
      </c>
      <c r="F4" s="242" t="s">
        <v>576</v>
      </c>
      <c r="G4" s="250" t="s">
        <v>577</v>
      </c>
    </row>
    <row r="5" spans="2:7" x14ac:dyDescent="0.25">
      <c r="B5" s="247" t="s">
        <v>516</v>
      </c>
      <c r="C5" s="232">
        <f>'Ratios &amp; Indicateurs'!F6</f>
        <v>2.0914826498422712</v>
      </c>
      <c r="D5" s="233">
        <v>1.8</v>
      </c>
      <c r="E5" s="233">
        <v>2.2000000000000002</v>
      </c>
      <c r="F5" s="234" t="str">
        <f>IF(C5&gt;=E5,"🥇 Top 25%",IF(C5&gt;=D5,"📊 Médiane","📉 Sous médiane"))</f>
        <v>📊 Médiane</v>
      </c>
      <c r="G5" s="251" t="str">
        <f>IF(C5&gt;=E5,"✅ Excellente liquidité — au-dessus du Q3 sectoriel",IF(C5&gt;=D5,"➡️ Liquidité dans la norme","⚠️ Liquidité sous la médiane · Renforcer le fonds de roulement"))</f>
        <v>➡️ Liquidité dans la norme</v>
      </c>
    </row>
    <row r="6" spans="2:7" x14ac:dyDescent="0.25">
      <c r="B6" s="248" t="s">
        <v>97</v>
      </c>
      <c r="C6" s="235">
        <f>'Ratios &amp; Indicateurs'!F24</f>
        <v>0.14722222222222223</v>
      </c>
      <c r="D6" s="235">
        <v>0.125</v>
      </c>
      <c r="E6" s="235">
        <v>0.18</v>
      </c>
      <c r="F6" s="236" t="str">
        <f>IF(C6&gt;=E6,"🥇 Top 25%",IF(C6&gt;=D6,"📊 Médiane","📉 Sous médiane"))</f>
        <v>📊 Médiane</v>
      </c>
      <c r="G6" s="252" t="str">
        <f>IF(C6&gt;=E6,"✅ Marge EBITDA supérieure — profitabilité opérationnelle forte",IF(C6&gt;=D6,"➡️ Marge EBITDA dans la norme","⚠️ Marge EBITDA faible · Revoir la structure de coûts"))</f>
        <v>➡️ Marge EBITDA dans la norme</v>
      </c>
    </row>
    <row r="7" spans="2:7" x14ac:dyDescent="0.25">
      <c r="B7" s="247" t="s">
        <v>99</v>
      </c>
      <c r="C7" s="237">
        <f>'Ratios &amp; Indicateurs'!F27</f>
        <v>0.15974320241691842</v>
      </c>
      <c r="D7" s="237">
        <v>0.1</v>
      </c>
      <c r="E7" s="237">
        <v>0.15</v>
      </c>
      <c r="F7" s="234" t="str">
        <f>IF(C7&gt;=E7,"🥇 Top 25%",IF(C7&gt;=D7,"📊 Médiane","📉 Sous médiane"))</f>
        <v>🥇 Top 25%</v>
      </c>
      <c r="G7" s="251" t="str">
        <f>IF(C7&gt;=E7,"✅ ROE excellent — rentabilité capitaux propres top quartile",IF(C7&gt;=D7,"➡️ ROE dans la norme","⚠️ ROE insuffisant · Améliorer la rentabilité ou revoir le capital"))</f>
        <v>✅ ROE excellent — rentabilité capitaux propres top quartile</v>
      </c>
    </row>
    <row r="8" spans="2:7" x14ac:dyDescent="0.25">
      <c r="B8" s="248" t="s">
        <v>578</v>
      </c>
      <c r="C8" s="238">
        <f>'Ratios &amp; Indicateurs'!F14</f>
        <v>0.93504531722054385</v>
      </c>
      <c r="D8" s="239">
        <v>0.8</v>
      </c>
      <c r="E8" s="239">
        <v>0.5</v>
      </c>
      <c r="F8" s="236" t="str">
        <f>IF(C8&lt;=E8,"🥇 Top 25%",IF(C8&lt;=D8,"📊 Médiane","📉 Sous médiane"))</f>
        <v>📉 Sous médiane</v>
      </c>
      <c r="G8" s="252" t="str">
        <f>IF(C8&lt;=E8,"✅ Endettement maîtrisé — levier financier optimal",IF(C8&lt;=D8,"➡️ Endettement dans la norme","⚠️ D/E élevé · Réduire la dette ou renforcer les capitaux propres"))</f>
        <v>⚠️ D/E élevé · Réduire la dette ou renforcer les capitaux propres</v>
      </c>
    </row>
    <row r="9" spans="2:7" x14ac:dyDescent="0.25">
      <c r="B9" s="247" t="s">
        <v>579</v>
      </c>
      <c r="C9" s="233">
        <f>'Ratios &amp; Indicateurs'!F34</f>
        <v>57.453703703703702</v>
      </c>
      <c r="D9" s="240">
        <v>50</v>
      </c>
      <c r="E9" s="240">
        <v>35</v>
      </c>
      <c r="F9" s="234" t="str">
        <f>IF(C9&lt;=E9,"🥇 Top 25%",IF(C9&lt;=D9,"📊 Médiane","📉 Sous médiane"))</f>
        <v>📉 Sous médiane</v>
      </c>
      <c r="G9" s="251" t="str">
        <f>IF(C9&lt;=E9,"✅ Recouvrement rapide — DSO top quartile sectoriel",IF(C9&lt;=D9,"➡️ DSO dans la norme","⚠️ Délai clients long · Politique de relance à renforcer"))</f>
        <v>⚠️ Délai clients long · Politique de relance à renforcer</v>
      </c>
    </row>
    <row r="10" spans="2:7" x14ac:dyDescent="0.25">
      <c r="B10" s="248" t="s">
        <v>580</v>
      </c>
      <c r="C10" s="239">
        <f>'Ratios &amp; Indicateurs'!F37</f>
        <v>119.64440155705448</v>
      </c>
      <c r="D10" s="241">
        <v>55</v>
      </c>
      <c r="E10" s="241">
        <v>40</v>
      </c>
      <c r="F10" s="236" t="str">
        <f>IF(C10&lt;=E10,"🥇 Top 25%",IF(C10&lt;=D10,"📊 Médiane","📉 Sous médiane"))</f>
        <v>📉 Sous médiane</v>
      </c>
      <c r="G10" s="252" t="str">
        <f>IF(C10&lt;=E10,"✅ Cycle de trésorerie court — CCC optimal",IF(C10&lt;=D10,"➡️ CCC dans la norme","⚠️ CCC élevé · Optimiser DSO + DIO ou allonger DPO"))</f>
        <v>⚠️ CCC élevé · Optimiser DSO + DIO ou allonger DPO</v>
      </c>
    </row>
    <row r="11" spans="2:7" x14ac:dyDescent="0.25">
      <c r="B11" s="247" t="s">
        <v>581</v>
      </c>
      <c r="C11" s="232">
        <f>IFERROR(SUMIF('Données Brutes'!A38:A56,"Chiffre d'affaires net",'Données Brutes'!F38:F56)/(SUMIF('Données Brutes'!B2:B26,"Actif Non Courant",'Données Brutes'!F2:F26)+SUMIF('Données Brutes'!B2:B26,"Actif Courant",'Données Brutes'!F2:F26)),0)</f>
        <v>1.2646370023419204</v>
      </c>
      <c r="D11" s="233">
        <v>1.2</v>
      </c>
      <c r="E11" s="233">
        <v>1.6</v>
      </c>
      <c r="F11" s="234" t="str">
        <f>IF(C11&gt;=E11,"🥇 Top 25%",IF(C11&gt;=D11,"📊 Médiane","📉 Sous médiane"))</f>
        <v>📊 Médiane</v>
      </c>
      <c r="G11" s="251" t="str">
        <f>IF(C11&gt;=E11,"✅ Rotation actifs élevée — bonne intensité d'utilisation",IF(C11&gt;=D11,"➡️ Rotation actifs dans la norme","⚠️ Sous-utilisation des actifs · Revue du portefeuille d'actifs"))</f>
        <v>➡️ Rotation actifs dans la norme</v>
      </c>
    </row>
    <row r="12" spans="2:7" x14ac:dyDescent="0.25">
      <c r="B12" s="248" t="s">
        <v>101</v>
      </c>
      <c r="C12" s="238">
        <f>'Ratios &amp; Indicateurs'!F20</f>
        <v>2.9382453126911403</v>
      </c>
      <c r="D12" s="239">
        <v>2.5</v>
      </c>
      <c r="E12" s="239">
        <v>3.5</v>
      </c>
      <c r="F12" s="236" t="str">
        <f>IF(C12&gt;=E12,"🥇 Top 25%",IF(C12&gt;=D12,"📊 Médiane","📉 Sous médiane"))</f>
        <v>📊 Médiane</v>
      </c>
      <c r="G12" s="252" t="str">
        <f>IF(C12&gt;=E12,"✅ Z-Score solide — risque de défaillance très faible",IF(C12&gt;=D12,"➡️ Z-Score acceptable · Surveiller","⚠️ Zone Grise Altman · Vigilance accrue sur la solvabilité"))</f>
        <v>➡️ Z-Score acceptable · Surveiller</v>
      </c>
    </row>
    <row r="13" spans="2:7" x14ac:dyDescent="0.25">
      <c r="B13" s="247" t="s">
        <v>582</v>
      </c>
      <c r="C13" s="237">
        <f>'Ratios &amp; Indicateurs'!F26</f>
        <v>6.5277777777777782E-2</v>
      </c>
      <c r="D13" s="237">
        <v>0.04</v>
      </c>
      <c r="E13" s="237">
        <v>7.0000000000000007E-2</v>
      </c>
      <c r="F13" s="234" t="str">
        <f>IF(C13&gt;=E13,"🥇 Top 25%",IF(C13&gt;=D13,"📊 Médiane","📉 Sous médiane"))</f>
        <v>📊 Médiane</v>
      </c>
      <c r="G13" s="251" t="str">
        <f>IF(C13&gt;=E13,"✅ Marge nette élevée — rentabilité finale top quartile",IF(C13&gt;=D13,"➡️ Marge nette dans la norme","⚠️ Marge nette faible · Réduire coûts ou améliorer pricing"))</f>
        <v>➡️ Marge nette dans la norme</v>
      </c>
    </row>
    <row r="14" spans="2:7" ht="15.75" thickBot="1" x14ac:dyDescent="0.3">
      <c r="B14" s="249" t="s">
        <v>583</v>
      </c>
      <c r="C14" s="243">
        <f>'Ratios &amp; Indicateurs'!F18</f>
        <v>12.23076923076923</v>
      </c>
      <c r="D14" s="244">
        <v>4</v>
      </c>
      <c r="E14" s="244">
        <v>8</v>
      </c>
      <c r="F14" s="245" t="str">
        <f>IF(C14&gt;=E14,"🥇 Top 25%",IF(C14&gt;=D14,"📊 Médiane","📉 Sous médiane"))</f>
        <v>🥇 Top 25%</v>
      </c>
      <c r="G14" s="253" t="str">
        <f>IF(C14&gt;=E14,"✅ Couverture intérêts excellente — dette bien couverte",IF(C14&gt;=D14,"➡️ Couverture dans la norme","⚠️ Couverture intérêts faible · Risque sur service de la dette"))</f>
        <v>✅ Couverture intérêts excellente — dette bien couverte</v>
      </c>
    </row>
    <row r="17" spans="2:7" ht="21.95" customHeight="1" thickBot="1" x14ac:dyDescent="0.3">
      <c r="B17" s="1392" t="s">
        <v>584</v>
      </c>
      <c r="C17" s="1393"/>
      <c r="D17" s="1393"/>
      <c r="E17" s="1393"/>
      <c r="F17" s="1393"/>
      <c r="G17" s="1393"/>
    </row>
    <row r="18" spans="2:7" x14ac:dyDescent="0.25">
      <c r="B18" s="264" t="s">
        <v>585</v>
      </c>
      <c r="C18" s="260" t="s">
        <v>111</v>
      </c>
      <c r="D18" s="491" t="s">
        <v>586</v>
      </c>
      <c r="E18" s="260" t="s">
        <v>113</v>
      </c>
      <c r="F18" s="260" t="s">
        <v>94</v>
      </c>
      <c r="G18" s="268" t="s">
        <v>587</v>
      </c>
    </row>
    <row r="19" spans="2:7" x14ac:dyDescent="0.25">
      <c r="B19" s="265">
        <v>1</v>
      </c>
      <c r="C19" s="234" t="s">
        <v>588</v>
      </c>
      <c r="D19" s="254">
        <f>'Ratios &amp; Indicateurs'!F6</f>
        <v>2.0914826498422712</v>
      </c>
      <c r="E19" s="255" t="s">
        <v>523</v>
      </c>
      <c r="F19" s="255" t="str">
        <f>IF('Ratios &amp; Indicateurs'!F6&gt;=1.5,"OK",IF('Ratios &amp; Indicateurs'!F6&gt;=1,"Attention","CRITIQUE"))</f>
        <v>OK</v>
      </c>
      <c r="G19" s="269" t="s">
        <v>589</v>
      </c>
    </row>
    <row r="20" spans="2:7" x14ac:dyDescent="0.25">
      <c r="B20" s="266">
        <v>2</v>
      </c>
      <c r="C20" s="236" t="s">
        <v>590</v>
      </c>
      <c r="D20" s="256">
        <f>'Ratios &amp; Indicateurs'!F14</f>
        <v>0.93504531722054385</v>
      </c>
      <c r="E20" s="257" t="s">
        <v>591</v>
      </c>
      <c r="F20" s="257" t="str">
        <f>IF('Ratios &amp; Indicateurs'!F14&gt;2,"CRITIQUE",IF('Ratios &amp; Indicateurs'!F14&gt;1.5,"Attention","OK"))</f>
        <v>OK</v>
      </c>
      <c r="G20" s="270" t="s">
        <v>592</v>
      </c>
    </row>
    <row r="21" spans="2:7" x14ac:dyDescent="0.25">
      <c r="B21" s="265">
        <v>3</v>
      </c>
      <c r="C21" s="234" t="s">
        <v>593</v>
      </c>
      <c r="D21" s="492">
        <f>'Ratios &amp; Indicateurs'!F20</f>
        <v>2.9382453126911403</v>
      </c>
      <c r="E21" s="255" t="s">
        <v>594</v>
      </c>
      <c r="F21" s="255" t="str">
        <f>IF('Ratios &amp; Indicateurs'!F20&lt;1.81,"CRITIQUE",IF('Ratios &amp; Indicateurs'!F20&lt;2.99,"Attention","OK"))</f>
        <v>Attention</v>
      </c>
      <c r="G21" s="269" t="s">
        <v>595</v>
      </c>
    </row>
    <row r="22" spans="2:7" x14ac:dyDescent="0.25">
      <c r="B22" s="266">
        <v>4</v>
      </c>
      <c r="C22" s="236" t="s">
        <v>596</v>
      </c>
      <c r="D22" s="493">
        <f>'Ratios &amp; Indicateurs'!F26</f>
        <v>6.5277777777777782E-2</v>
      </c>
      <c r="E22" s="257" t="s">
        <v>597</v>
      </c>
      <c r="F22" s="257" t="str">
        <f>IF('Ratios &amp; Indicateurs'!F26&lt;0,"CRITIQUE",IF('Ratios &amp; Indicateurs'!F26&lt;0.03,"Attention","OK"))</f>
        <v>OK</v>
      </c>
      <c r="G22" s="270" t="s">
        <v>598</v>
      </c>
    </row>
    <row r="23" spans="2:7" x14ac:dyDescent="0.25">
      <c r="B23" s="265">
        <v>5</v>
      </c>
      <c r="C23" s="234" t="s">
        <v>599</v>
      </c>
      <c r="D23" s="259">
        <f>IFERROR(SUMIF('Données Brutes'!A2:A26,"Trésorerie active",'Données Brutes'!F2:F26)+SUMIF('Données Brutes'!A2:A26,"VMP",'Données Brutes'!F2:F26)-SUMIF('Données Brutes'!A2:A26,"Concours bancaires",'Données Brutes'!F2:F26),0)</f>
        <v>1950000</v>
      </c>
      <c r="E23" s="255" t="str">
        <f>"&lt; 0 ou &lt; 1% CA ("&amp;TEXT(SUMIF('Données Brutes'!A38:A56,"Chiffre d'affaires net",'Données Brutes'!F38:F56)*0.01/Accueil!F27,"# ##0")&amp;" "&amp;Accueil!F28&amp;")"</f>
        <v>&lt; 0 ou &lt; 1% CA (0 M€)</v>
      </c>
      <c r="F23" s="255" t="str">
        <f>IF(D23&lt;0,"CRITIQUE",IF(D23&lt;SUMIF('Données Brutes'!A38:A56,"Chiffre d'affaires net",'Données Brutes'!F38:F56)*0.01,"Attention","OK"))</f>
        <v>OK</v>
      </c>
      <c r="G23" s="269" t="s">
        <v>600</v>
      </c>
    </row>
    <row r="24" spans="2:7" x14ac:dyDescent="0.25">
      <c r="B24" s="266">
        <v>6</v>
      </c>
      <c r="C24" s="236" t="s">
        <v>601</v>
      </c>
      <c r="D24" s="258">
        <f>'Ratios &amp; Indicateurs'!F18</f>
        <v>12.23076923076923</v>
      </c>
      <c r="E24" s="257" t="s">
        <v>602</v>
      </c>
      <c r="F24" s="257" t="str">
        <f>IF('Ratios &amp; Indicateurs'!F18&lt;2,"CRITIQUE",IF('Ratios &amp; Indicateurs'!F18&lt;3,"Attention","OK"))</f>
        <v>OK</v>
      </c>
      <c r="G24" s="270" t="s">
        <v>603</v>
      </c>
    </row>
    <row r="25" spans="2:7" x14ac:dyDescent="0.25">
      <c r="B25" s="265">
        <v>7</v>
      </c>
      <c r="C25" s="234" t="s">
        <v>604</v>
      </c>
      <c r="D25" s="259">
        <f>'Ratios &amp; Indicateurs'!F11</f>
        <v>60.157407407407405</v>
      </c>
      <c r="E25" s="255" t="s">
        <v>605</v>
      </c>
      <c r="F25" s="255" t="str">
        <f>IF('Ratios &amp; Indicateurs'!F11&gt;90,"CRITIQUE",IF('Ratios &amp; Indicateurs'!F11&gt;60,"Attention","OK"))</f>
        <v>Attention</v>
      </c>
      <c r="G25" s="269" t="s">
        <v>606</v>
      </c>
    </row>
    <row r="26" spans="2:7" x14ac:dyDescent="0.25">
      <c r="B26" s="266">
        <v>8</v>
      </c>
      <c r="C26" s="236" t="s">
        <v>607</v>
      </c>
      <c r="D26" s="258">
        <f>'Ratios &amp; Indicateurs'!F44</f>
        <v>308.98187311178242</v>
      </c>
      <c r="E26" s="257" t="s">
        <v>608</v>
      </c>
      <c r="F26" s="257" t="str">
        <f>IF('Ratios &amp; Indicateurs'!F44&gt;330,"CRITIQUE",IF('Ratios &amp; Indicateurs'!F44&gt;300,"Attention","OK"))</f>
        <v>Attention</v>
      </c>
      <c r="G26" s="270" t="s">
        <v>609</v>
      </c>
    </row>
    <row r="27" spans="2:7" x14ac:dyDescent="0.25">
      <c r="B27" s="265">
        <v>9</v>
      </c>
      <c r="C27" s="234" t="s">
        <v>610</v>
      </c>
      <c r="D27" s="492">
        <f>'Ratios &amp; Indicateurs'!F37</f>
        <v>119.64440155705448</v>
      </c>
      <c r="E27" s="255" t="s">
        <v>611</v>
      </c>
      <c r="F27" s="255" t="str">
        <f>IF('Ratios &amp; Indicateurs'!F37&gt;90,"CRITIQUE",IF('Ratios &amp; Indicateurs'!F37&gt;70,"Attention","OK"))</f>
        <v>CRITIQUE</v>
      </c>
      <c r="G27" s="269" t="s">
        <v>612</v>
      </c>
    </row>
    <row r="28" spans="2:7" ht="15.75" thickBot="1" x14ac:dyDescent="0.3">
      <c r="B28" s="267">
        <v>10</v>
      </c>
      <c r="C28" s="261" t="s">
        <v>613</v>
      </c>
      <c r="D28" s="262">
        <f>('Données Brutes'!D87-'Données Brutes'!C87)/'Données Brutes'!C87</f>
        <v>0.14285714285714285</v>
      </c>
      <c r="E28" s="263" t="s">
        <v>117</v>
      </c>
      <c r="F28" s="263" t="str">
        <f>IF('Données Brutes'!D87&gt;'Données Brutes'!C87*1.1,"CRITIQUE",IF('Données Brutes'!D87&gt;'Données Brutes'!C87,"Attention","OK"))</f>
        <v>CRITIQUE</v>
      </c>
      <c r="G28" s="271" t="s">
        <v>614</v>
      </c>
    </row>
    <row r="30" spans="2:7" x14ac:dyDescent="0.25">
      <c r="B30" s="94" t="s">
        <v>615</v>
      </c>
      <c r="C30" s="44" t="str">
        <f>COUNTIF(F19:F28,"CRITIQUE")&amp;" 🔴 CRITIQUE  |  "&amp;COUNTIF(F19:F28,"Attention")&amp;" 🟠 Attention  |  "&amp;COUNTIF(F19:F28,"OK")&amp;" 🟢 OK"</f>
        <v>2 🔴 CRITIQUE  |  3 🟠 Attention  |  5 🟢 OK</v>
      </c>
    </row>
    <row r="31" spans="2:7" x14ac:dyDescent="0.25">
      <c r="B31" s="1394" t="s">
        <v>616</v>
      </c>
      <c r="C31" s="1176"/>
      <c r="D31" s="1176"/>
      <c r="E31" s="1176"/>
      <c r="F31" s="1176"/>
      <c r="G31" s="1176"/>
    </row>
    <row r="32" spans="2:7" x14ac:dyDescent="0.25">
      <c r="B32" s="94" t="s">
        <v>617</v>
      </c>
      <c r="C32" s="44" t="str">
        <f>MAX(0,100-(COUNTIF(F19:F28,"CRITIQUE")*15)-(COUNTIF(F19:F28,"Attention")*5))&amp;"/100 — "&amp;IF(MAX(0,100-(COUNTIF(F19:F28,"CRITIQUE")*15)-(COUNTIF(F19:F28,"Attention")*5))&gt;=80,"🟢 Risque Faible",IF(MAX(0,100-(COUNTIF(F19:F28,"CRITIQUE")*15)-(COUNTIF(F19:F28,"Attention")*5))&gt;=60,"🟠 Risque Modéré","🔴 Risque Élevé"))</f>
        <v>55/100 — 🔴 Risque Élevé</v>
      </c>
    </row>
  </sheetData>
  <mergeCells count="4">
    <mergeCell ref="B1:G1"/>
    <mergeCell ref="B3:G3"/>
    <mergeCell ref="B17:G17"/>
    <mergeCell ref="B31:G31"/>
  </mergeCells>
  <conditionalFormatting sqref="F5:F14">
    <cfRule type="containsText" dxfId="14" priority="1" operator="containsText" text="Top 25%">
      <formula>NOT(ISERROR(SEARCH("Top 25%",F5)))</formula>
    </cfRule>
    <cfRule type="containsText" dxfId="13" priority="2" operator="containsText" text="Médiane">
      <formula>NOT(ISERROR(SEARCH("Médiane",F5)))</formula>
    </cfRule>
    <cfRule type="containsText" dxfId="12" priority="3" operator="containsText" text="Sous">
      <formula>NOT(ISERROR(SEARCH("Sous",F5)))</formula>
    </cfRule>
    <cfRule type="containsText" dxfId="11" priority="10" operator="containsText" text="Top 25%">
      <formula>NOT(ISERROR(SEARCH("Top 25%",F5)))</formula>
    </cfRule>
    <cfRule type="containsText" dxfId="10" priority="11" operator="containsText" text="Médiane">
      <formula>NOT(ISERROR(SEARCH("Médiane",F5)))</formula>
    </cfRule>
    <cfRule type="containsText" dxfId="9" priority="12" operator="containsText" text="Sous médiane">
      <formula>NOT(ISERROR(SEARCH("Sous médiane",F5)))</formula>
    </cfRule>
  </conditionalFormatting>
  <conditionalFormatting sqref="F19:F28">
    <cfRule type="containsText" dxfId="8" priority="4" operator="containsText" text="OK">
      <formula>NOT(ISERROR(SEARCH("OK",F19)))</formula>
    </cfRule>
    <cfRule type="containsText" dxfId="7" priority="5" operator="containsText" text="Attention">
      <formula>NOT(ISERROR(SEARCH("Attention",F19)))</formula>
    </cfRule>
    <cfRule type="containsText" dxfId="6" priority="6" operator="containsText" text="CRITIQUE">
      <formula>NOT(ISERROR(SEARCH("CRITIQUE",F19)))</formula>
    </cfRule>
    <cfRule type="containsText" dxfId="5" priority="13" operator="containsText" text="OK">
      <formula>NOT(ISERROR(SEARCH("OK",F19)))</formula>
    </cfRule>
    <cfRule type="containsText" dxfId="4" priority="14" operator="containsText" text="Attention">
      <formula>NOT(ISERROR(SEARCH("Attention",F19)))</formula>
    </cfRule>
    <cfRule type="containsText" dxfId="3" priority="15" operator="containsText" text="CRITIQUE">
      <formula>NOT(ISERROR(SEARCH("CRITIQUE",F19)))</formula>
    </cfRule>
  </conditionalFormatting>
  <conditionalFormatting sqref="G5:G14">
    <cfRule type="containsText" dxfId="2" priority="7" operator="containsText" text="✅">
      <formula>NOT(ISERROR(SEARCH("✅",G5)))</formula>
    </cfRule>
    <cfRule type="containsText" dxfId="1" priority="8" operator="containsText" text="⚠️">
      <formula>NOT(ISERROR(SEARCH("⚠️",G5)))</formula>
    </cfRule>
    <cfRule type="containsText" dxfId="0" priority="9" operator="containsText" text="➡️">
      <formula>NOT(ISERROR(SEARCH("➡️",G5)))</formula>
    </cfRule>
  </conditionalFormatting>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186E3-D0AF-4886-9B06-0C1A37649EF0}">
  <sheetPr>
    <tabColor rgb="FF808080"/>
  </sheetPr>
  <dimension ref="B1:F202"/>
  <sheetViews>
    <sheetView showGridLines="0" zoomScale="96" zoomScaleNormal="96" workbookViewId="0">
      <pane ySplit="2" topLeftCell="A4" activePane="bottomLeft" state="frozen"/>
      <selection pane="bottomLeft" activeCell="C26" sqref="C26"/>
    </sheetView>
  </sheetViews>
  <sheetFormatPr baseColWidth="10" defaultColWidth="10.7109375" defaultRowHeight="15" x14ac:dyDescent="0.25"/>
  <cols>
    <col min="1" max="1" width="1" customWidth="1"/>
    <col min="2" max="2" width="31.140625" bestFit="1" customWidth="1"/>
    <col min="3" max="3" width="125.7109375" bestFit="1" customWidth="1"/>
    <col min="4" max="4" width="37.42578125" bestFit="1" customWidth="1"/>
    <col min="5" max="5" width="25" bestFit="1" customWidth="1"/>
    <col min="6" max="6" width="51.42578125" customWidth="1"/>
  </cols>
  <sheetData>
    <row r="1" spans="2:6" ht="38.1" customHeight="1" x14ac:dyDescent="0.3">
      <c r="B1" s="1391" t="s">
        <v>618</v>
      </c>
      <c r="C1" s="1391"/>
      <c r="D1" s="1391"/>
      <c r="E1" s="1391"/>
      <c r="F1" s="1391"/>
    </row>
    <row r="2" spans="2:6" ht="20.100000000000001" customHeight="1" x14ac:dyDescent="0.25">
      <c r="B2" s="1409" t="s">
        <v>619</v>
      </c>
      <c r="C2" s="1237"/>
      <c r="D2" s="1237"/>
      <c r="E2" s="1237"/>
      <c r="F2" s="1237"/>
    </row>
    <row r="3" spans="2:6" ht="21.95" customHeight="1" x14ac:dyDescent="0.25">
      <c r="B3" s="1356"/>
      <c r="C3" s="1357"/>
      <c r="D3" s="1357"/>
    </row>
    <row r="4" spans="2:6" ht="24" customHeight="1" x14ac:dyDescent="0.25">
      <c r="B4" s="1395" t="s">
        <v>620</v>
      </c>
      <c r="C4" s="1398"/>
      <c r="D4" s="1398"/>
      <c r="E4" s="1398"/>
      <c r="F4" s="1398"/>
    </row>
    <row r="5" spans="2:6" ht="20.100000000000001" customHeight="1" x14ac:dyDescent="0.25">
      <c r="B5" s="36" t="s">
        <v>621</v>
      </c>
      <c r="C5" s="37" t="s">
        <v>622</v>
      </c>
      <c r="D5" s="36" t="s">
        <v>623</v>
      </c>
      <c r="E5" s="36" t="s">
        <v>624</v>
      </c>
      <c r="F5" s="36" t="s">
        <v>625</v>
      </c>
    </row>
    <row r="6" spans="2:6" ht="20.100000000000001" customHeight="1" x14ac:dyDescent="0.25">
      <c r="B6" s="26" t="s">
        <v>626</v>
      </c>
      <c r="C6" s="512" t="s">
        <v>627</v>
      </c>
      <c r="D6" s="27" t="s">
        <v>628</v>
      </c>
      <c r="E6" t="s">
        <v>629</v>
      </c>
      <c r="F6" t="s">
        <v>630</v>
      </c>
    </row>
    <row r="7" spans="2:6" ht="20.100000000000001" customHeight="1" x14ac:dyDescent="0.25">
      <c r="B7" s="26" t="s">
        <v>631</v>
      </c>
      <c r="C7" s="512" t="s">
        <v>632</v>
      </c>
      <c r="D7" s="27" t="s">
        <v>633</v>
      </c>
      <c r="E7" s="21" t="s">
        <v>634</v>
      </c>
      <c r="F7" s="21" t="s">
        <v>635</v>
      </c>
    </row>
    <row r="8" spans="2:6" ht="20.100000000000001" customHeight="1" x14ac:dyDescent="0.25">
      <c r="B8" s="26" t="s">
        <v>636</v>
      </c>
      <c r="C8" s="512" t="s">
        <v>637</v>
      </c>
      <c r="D8" s="27" t="s">
        <v>638</v>
      </c>
      <c r="E8" t="s">
        <v>639</v>
      </c>
      <c r="F8" t="s">
        <v>640</v>
      </c>
    </row>
    <row r="9" spans="2:6" ht="20.100000000000001" customHeight="1" x14ac:dyDescent="0.25">
      <c r="B9" s="26" t="s">
        <v>641</v>
      </c>
      <c r="C9" s="512" t="s">
        <v>642</v>
      </c>
      <c r="D9" s="27" t="s">
        <v>643</v>
      </c>
      <c r="E9" s="21" t="s">
        <v>644</v>
      </c>
      <c r="F9" s="21" t="s">
        <v>645</v>
      </c>
    </row>
    <row r="10" spans="2:6" ht="20.100000000000001" customHeight="1" x14ac:dyDescent="0.25">
      <c r="B10" s="26" t="s">
        <v>646</v>
      </c>
      <c r="C10" s="512" t="s">
        <v>647</v>
      </c>
      <c r="D10" s="27" t="s">
        <v>643</v>
      </c>
      <c r="E10" t="s">
        <v>648</v>
      </c>
      <c r="F10" t="s">
        <v>649</v>
      </c>
    </row>
    <row r="11" spans="2:6" ht="20.100000000000001" customHeight="1" x14ac:dyDescent="0.25">
      <c r="B11" s="21" t="s">
        <v>650</v>
      </c>
      <c r="C11" s="21" t="s">
        <v>651</v>
      </c>
      <c r="D11" s="27" t="s">
        <v>652</v>
      </c>
      <c r="E11" s="21" t="s">
        <v>653</v>
      </c>
      <c r="F11" s="21" t="s">
        <v>654</v>
      </c>
    </row>
    <row r="12" spans="2:6" ht="21.95" customHeight="1" x14ac:dyDescent="0.25">
      <c r="B12" s="1356"/>
      <c r="C12" s="1357"/>
      <c r="D12" s="1357"/>
    </row>
    <row r="13" spans="2:6" ht="20.100000000000001" customHeight="1" x14ac:dyDescent="0.25">
      <c r="B13" s="516"/>
      <c r="C13" s="516"/>
      <c r="D13" s="516"/>
    </row>
    <row r="14" spans="2:6" ht="24" customHeight="1" x14ac:dyDescent="0.25">
      <c r="B14" s="1395" t="s">
        <v>655</v>
      </c>
      <c r="C14" s="1405"/>
      <c r="D14" s="1405"/>
      <c r="E14" s="1405"/>
      <c r="F14" s="1405"/>
    </row>
    <row r="15" spans="2:6" ht="20.100000000000001" customHeight="1" x14ac:dyDescent="0.25">
      <c r="B15" s="36" t="s">
        <v>656</v>
      </c>
      <c r="C15" s="37" t="s">
        <v>657</v>
      </c>
      <c r="D15" s="36" t="s">
        <v>658</v>
      </c>
      <c r="E15" s="36" t="s">
        <v>659</v>
      </c>
      <c r="F15" s="36" t="s">
        <v>660</v>
      </c>
    </row>
    <row r="16" spans="2:6" ht="21.95" customHeight="1" x14ac:dyDescent="0.25">
      <c r="B16" s="23" t="s">
        <v>661</v>
      </c>
      <c r="C16" s="24" t="s">
        <v>662</v>
      </c>
      <c r="D16" s="25" t="s">
        <v>663</v>
      </c>
      <c r="E16" t="s">
        <v>664</v>
      </c>
      <c r="F16" t="s">
        <v>665</v>
      </c>
    </row>
    <row r="17" spans="2:6" ht="21.95" customHeight="1" x14ac:dyDescent="0.25">
      <c r="B17" s="26" t="s">
        <v>666</v>
      </c>
      <c r="C17" s="512" t="s">
        <v>667</v>
      </c>
      <c r="D17" s="27" t="s">
        <v>663</v>
      </c>
      <c r="E17" s="21" t="s">
        <v>668</v>
      </c>
      <c r="F17" s="21" t="s">
        <v>669</v>
      </c>
    </row>
    <row r="18" spans="2:6" ht="21.95" customHeight="1" x14ac:dyDescent="0.25">
      <c r="B18" s="23" t="s">
        <v>670</v>
      </c>
      <c r="C18" s="24" t="s">
        <v>671</v>
      </c>
      <c r="D18" s="25" t="s">
        <v>672</v>
      </c>
      <c r="E18" t="s">
        <v>668</v>
      </c>
      <c r="F18" t="s">
        <v>673</v>
      </c>
    </row>
    <row r="19" spans="2:6" ht="21.95" customHeight="1" x14ac:dyDescent="0.25">
      <c r="B19" s="26" t="s">
        <v>674</v>
      </c>
      <c r="C19" s="512" t="s">
        <v>675</v>
      </c>
      <c r="D19" s="27" t="s">
        <v>676</v>
      </c>
      <c r="E19" s="21" t="s">
        <v>677</v>
      </c>
      <c r="F19" s="21" t="s">
        <v>678</v>
      </c>
    </row>
    <row r="20" spans="2:6" ht="21.95" customHeight="1" x14ac:dyDescent="0.25">
      <c r="B20" t="s">
        <v>679</v>
      </c>
      <c r="C20" s="24" t="s">
        <v>680</v>
      </c>
      <c r="D20" s="22" t="s">
        <v>681</v>
      </c>
      <c r="E20" t="s">
        <v>668</v>
      </c>
      <c r="F20" t="s">
        <v>682</v>
      </c>
    </row>
    <row r="21" spans="2:6" ht="21.95" customHeight="1" x14ac:dyDescent="0.25">
      <c r="B21" s="1410" t="s">
        <v>683</v>
      </c>
      <c r="C21" s="1411"/>
      <c r="D21" s="1410"/>
      <c r="E21" s="21" t="s">
        <v>684</v>
      </c>
      <c r="F21" s="21" t="s">
        <v>685</v>
      </c>
    </row>
    <row r="22" spans="2:6" ht="20.100000000000001" customHeight="1" x14ac:dyDescent="0.25">
      <c r="B22" s="516"/>
      <c r="C22" s="516"/>
      <c r="D22" s="516"/>
    </row>
    <row r="23" spans="2:6" ht="36" customHeight="1" x14ac:dyDescent="0.25">
      <c r="B23" s="23"/>
      <c r="C23" s="24"/>
      <c r="D23" s="25"/>
    </row>
    <row r="24" spans="2:6" ht="24" customHeight="1" x14ac:dyDescent="0.25">
      <c r="B24" s="1395" t="s">
        <v>686</v>
      </c>
      <c r="C24" s="1405"/>
      <c r="D24" s="1405"/>
      <c r="E24" s="1405"/>
      <c r="F24" s="1405"/>
    </row>
    <row r="25" spans="2:6" ht="20.100000000000001" customHeight="1" x14ac:dyDescent="0.25">
      <c r="B25" s="34" t="s">
        <v>92</v>
      </c>
      <c r="C25" s="35" t="s">
        <v>687</v>
      </c>
      <c r="D25" s="36" t="s">
        <v>688</v>
      </c>
      <c r="E25" s="34" t="s">
        <v>564</v>
      </c>
      <c r="F25" s="34" t="s">
        <v>689</v>
      </c>
    </row>
    <row r="26" spans="2:6" ht="50.1" customHeight="1" x14ac:dyDescent="0.25">
      <c r="B26" s="510" t="s">
        <v>690</v>
      </c>
      <c r="C26" s="511" t="s">
        <v>691</v>
      </c>
      <c r="D26" s="513" t="s">
        <v>692</v>
      </c>
      <c r="E26" s="24" t="str">
        <f>IFERROR(TEXT(
SUMIF('Données Brutes'!B2:B26,"Actif Courant",'Données Brutes'!F2:F26)
/
SUMIF('Données Brutes'!B2:B26,"Passif Courant",'Données Brutes'!F2:F26),"0,00"),"N/D")</f>
        <v>N/D</v>
      </c>
      <c r="F26" s="24" t="s">
        <v>693</v>
      </c>
    </row>
    <row r="27" spans="2:6" ht="50.1" customHeight="1" x14ac:dyDescent="0.25">
      <c r="B27" s="510" t="s">
        <v>694</v>
      </c>
      <c r="C27" s="511" t="s">
        <v>695</v>
      </c>
      <c r="D27" s="513" t="s">
        <v>696</v>
      </c>
      <c r="E27" s="512" t="str">
        <f>IFERROR(TEXT(
(SUMIF('Données Brutes'!B2:B26,"Actif Courant",'Données Brutes'!F2:F26) -
 SUMIF('Données Brutes'!B2:B26,"Stocks",'Données Brutes'!F2:F26))
/
SUMIF('Données Brutes'!B2:B26,"Passif Courant",'Données Brutes'!F2:F26),"0,00"),"N/D")</f>
        <v>N/D</v>
      </c>
      <c r="F27" s="512" t="s">
        <v>697</v>
      </c>
    </row>
    <row r="28" spans="2:6" ht="50.1" customHeight="1" x14ac:dyDescent="0.25">
      <c r="B28" s="38" t="s">
        <v>698</v>
      </c>
      <c r="C28" s="39" t="s">
        <v>699</v>
      </c>
      <c r="D28" s="514" t="s">
        <v>700</v>
      </c>
      <c r="E28" s="24" t="str">
        <f>IFERROR(TEXT(SUMIF('Données Brutes'!B2:B26,"Capitaux Propres",'Données Brutes'!F2:F26)/(SUMIF('Données Brutes'!B2:B26,"Actif Non Courant",'Données Brutes'!F2:F26)+SUMIF('Données Brutes'!B2:B26,"Actif Courant",'Données Brutes'!F2:F26)),"0,0")&amp;"%","N/D")</f>
        <v>0,5%</v>
      </c>
      <c r="F28" s="24" t="s">
        <v>701</v>
      </c>
    </row>
    <row r="29" spans="2:6" ht="50.1" customHeight="1" x14ac:dyDescent="0.25">
      <c r="B29" s="1406" t="s">
        <v>702</v>
      </c>
      <c r="C29" s="1407"/>
      <c r="D29" s="1408"/>
      <c r="E29" s="512" t="str">
        <f>IFERROR(TEXT(
SUMIF('Données Brutes'!B2:B26,"Actif Courant",'Données Brutes'!F2:F26) -
SUMIF('Données Brutes'!B2:B26,"Passif Courant",'Données Brutes'!F2:F26),"# ### ##0 €"),"N/D")</f>
        <v>13 260 000 €</v>
      </c>
      <c r="F29" s="512" t="s">
        <v>703</v>
      </c>
    </row>
    <row r="30" spans="2:6" ht="50.1" customHeight="1" x14ac:dyDescent="0.25">
      <c r="B30" s="35" t="s">
        <v>704</v>
      </c>
      <c r="C30" s="40" t="s">
        <v>705</v>
      </c>
      <c r="D30" s="121" t="s">
        <v>706</v>
      </c>
      <c r="E30" s="24" t="str">
        <f>IFERROR(TEXT(
(SUMIF('Données Brutes'!B2:B26,"Stocks",'Données Brutes'!F2:F26) +
 SUMIF('Données Brutes'!B2:B26,"Créances clients",'Données Brutes'!F2:F26) +
 SUMIF('Données Brutes'!B2:B26,"Autres créances",'Données Brutes'!F2:F26))
-
(SUMIF('Données Brutes'!B2:B26,"Dettes fournisseurs",'Données Brutes'!F2:F26) +
 SUMIF('Données Brutes'!B2:B26,"Dettes fiscales &amp; sociales",'Données Brutes'!F2:F26) +
 SUMIF('Données Brutes'!B2:B26,"Autres dettes courantes",'Données Brutes'!F2:F26)),"# ### ##0 €"),"N/D")</f>
        <v>0 €</v>
      </c>
      <c r="F30" s="24" t="s">
        <v>707</v>
      </c>
    </row>
    <row r="31" spans="2:6" ht="50.1" customHeight="1" x14ac:dyDescent="0.25">
      <c r="B31" s="1399" t="s">
        <v>708</v>
      </c>
      <c r="C31" s="1400" t="s">
        <v>709</v>
      </c>
      <c r="D31" s="1401" t="s">
        <v>710</v>
      </c>
      <c r="E31" s="512" t="str">
        <f>IFERROR(TEXT(
(SUMIF('Données Brutes'!B2:B26,"Actif Courant",'Données Brutes'!F2:F26) -
 SUMIF('Données Brutes'!B2:B26,"Passif Courant",'Données Brutes'!F2:F26))
-
((SUMIF('Données Brutes'!B2:B26,"Stocks",'Données Brutes'!F2:F26) +
  SUMIF('Données Brutes'!B2:B26,"Créances clients",'Données Brutes'!F2:F26) +
  SUMIF('Données Brutes'!B2:B26,"Autres créances",'Données Brutes'!F2:F26))
-
(SUMIF('Données Brutes'!B2:B26,"Dettes fournisseurs",'Données Brutes'!F2:F26) +
 SUMIF('Données Brutes'!B2:B26,"Dettes fiscales &amp; sociales",'Données Brutes'!F2:F26) +
 SUMIF('Données Brutes'!B2:B26,"Autres dettes courantes",'Données Brutes'!F2:F26))),"# ### ##0 €"),"N/D")</f>
        <v>13 260 000 €</v>
      </c>
      <c r="F31" s="512" t="s">
        <v>711</v>
      </c>
    </row>
    <row r="32" spans="2:6" ht="36" customHeight="1" x14ac:dyDescent="0.25">
      <c r="B32" s="1399"/>
      <c r="C32" s="1400"/>
      <c r="D32" s="1401"/>
    </row>
    <row r="33" spans="2:6" ht="36" customHeight="1" x14ac:dyDescent="0.25">
      <c r="B33" s="23"/>
      <c r="C33" s="24"/>
      <c r="D33" s="25"/>
    </row>
    <row r="34" spans="2:6" ht="24" customHeight="1" x14ac:dyDescent="0.25">
      <c r="B34" s="1395" t="s">
        <v>712</v>
      </c>
      <c r="C34" s="1405"/>
      <c r="D34" s="1405"/>
      <c r="E34" s="1405"/>
      <c r="F34" s="1405"/>
    </row>
    <row r="35" spans="2:6" ht="20.100000000000001" customHeight="1" x14ac:dyDescent="0.25">
      <c r="B35" s="34" t="s">
        <v>92</v>
      </c>
      <c r="C35" s="157" t="s">
        <v>687</v>
      </c>
      <c r="D35" s="157" t="s">
        <v>93</v>
      </c>
      <c r="E35" s="157" t="s">
        <v>564</v>
      </c>
      <c r="F35" s="34" t="s">
        <v>713</v>
      </c>
    </row>
    <row r="36" spans="2:6" ht="51.95" customHeight="1" x14ac:dyDescent="0.25">
      <c r="B36" s="153" t="s">
        <v>714</v>
      </c>
      <c r="C36" s="154" t="s">
        <v>715</v>
      </c>
      <c r="D36" s="154" t="s">
        <v>716</v>
      </c>
      <c r="E36" s="156" t="str">
        <f>IFERROR(TEXT(((SUMIF('Données Brutes'!B2:B26,"Actif Non Courant",'Données Brutes'!F2:F26)+SUMIF('Données Brutes'!B2:B26,"Actif Courant",'Données Brutes'!F2:F26))-SUMIF('Données Brutes'!B2:B26,"Capitaux Propres",'Données Brutes'!F2:F26))/SUMIF('Données Brutes'!B2:B26,"Capitaux Propres",'Données Brutes'!F2:F26),"0,00")&amp;"x","N/D")</f>
        <v>0,94x</v>
      </c>
      <c r="F36" s="156" t="str">
        <f>IFERROR(IF(((SUMIF('Données Brutes'!B2:B26,"Actif Non Courant",'Données Brutes'!F2:F26)+SUMIF('Données Brutes'!B2:B26,"Actif Courant",'Données Brutes'!F2:F26))-SUMIF('Données Brutes'!B2:B26,"Capitaux Propres",'Données Brutes'!F2:F26))/SUMIF('Données Brutes'!B2:B26,"Capitaux Propres",'Données Brutes'!F2:F26)&lt;1,"SOLIDE ✅ — D/E inférieur à 1x : les fonds propres excèdent la dette totale. Structure financière saine et rassurante pour les prêteurs.",IF(((SUMIF('Données Brutes'!B2:B26,"Actif Non Courant",'Données Brutes'!F2:F26)+SUMIF('Données Brutes'!B2:B26,"Actif Courant",'Données Brutes'!F2:F26))-SUMIF('Données Brutes'!B2:B26,"Capitaux Propres",'Données Brutes'!F2:F26))/SUMIF('Données Brutes'!B2:B26,"Capitaux Propres",'Données Brutes'!F2:F26)&lt;2,"ATTENTION ⚠️ — D/E entre 1x et 2x : l'endettement dépasse les fonds propres. Surveiller la trajectoire et privilégier le désendettement.","CRITIQUE 🔴 — D/E supérieur à 2x : levier financier excessif. Risque de solvabilité accru. Action : réduire la dette ou augmenter les capitaux propres.")),"N/D")</f>
        <v>SOLIDE ✅ — D/E inférieur à 1x : les fonds propres excèdent la dette totale. Structure financière saine et rassurante pour les prêteurs.</v>
      </c>
    </row>
    <row r="37" spans="2:6" ht="51.95" customHeight="1" x14ac:dyDescent="0.25">
      <c r="B37" s="26" t="s">
        <v>717</v>
      </c>
      <c r="C37" s="513" t="s">
        <v>718</v>
      </c>
      <c r="D37" s="513" t="s">
        <v>719</v>
      </c>
      <c r="E37" s="155" t="str">
        <f>IFERROR(TEXT(SUMIF('Données Brutes'!B2:B26,"Capitaux Propres",'Données Brutes'!F2:F26)/(SUMIF('Données Brutes'!B2:B26,"Actif Non Courant",'Données Brutes'!F2:F26)+SUMIF('Données Brutes'!B2:B26,"Actif Courant",'Données Brutes'!F2:F26)),"0,0")&amp;"%","N/D")</f>
        <v>0,5%</v>
      </c>
      <c r="F37" s="155" t="s">
        <v>720</v>
      </c>
    </row>
    <row r="38" spans="2:6" ht="51.95" customHeight="1" x14ac:dyDescent="0.25">
      <c r="B38" s="38" t="s">
        <v>721</v>
      </c>
      <c r="C38" s="514" t="s">
        <v>722</v>
      </c>
      <c r="D38" s="515" t="s">
        <v>723</v>
      </c>
      <c r="E38" s="514" t="str">
        <f>IFERROR(TEXT((((SUMIF('Données Brutes'!B2:B26,"Actif Non Courant",'Données Brutes'!F2:F26)+SUMIF('Données Brutes'!B2:B26,"Actif Courant",'Données Brutes'!F2:F26))-SUMIF('Données Brutes'!B2:B26,"Capitaux Propres",'Données Brutes'!F2:F26))-(SUMIF('Données Brutes'!A2:A26,"Trésorerie active",'Données Brutes'!F2:F26)+SUMIF('Données Brutes'!A2:A26,"VMP",'Données Brutes'!F2:F26)))/SUMIF('Données Brutes'!B2:B26,"Capitaux Propres",'Données Brutes'!F2:F26),"0,00"),"N/D")</f>
        <v>0,79</v>
      </c>
      <c r="F38" s="514" t="s">
        <v>724</v>
      </c>
    </row>
    <row r="39" spans="2:6" ht="51.95" customHeight="1" x14ac:dyDescent="0.25">
      <c r="B39" s="26" t="s">
        <v>725</v>
      </c>
      <c r="C39" s="155" t="s">
        <v>726</v>
      </c>
      <c r="D39" s="513" t="s">
        <v>727</v>
      </c>
      <c r="E39" s="155" t="str">
        <f>IFERROR(TEXT((((SUMIF('Données Brutes'!B2:B26,"Actif Non Courant",'Données Brutes'!F2:F26)+SUMIF('Données Brutes'!B2:B26,"Actif Courant",'Données Brutes'!F2:F26))-SUMIF('Données Brutes'!B2:B26,"Capitaux Propres",'Données Brutes'!F2:F26))-(SUMIF('Données Brutes'!A2:A26,"Trésorerie active",'Données Brutes'!F2:F26)+SUMIF('Données Brutes'!A2:A26,"VMP",'Données Brutes'!F2:F26)))/(SUMIF('Données Brutes'!A38:A56,"Chiffre d'affaires net",'Données Brutes'!F38:F56)-SUMIF('Données Brutes'!A38:A56,"Achats matières premières",'Données Brutes'!F38:F56)-SUMIF('Données Brutes'!A38:A56,"Variation stocks MP",'Données Brutes'!F38:F56)-SUMIF('Données Brutes'!A38:A56,"Autres achats &amp; charges ext.",'Données Brutes'!F38:F56)-SUMIF('Données Brutes'!A38:A56,"Impôts &amp; taxes",'Données Brutes'!F38:F56)-SUMIF('Données Brutes'!A38:A56,"Charges de personnel",'Données Brutes'!F38:F56)),"0,00")&amp;" ans","N/D")</f>
        <v>2,41 ans</v>
      </c>
      <c r="F39" s="155" t="s">
        <v>728</v>
      </c>
    </row>
    <row r="40" spans="2:6" ht="66.75" customHeight="1" x14ac:dyDescent="0.25">
      <c r="B40" s="38" t="s">
        <v>729</v>
      </c>
      <c r="C40" s="514" t="s">
        <v>730</v>
      </c>
      <c r="D40" s="515" t="s">
        <v>731</v>
      </c>
      <c r="E40" s="514" t="str">
        <f>IFERROR(TEXT((SUMIF('Données Brutes'!A38:A56,"Chiffre d'affaires net",'Données Brutes'!F38:F56)-SUMIF('Données Brutes'!A38:A56,"Achats matières premières",'Données Brutes'!F38:F56)-SUMIF('Données Brutes'!A38:A56,"Variation stocks MP",'Données Brutes'!F38:F56)-SUMIF('Données Brutes'!A38:A56,"Autres achats &amp; charges ext.",'Données Brutes'!F38:F56)-SUMIF('Données Brutes'!A38:A56,"Impôts &amp; taxes",'Données Brutes'!F38:F56)-SUMIF('Données Brutes'!A38:A56,"Charges de personnel",'Données Brutes'!F38:F56))/SUMIF('Données Brutes'!A38:A56,"Charges financières",'Données Brutes'!F38:F56),"0,0")&amp;"x","N/D")</f>
        <v>11,1x</v>
      </c>
      <c r="F40" s="514" t="s">
        <v>732</v>
      </c>
    </row>
    <row r="41" spans="2:6" ht="60.75" customHeight="1" x14ac:dyDescent="0.25">
      <c r="B41" s="26" t="s">
        <v>733</v>
      </c>
      <c r="C41" s="155" t="s">
        <v>734</v>
      </c>
      <c r="D41" s="513" t="s">
        <v>303</v>
      </c>
      <c r="E41" s="155" t="str">
        <f>IFERROR(TEXT(SUMIF('Données Brutes'!B2:B26,"Dettes Non Courantes",'Données Brutes'!F2:F26)/(SUMIF('Données Brutes'!B2:B26,"Capitaux Propres",'Données Brutes'!F2:F26)+SUMIF('Données Brutes'!B2:B26,"Dettes Non Courantes",'Données Brutes'!F2:F26)),"0,0")&amp;"%","N/D")</f>
        <v>0,3%</v>
      </c>
      <c r="F41" s="155" t="s">
        <v>735</v>
      </c>
    </row>
    <row r="42" spans="2:6" ht="51.95" customHeight="1" x14ac:dyDescent="0.25">
      <c r="B42" s="1402" t="s">
        <v>736</v>
      </c>
      <c r="C42" s="1403" t="s">
        <v>737</v>
      </c>
      <c r="D42" s="1404" t="s">
        <v>738</v>
      </c>
      <c r="E42" s="1403" t="str">
        <f>IFERROR(TEXT(1.2*(SUMIF('Données Brutes'!B2:B26,"Capitaux Propres",'Données Brutes'!F2:F26)+SUMIF('Données Brutes'!B2:B26,"Dettes Non Courantes",'Données Brutes'!F2:F26)-SUMIF('Données Brutes'!B2:B26,"Actif Non Courant",'Données Brutes'!F2:F26))/(SUMIF('Données Brutes'!B2:B26,"Actif Non Courant",'Données Brutes'!F2:F26)+SUMIF('Données Brutes'!B2:B26,"Actif Courant",'Données Brutes'!F2:F26))+1.4*SUMIF('Données Brutes'!A2:A26,"Réserves",'Données Brutes'!F2:F26)/(SUMIF('Données Brutes'!B2:B26,"Actif Non Courant",'Données Brutes'!F2:F26)+SUMIF('Données Brutes'!B2:B26,"Actif Courant",'Données Brutes'!F2:F26))+3.3*((SUMIF('Données Brutes'!A38:A56,"Chiffre d'affaires net",'Données Brutes'!F38:F56)-SUMIF('Données Brutes'!A38:A56,"Achats matières premières",'Données Brutes'!F38:F56)-SUMIF('Données Brutes'!A38:A56,"Variation stocks MP",'Données Brutes'!F38:F56)-SUMIF('Données Brutes'!A38:A56,"Autres achats &amp; charges ext.",'Données Brutes'!F38:F56)-SUMIF('Données Brutes'!A38:A56,"Impôts &amp; taxes",'Données Brutes'!F38:F56)-SUMIF('Données Brutes'!A38:A56,"Charges de personnel",'Données Brutes'!F38:F56))-SUMIF('Données Brutes'!A38:A56,"Dotations amortissements",'Données Brutes'!F38:F56)-SUMIF('Données Brutes'!A38:A56,"Dotations provisions exploit.",'Données Brutes'!F38:F56)-SUMIF('Données Brutes'!A38:A56,"Autres charges exploitation",'Données Brutes'!F38:F56)+SUMIF('Données Brutes'!A38:A56,"Autres produits exploitation",'Données Brutes'!F38:F56))/(SUMIF('Données Brutes'!B2:B26,"Actif Non Courant",'Données Brutes'!F2:F26)+SUMIF('Données Brutes'!B2:B26,"Actif Courant",'Données Brutes'!F2:F26))+0.6*SUMIF('Données Brutes'!B2:B26,"Capitaux Propres",'Données Brutes'!F2:F26)/((SUMIF('Données Brutes'!B2:B26,"Actif Non Courant",'Données Brutes'!F2:F26)+SUMIF('Données Brutes'!B2:B26,"Actif Courant",'Données Brutes'!F2:F26))-SUMIF('Données Brutes'!B2:B26,"Capitaux Propres",'Données Brutes'!F2:F26))+1*SUMIF('Données Brutes'!A38:A56,"Chiffre d'affaires net",'Données Brutes'!F38:F56)/(SUMIF('Données Brutes'!B2:B26,"Actif Non Courant",'Données Brutes'!F2:F26)+SUMIF('Données Brutes'!B2:B26,"Actif Courant",'Données Brutes'!F2:F26)),"0,00"),"N/D")</f>
        <v>2,94</v>
      </c>
      <c r="F42" s="1403" t="s">
        <v>739</v>
      </c>
    </row>
    <row r="43" spans="2:6" x14ac:dyDescent="0.25">
      <c r="B43" s="1402"/>
      <c r="C43" s="1403"/>
      <c r="D43" s="1404"/>
      <c r="E43" s="1403"/>
      <c r="F43" s="1403"/>
    </row>
    <row r="44" spans="2:6" ht="21.95" customHeight="1" x14ac:dyDescent="0.25">
      <c r="B44" s="1356"/>
      <c r="C44" s="1357"/>
      <c r="D44" s="1357"/>
      <c r="E44" s="1356"/>
      <c r="F44" s="1357"/>
    </row>
    <row r="45" spans="2:6" ht="24" customHeight="1" x14ac:dyDescent="0.25">
      <c r="B45" s="1395" t="s">
        <v>740</v>
      </c>
      <c r="C45" s="1398"/>
      <c r="D45" s="1398"/>
      <c r="E45" s="1398"/>
      <c r="F45" s="1398"/>
    </row>
    <row r="46" spans="2:6" ht="20.100000000000001" customHeight="1" x14ac:dyDescent="0.25">
      <c r="B46" s="34" t="s">
        <v>544</v>
      </c>
      <c r="C46" s="35" t="s">
        <v>741</v>
      </c>
      <c r="D46" s="36" t="s">
        <v>742</v>
      </c>
      <c r="E46" s="157" t="s">
        <v>564</v>
      </c>
      <c r="F46" s="157" t="s">
        <v>743</v>
      </c>
    </row>
    <row r="47" spans="2:6" ht="51.95" customHeight="1" x14ac:dyDescent="0.25">
      <c r="B47" s="82" t="s">
        <v>307</v>
      </c>
      <c r="C47" s="83" t="s">
        <v>744</v>
      </c>
      <c r="D47" s="84" t="s">
        <v>745</v>
      </c>
      <c r="E47" s="514" t="s">
        <v>746</v>
      </c>
      <c r="F47" s="514" t="s">
        <v>747</v>
      </c>
    </row>
    <row r="48" spans="2:6" ht="51.95" customHeight="1" x14ac:dyDescent="0.25">
      <c r="B48" s="82" t="s">
        <v>748</v>
      </c>
      <c r="C48" s="83" t="s">
        <v>749</v>
      </c>
      <c r="D48" s="84" t="s">
        <v>750</v>
      </c>
      <c r="E48" s="155" t="s">
        <v>751</v>
      </c>
      <c r="F48" s="155" t="s">
        <v>752</v>
      </c>
    </row>
    <row r="49" spans="2:6" ht="51.95" customHeight="1" x14ac:dyDescent="0.25">
      <c r="B49" s="82" t="s">
        <v>548</v>
      </c>
      <c r="C49" s="83" t="s">
        <v>753</v>
      </c>
      <c r="D49" s="84" t="s">
        <v>754</v>
      </c>
      <c r="E49" s="514" t="s">
        <v>755</v>
      </c>
      <c r="F49" s="514" t="s">
        <v>756</v>
      </c>
    </row>
    <row r="50" spans="2:6" ht="51.95" customHeight="1" x14ac:dyDescent="0.25">
      <c r="B50" s="82" t="s">
        <v>757</v>
      </c>
      <c r="C50" s="83" t="s">
        <v>758</v>
      </c>
      <c r="D50" s="84" t="s">
        <v>759</v>
      </c>
      <c r="E50" s="155" t="s">
        <v>760</v>
      </c>
      <c r="F50" s="155" t="s">
        <v>761</v>
      </c>
    </row>
    <row r="51" spans="2:6" ht="51.95" customHeight="1" x14ac:dyDescent="0.25">
      <c r="B51" s="85" t="s">
        <v>762</v>
      </c>
      <c r="C51" s="83" t="s">
        <v>763</v>
      </c>
      <c r="D51" s="84" t="s">
        <v>764</v>
      </c>
      <c r="E51" s="514" t="s">
        <v>765</v>
      </c>
      <c r="F51" s="514" t="s">
        <v>766</v>
      </c>
    </row>
    <row r="52" spans="2:6" ht="51.95" customHeight="1" x14ac:dyDescent="0.25">
      <c r="B52" s="85" t="s">
        <v>767</v>
      </c>
      <c r="C52" s="83" t="s">
        <v>768</v>
      </c>
      <c r="D52" s="83" t="s">
        <v>769</v>
      </c>
      <c r="E52" s="155" t="s">
        <v>770</v>
      </c>
      <c r="F52" s="155" t="s">
        <v>771</v>
      </c>
    </row>
    <row r="53" spans="2:6" x14ac:dyDescent="0.25">
      <c r="B53" s="1394"/>
      <c r="C53" s="1176"/>
      <c r="D53" s="1176"/>
    </row>
    <row r="55" spans="2:6" ht="24" customHeight="1" x14ac:dyDescent="0.25">
      <c r="B55" s="1395" t="s">
        <v>772</v>
      </c>
      <c r="C55" s="1235"/>
      <c r="D55" s="1235"/>
      <c r="E55" s="1235"/>
      <c r="F55" s="1235"/>
    </row>
    <row r="56" spans="2:6" ht="20.100000000000001" customHeight="1" x14ac:dyDescent="0.25">
      <c r="B56" s="34" t="s">
        <v>92</v>
      </c>
      <c r="C56" s="34" t="s">
        <v>773</v>
      </c>
      <c r="D56" s="34" t="s">
        <v>774</v>
      </c>
      <c r="E56" s="34" t="s">
        <v>564</v>
      </c>
      <c r="F56" s="34" t="s">
        <v>775</v>
      </c>
    </row>
    <row r="57" spans="2:6" ht="51.95" customHeight="1" x14ac:dyDescent="0.25">
      <c r="B57" s="86" t="s">
        <v>776</v>
      </c>
      <c r="C57" s="87" t="s">
        <v>777</v>
      </c>
      <c r="D57" s="158" t="s">
        <v>778</v>
      </c>
      <c r="E57" s="514" t="s">
        <v>779</v>
      </c>
      <c r="F57" s="514" t="s">
        <v>780</v>
      </c>
    </row>
    <row r="58" spans="2:6" ht="51.95" customHeight="1" x14ac:dyDescent="0.25">
      <c r="B58" s="82" t="s">
        <v>781</v>
      </c>
      <c r="C58" s="83" t="s">
        <v>782</v>
      </c>
      <c r="D58" s="159" t="s">
        <v>783</v>
      </c>
      <c r="E58" s="155" t="s">
        <v>784</v>
      </c>
      <c r="F58" s="155" t="s">
        <v>785</v>
      </c>
    </row>
    <row r="59" spans="2:6" ht="51.95" customHeight="1" x14ac:dyDescent="0.25">
      <c r="B59" s="88" t="s">
        <v>786</v>
      </c>
      <c r="C59" s="87" t="s">
        <v>787</v>
      </c>
      <c r="D59" s="158" t="s">
        <v>788</v>
      </c>
      <c r="E59" s="514" t="s">
        <v>789</v>
      </c>
      <c r="F59" s="514" t="s">
        <v>790</v>
      </c>
    </row>
    <row r="60" spans="2:6" ht="51.95" customHeight="1" x14ac:dyDescent="0.25">
      <c r="B60" s="85" t="s">
        <v>791</v>
      </c>
      <c r="C60" s="83" t="s">
        <v>792</v>
      </c>
      <c r="D60" s="159" t="s">
        <v>793</v>
      </c>
      <c r="E60" s="155" t="s">
        <v>794</v>
      </c>
      <c r="F60" s="155" t="s">
        <v>795</v>
      </c>
    </row>
    <row r="61" spans="2:6" ht="51.95" customHeight="1" x14ac:dyDescent="0.25">
      <c r="B61" s="88" t="s">
        <v>796</v>
      </c>
      <c r="C61" s="87" t="s">
        <v>797</v>
      </c>
      <c r="D61" s="158" t="s">
        <v>798</v>
      </c>
      <c r="E61" s="514" t="s">
        <v>799</v>
      </c>
      <c r="F61" s="514" t="s">
        <v>800</v>
      </c>
    </row>
    <row r="62" spans="2:6" ht="51.95" customHeight="1" x14ac:dyDescent="0.25">
      <c r="B62" s="85" t="s">
        <v>801</v>
      </c>
      <c r="C62" s="83" t="s">
        <v>802</v>
      </c>
      <c r="D62" s="159" t="s">
        <v>803</v>
      </c>
      <c r="E62" s="155" t="s">
        <v>804</v>
      </c>
      <c r="F62" s="155" t="s">
        <v>805</v>
      </c>
    </row>
    <row r="63" spans="2:6" ht="51.95" customHeight="1" x14ac:dyDescent="0.25">
      <c r="B63" s="88" t="s">
        <v>806</v>
      </c>
      <c r="C63" s="87" t="s">
        <v>807</v>
      </c>
      <c r="D63" s="158" t="s">
        <v>808</v>
      </c>
      <c r="E63" s="514" t="s">
        <v>809</v>
      </c>
      <c r="F63" s="514" t="s">
        <v>810</v>
      </c>
    </row>
    <row r="64" spans="2:6" ht="51.95" customHeight="1" x14ac:dyDescent="0.25">
      <c r="B64" s="85" t="s">
        <v>811</v>
      </c>
      <c r="C64" s="83" t="s">
        <v>812</v>
      </c>
      <c r="D64" s="159" t="s">
        <v>813</v>
      </c>
      <c r="E64" s="155" t="s">
        <v>799</v>
      </c>
      <c r="F64" s="155" t="s">
        <v>814</v>
      </c>
    </row>
    <row r="67" spans="2:6" ht="24" customHeight="1" x14ac:dyDescent="0.25">
      <c r="B67" s="1395" t="s">
        <v>815</v>
      </c>
      <c r="C67" s="1235"/>
      <c r="D67" s="1235"/>
      <c r="E67" s="1235"/>
      <c r="F67" s="1235"/>
    </row>
    <row r="68" spans="2:6" ht="20.100000000000001" customHeight="1" x14ac:dyDescent="0.25">
      <c r="B68" s="34" t="s">
        <v>92</v>
      </c>
      <c r="C68" s="34" t="s">
        <v>773</v>
      </c>
      <c r="D68" s="34" t="s">
        <v>93</v>
      </c>
      <c r="E68" s="34" t="s">
        <v>564</v>
      </c>
      <c r="F68" s="34" t="s">
        <v>816</v>
      </c>
    </row>
    <row r="69" spans="2:6" ht="57.95" customHeight="1" x14ac:dyDescent="0.25">
      <c r="B69" s="88" t="s">
        <v>817</v>
      </c>
      <c r="C69" s="87" t="s">
        <v>818</v>
      </c>
      <c r="D69" s="158" t="s">
        <v>819</v>
      </c>
      <c r="E69" s="514" t="s">
        <v>820</v>
      </c>
      <c r="F69" s="514" t="s">
        <v>821</v>
      </c>
    </row>
    <row r="70" spans="2:6" ht="57.95" customHeight="1" x14ac:dyDescent="0.25">
      <c r="B70" s="85" t="s">
        <v>822</v>
      </c>
      <c r="C70" s="83" t="s">
        <v>823</v>
      </c>
      <c r="D70" s="159" t="s">
        <v>824</v>
      </c>
      <c r="E70" s="155" t="s">
        <v>825</v>
      </c>
      <c r="F70" s="155" t="s">
        <v>826</v>
      </c>
    </row>
    <row r="71" spans="2:6" ht="57.95" customHeight="1" x14ac:dyDescent="0.25">
      <c r="B71" s="88" t="s">
        <v>827</v>
      </c>
      <c r="C71" s="87" t="s">
        <v>828</v>
      </c>
      <c r="D71" s="158" t="s">
        <v>829</v>
      </c>
      <c r="E71" s="514" t="s">
        <v>830</v>
      </c>
      <c r="F71" s="514" t="s">
        <v>831</v>
      </c>
    </row>
    <row r="72" spans="2:6" ht="57.95" customHeight="1" x14ac:dyDescent="0.25">
      <c r="B72" s="85" t="s">
        <v>832</v>
      </c>
      <c r="C72" s="83" t="s">
        <v>833</v>
      </c>
      <c r="D72" s="159" t="s">
        <v>834</v>
      </c>
      <c r="E72" s="155" t="s">
        <v>835</v>
      </c>
      <c r="F72" s="155" t="s">
        <v>836</v>
      </c>
    </row>
    <row r="73" spans="2:6" ht="57.95" customHeight="1" x14ac:dyDescent="0.25">
      <c r="B73" s="86" t="s">
        <v>837</v>
      </c>
      <c r="C73" s="87" t="s">
        <v>838</v>
      </c>
      <c r="D73" s="158" t="s">
        <v>839</v>
      </c>
      <c r="E73" s="514" t="s">
        <v>840</v>
      </c>
      <c r="F73" s="514" t="s">
        <v>841</v>
      </c>
    </row>
    <row r="75" spans="2:6" ht="24" customHeight="1" x14ac:dyDescent="0.25">
      <c r="B75" s="1395" t="s">
        <v>842</v>
      </c>
      <c r="C75" s="1235"/>
      <c r="D75" s="1235"/>
      <c r="E75" s="1235"/>
      <c r="F75" s="1235"/>
    </row>
    <row r="76" spans="2:6" ht="20.100000000000001" customHeight="1" x14ac:dyDescent="0.25">
      <c r="B76" s="34" t="s">
        <v>92</v>
      </c>
      <c r="C76" s="34" t="s">
        <v>843</v>
      </c>
      <c r="D76" s="34" t="s">
        <v>660</v>
      </c>
      <c r="E76" s="34" t="s">
        <v>564</v>
      </c>
      <c r="F76" s="34" t="s">
        <v>844</v>
      </c>
    </row>
    <row r="77" spans="2:6" ht="54" customHeight="1" x14ac:dyDescent="0.25">
      <c r="B77" s="86" t="s">
        <v>845</v>
      </c>
      <c r="C77" s="87" t="s">
        <v>846</v>
      </c>
      <c r="D77" s="158" t="s">
        <v>847</v>
      </c>
      <c r="E77" s="514" t="s">
        <v>848</v>
      </c>
      <c r="F77" s="514" t="s">
        <v>849</v>
      </c>
    </row>
    <row r="78" spans="2:6" ht="54" customHeight="1" x14ac:dyDescent="0.25">
      <c r="B78" s="85" t="s">
        <v>850</v>
      </c>
      <c r="C78" s="83" t="s">
        <v>851</v>
      </c>
      <c r="D78" s="159" t="s">
        <v>852</v>
      </c>
      <c r="E78" s="155" t="s">
        <v>779</v>
      </c>
      <c r="F78" s="155" t="s">
        <v>853</v>
      </c>
    </row>
    <row r="79" spans="2:6" ht="54" customHeight="1" x14ac:dyDescent="0.25">
      <c r="B79" s="88" t="s">
        <v>854</v>
      </c>
      <c r="C79" s="87" t="s">
        <v>855</v>
      </c>
      <c r="D79" s="158" t="s">
        <v>856</v>
      </c>
      <c r="E79" s="514" t="s">
        <v>857</v>
      </c>
      <c r="F79" s="514" t="s">
        <v>858</v>
      </c>
    </row>
    <row r="80" spans="2:6" ht="54" customHeight="1" x14ac:dyDescent="0.25">
      <c r="B80" s="82" t="s">
        <v>859</v>
      </c>
      <c r="C80" s="83" t="s">
        <v>860</v>
      </c>
      <c r="D80" s="159" t="s">
        <v>861</v>
      </c>
      <c r="E80" s="155" t="s">
        <v>862</v>
      </c>
      <c r="F80" s="155" t="s">
        <v>863</v>
      </c>
    </row>
    <row r="81" spans="2:6" ht="54" customHeight="1" x14ac:dyDescent="0.25">
      <c r="B81" s="86" t="s">
        <v>864</v>
      </c>
      <c r="C81" s="87" t="s">
        <v>865</v>
      </c>
      <c r="D81" s="158" t="s">
        <v>866</v>
      </c>
      <c r="E81" s="514" t="s">
        <v>867</v>
      </c>
      <c r="F81" s="514" t="s">
        <v>868</v>
      </c>
    </row>
    <row r="82" spans="2:6" ht="54" customHeight="1" x14ac:dyDescent="0.25">
      <c r="B82" s="82" t="s">
        <v>869</v>
      </c>
      <c r="C82" s="83" t="s">
        <v>870</v>
      </c>
      <c r="D82" s="159" t="s">
        <v>871</v>
      </c>
      <c r="E82" s="155" t="s">
        <v>872</v>
      </c>
      <c r="F82" s="155" t="s">
        <v>873</v>
      </c>
    </row>
    <row r="83" spans="2:6" ht="54" customHeight="1" x14ac:dyDescent="0.25">
      <c r="B83" s="88" t="s">
        <v>767</v>
      </c>
      <c r="C83" s="87" t="s">
        <v>874</v>
      </c>
      <c r="D83" s="158" t="s">
        <v>875</v>
      </c>
      <c r="E83" s="514" t="s">
        <v>770</v>
      </c>
      <c r="F83" s="514" t="s">
        <v>876</v>
      </c>
    </row>
    <row r="84" spans="2:6" ht="54" customHeight="1" x14ac:dyDescent="0.25">
      <c r="B84" s="85" t="s">
        <v>877</v>
      </c>
      <c r="C84" s="83" t="s">
        <v>878</v>
      </c>
      <c r="D84" s="159" t="s">
        <v>879</v>
      </c>
      <c r="E84" s="155" t="s">
        <v>880</v>
      </c>
      <c r="F84" s="155" t="s">
        <v>881</v>
      </c>
    </row>
    <row r="87" spans="2:6" ht="24" customHeight="1" x14ac:dyDescent="0.25">
      <c r="B87" s="1395" t="s">
        <v>882</v>
      </c>
      <c r="C87" s="1235"/>
      <c r="D87" s="1235"/>
      <c r="E87" s="1235"/>
      <c r="F87" s="1235"/>
    </row>
    <row r="88" spans="2:6" ht="20.100000000000001" customHeight="1" x14ac:dyDescent="0.25">
      <c r="B88" s="34" t="s">
        <v>165</v>
      </c>
      <c r="C88" s="34" t="s">
        <v>883</v>
      </c>
      <c r="D88" s="34" t="s">
        <v>884</v>
      </c>
      <c r="E88" s="34" t="s">
        <v>885</v>
      </c>
      <c r="F88" s="34" t="s">
        <v>886</v>
      </c>
    </row>
    <row r="89" spans="2:6" ht="56.1" customHeight="1" x14ac:dyDescent="0.25">
      <c r="B89" s="89" t="s">
        <v>887</v>
      </c>
      <c r="C89" s="87" t="s">
        <v>888</v>
      </c>
      <c r="D89" s="158" t="s">
        <v>889</v>
      </c>
      <c r="E89" s="514" t="s">
        <v>890</v>
      </c>
      <c r="F89" s="514" t="s">
        <v>891</v>
      </c>
    </row>
    <row r="90" spans="2:6" ht="56.1" customHeight="1" x14ac:dyDescent="0.25">
      <c r="B90" s="90" t="s">
        <v>892</v>
      </c>
      <c r="C90" s="83" t="s">
        <v>893</v>
      </c>
      <c r="D90" s="159" t="s">
        <v>894</v>
      </c>
      <c r="E90" s="155" t="s">
        <v>890</v>
      </c>
      <c r="F90" s="155" t="s">
        <v>895</v>
      </c>
    </row>
    <row r="91" spans="2:6" ht="56.1" customHeight="1" x14ac:dyDescent="0.25">
      <c r="B91" s="89" t="s">
        <v>896</v>
      </c>
      <c r="C91" s="87" t="s">
        <v>897</v>
      </c>
      <c r="D91" s="158" t="s">
        <v>898</v>
      </c>
      <c r="E91" s="514" t="s">
        <v>899</v>
      </c>
      <c r="F91" s="514" t="s">
        <v>900</v>
      </c>
    </row>
    <row r="92" spans="2:6" ht="20.100000000000001" customHeight="1" x14ac:dyDescent="0.25">
      <c r="B92" s="1397" t="s">
        <v>901</v>
      </c>
      <c r="C92" s="1237"/>
      <c r="D92" s="1237"/>
      <c r="E92" s="1237"/>
      <c r="F92" s="1237"/>
    </row>
    <row r="93" spans="2:6" ht="36" customHeight="1" x14ac:dyDescent="0.25">
      <c r="B93" s="91" t="s">
        <v>902</v>
      </c>
      <c r="C93" s="87" t="s">
        <v>903</v>
      </c>
      <c r="D93" s="87" t="s">
        <v>904</v>
      </c>
      <c r="E93" s="514" t="s">
        <v>905</v>
      </c>
      <c r="F93" s="514" t="s">
        <v>906</v>
      </c>
    </row>
    <row r="94" spans="2:6" ht="36" customHeight="1" x14ac:dyDescent="0.25">
      <c r="B94" s="92" t="s">
        <v>907</v>
      </c>
      <c r="C94" s="83" t="s">
        <v>908</v>
      </c>
      <c r="D94" s="83" t="s">
        <v>909</v>
      </c>
      <c r="E94" s="155" t="s">
        <v>910</v>
      </c>
      <c r="F94" s="155" t="s">
        <v>911</v>
      </c>
    </row>
    <row r="95" spans="2:6" ht="36" customHeight="1" x14ac:dyDescent="0.25">
      <c r="B95" s="91" t="s">
        <v>912</v>
      </c>
      <c r="C95" s="87" t="s">
        <v>913</v>
      </c>
      <c r="D95" s="87" t="s">
        <v>914</v>
      </c>
      <c r="E95" s="514" t="s">
        <v>915</v>
      </c>
      <c r="F95" s="514" t="s">
        <v>916</v>
      </c>
    </row>
    <row r="97" spans="2:6" ht="24" customHeight="1" x14ac:dyDescent="0.25">
      <c r="B97" s="1395" t="s">
        <v>917</v>
      </c>
      <c r="C97" s="1235"/>
      <c r="D97" s="1235"/>
      <c r="E97" s="1235"/>
      <c r="F97" s="1235"/>
    </row>
    <row r="98" spans="2:6" ht="20.100000000000001" customHeight="1" x14ac:dyDescent="0.25">
      <c r="B98" s="34" t="s">
        <v>918</v>
      </c>
      <c r="C98" s="34" t="s">
        <v>919</v>
      </c>
      <c r="D98" s="34" t="s">
        <v>920</v>
      </c>
      <c r="E98" s="34" t="s">
        <v>921</v>
      </c>
      <c r="F98" s="34"/>
    </row>
    <row r="99" spans="2:6" ht="39.950000000000003" customHeight="1" x14ac:dyDescent="0.25">
      <c r="B99" s="23" t="s">
        <v>181</v>
      </c>
      <c r="C99" s="24" t="s">
        <v>922</v>
      </c>
      <c r="D99" s="151" t="s">
        <v>923</v>
      </c>
      <c r="E99" s="151" t="s">
        <v>924</v>
      </c>
    </row>
    <row r="100" spans="2:6" ht="39.950000000000003" customHeight="1" x14ac:dyDescent="0.25">
      <c r="B100" s="26" t="s">
        <v>272</v>
      </c>
      <c r="C100" s="512" t="s">
        <v>925</v>
      </c>
      <c r="D100" s="152" t="s">
        <v>926</v>
      </c>
      <c r="E100" s="152" t="s">
        <v>927</v>
      </c>
      <c r="F100" s="21"/>
    </row>
    <row r="101" spans="2:6" ht="39.950000000000003" customHeight="1" x14ac:dyDescent="0.25">
      <c r="B101" s="23" t="s">
        <v>928</v>
      </c>
      <c r="C101" s="24" t="s">
        <v>929</v>
      </c>
      <c r="D101" s="151" t="s">
        <v>930</v>
      </c>
      <c r="E101" s="151" t="s">
        <v>646</v>
      </c>
    </row>
    <row r="102" spans="2:6" ht="39.950000000000003" customHeight="1" x14ac:dyDescent="0.25">
      <c r="B102" s="26" t="s">
        <v>505</v>
      </c>
      <c r="C102" s="512" t="s">
        <v>931</v>
      </c>
      <c r="D102" s="152" t="s">
        <v>932</v>
      </c>
      <c r="E102" s="152" t="s">
        <v>933</v>
      </c>
      <c r="F102" s="21"/>
    </row>
    <row r="103" spans="2:6" ht="39.950000000000003" customHeight="1" x14ac:dyDescent="0.25">
      <c r="B103" s="23" t="s">
        <v>549</v>
      </c>
      <c r="C103" s="24" t="s">
        <v>934</v>
      </c>
      <c r="D103" s="151" t="s">
        <v>935</v>
      </c>
      <c r="E103" s="151" t="s">
        <v>936</v>
      </c>
    </row>
    <row r="104" spans="2:6" ht="39.950000000000003" customHeight="1" x14ac:dyDescent="0.25">
      <c r="B104" s="26" t="s">
        <v>937</v>
      </c>
      <c r="C104" s="512" t="s">
        <v>938</v>
      </c>
      <c r="D104" s="152" t="s">
        <v>939</v>
      </c>
      <c r="E104" s="152" t="s">
        <v>636</v>
      </c>
      <c r="F104" s="21"/>
    </row>
    <row r="105" spans="2:6" ht="39.950000000000003" customHeight="1" x14ac:dyDescent="0.25">
      <c r="B105" s="23" t="s">
        <v>940</v>
      </c>
      <c r="C105" s="24" t="s">
        <v>941</v>
      </c>
      <c r="D105" s="151" t="s">
        <v>942</v>
      </c>
      <c r="E105" s="151" t="s">
        <v>943</v>
      </c>
    </row>
    <row r="106" spans="2:6" ht="39.950000000000003" customHeight="1" x14ac:dyDescent="0.25">
      <c r="B106" s="26" t="s">
        <v>944</v>
      </c>
      <c r="C106" s="512" t="s">
        <v>945</v>
      </c>
      <c r="D106" s="152" t="s">
        <v>946</v>
      </c>
      <c r="E106" s="152" t="s">
        <v>947</v>
      </c>
      <c r="F106" s="21"/>
    </row>
    <row r="107" spans="2:6" ht="39.950000000000003" customHeight="1" x14ac:dyDescent="0.25">
      <c r="B107" s="23" t="s">
        <v>948</v>
      </c>
      <c r="C107" s="24" t="s">
        <v>949</v>
      </c>
      <c r="D107" s="151" t="s">
        <v>950</v>
      </c>
      <c r="E107" s="151" t="s">
        <v>951</v>
      </c>
    </row>
    <row r="108" spans="2:6" ht="39.950000000000003" customHeight="1" x14ac:dyDescent="0.25">
      <c r="B108" s="510" t="s">
        <v>952</v>
      </c>
      <c r="C108" s="512" t="s">
        <v>953</v>
      </c>
      <c r="D108" s="152" t="s">
        <v>954</v>
      </c>
      <c r="E108" s="152" t="s">
        <v>955</v>
      </c>
      <c r="F108" s="21"/>
    </row>
    <row r="109" spans="2:6" ht="39.950000000000003" customHeight="1" x14ac:dyDescent="0.25">
      <c r="B109" s="23" t="s">
        <v>956</v>
      </c>
      <c r="C109" s="24" t="s">
        <v>957</v>
      </c>
      <c r="D109" s="151" t="s">
        <v>958</v>
      </c>
      <c r="E109" s="151" t="s">
        <v>959</v>
      </c>
    </row>
    <row r="112" spans="2:6" ht="24" customHeight="1" x14ac:dyDescent="0.25">
      <c r="B112" s="1395" t="s">
        <v>960</v>
      </c>
      <c r="C112" s="1235"/>
      <c r="D112" s="1235"/>
      <c r="E112" s="1235"/>
      <c r="F112" s="1235"/>
    </row>
    <row r="113" spans="2:6" ht="44.1" customHeight="1" x14ac:dyDescent="0.25">
      <c r="B113" s="43" t="s">
        <v>961</v>
      </c>
      <c r="C113" s="512" t="s">
        <v>962</v>
      </c>
      <c r="D113" s="21"/>
      <c r="E113" s="21"/>
      <c r="F113" s="21"/>
    </row>
    <row r="114" spans="2:6" ht="44.1" customHeight="1" x14ac:dyDescent="0.25">
      <c r="B114" s="42" t="s">
        <v>963</v>
      </c>
      <c r="C114" s="24" t="s">
        <v>964</v>
      </c>
    </row>
    <row r="115" spans="2:6" ht="44.1" customHeight="1" x14ac:dyDescent="0.25">
      <c r="B115" s="43" t="s">
        <v>679</v>
      </c>
      <c r="C115" s="512" t="s">
        <v>965</v>
      </c>
      <c r="D115" s="21"/>
      <c r="E115" s="21"/>
      <c r="F115" s="21"/>
    </row>
    <row r="116" spans="2:6" ht="44.1" customHeight="1" x14ac:dyDescent="0.25">
      <c r="B116" s="42" t="s">
        <v>683</v>
      </c>
      <c r="C116" s="24" t="s">
        <v>966</v>
      </c>
    </row>
    <row r="117" spans="2:6" ht="44.1" customHeight="1" x14ac:dyDescent="0.25">
      <c r="B117" s="43" t="s">
        <v>967</v>
      </c>
      <c r="C117" s="512" t="s">
        <v>968</v>
      </c>
      <c r="D117" s="21"/>
      <c r="E117" s="21"/>
      <c r="F117" s="21"/>
    </row>
    <row r="119" spans="2:6" ht="24" customHeight="1" x14ac:dyDescent="0.25">
      <c r="B119" s="1395" t="s">
        <v>969</v>
      </c>
      <c r="C119" s="1235"/>
      <c r="D119" s="1235"/>
      <c r="E119" s="1235"/>
      <c r="F119" s="1235"/>
    </row>
    <row r="120" spans="2:6" x14ac:dyDescent="0.25">
      <c r="B120" s="516" t="s">
        <v>970</v>
      </c>
      <c r="C120" s="516" t="s">
        <v>971</v>
      </c>
      <c r="D120" s="516" t="s">
        <v>972</v>
      </c>
      <c r="E120" s="516" t="s">
        <v>973</v>
      </c>
      <c r="F120" s="516" t="s">
        <v>974</v>
      </c>
    </row>
    <row r="121" spans="2:6" ht="27.95" customHeight="1" x14ac:dyDescent="0.25">
      <c r="B121" s="1" t="s">
        <v>975</v>
      </c>
      <c r="C121" t="s">
        <v>976</v>
      </c>
      <c r="D121" t="s">
        <v>977</v>
      </c>
      <c r="E121" t="s">
        <v>978</v>
      </c>
      <c r="F121" t="s">
        <v>979</v>
      </c>
    </row>
    <row r="122" spans="2:6" ht="27.95" customHeight="1" x14ac:dyDescent="0.25">
      <c r="B122" s="41" t="s">
        <v>980</v>
      </c>
      <c r="C122" s="21" t="s">
        <v>981</v>
      </c>
      <c r="D122" s="21" t="s">
        <v>982</v>
      </c>
      <c r="E122" s="21" t="s">
        <v>983</v>
      </c>
      <c r="F122" s="21" t="s">
        <v>984</v>
      </c>
    </row>
    <row r="123" spans="2:6" ht="27.95" customHeight="1" x14ac:dyDescent="0.25">
      <c r="B123" s="1" t="s">
        <v>985</v>
      </c>
      <c r="C123" t="s">
        <v>986</v>
      </c>
      <c r="D123" t="s">
        <v>987</v>
      </c>
      <c r="E123" t="s">
        <v>988</v>
      </c>
      <c r="F123" t="s">
        <v>989</v>
      </c>
    </row>
    <row r="124" spans="2:6" ht="27.95" customHeight="1" x14ac:dyDescent="0.25">
      <c r="B124" s="41" t="s">
        <v>990</v>
      </c>
      <c r="C124" s="21" t="s">
        <v>991</v>
      </c>
      <c r="D124" s="21" t="s">
        <v>992</v>
      </c>
      <c r="E124" s="21" t="s">
        <v>993</v>
      </c>
      <c r="F124" s="21" t="s">
        <v>994</v>
      </c>
    </row>
    <row r="125" spans="2:6" ht="27.95" customHeight="1" x14ac:dyDescent="0.25">
      <c r="B125" s="1" t="s">
        <v>995</v>
      </c>
      <c r="C125" t="s">
        <v>996</v>
      </c>
      <c r="D125" t="s">
        <v>997</v>
      </c>
      <c r="E125" t="s">
        <v>998</v>
      </c>
      <c r="F125" t="s">
        <v>999</v>
      </c>
    </row>
    <row r="128" spans="2:6" ht="20.100000000000001" customHeight="1" x14ac:dyDescent="0.25">
      <c r="B128" s="1396" t="s">
        <v>1000</v>
      </c>
      <c r="C128" s="1237"/>
      <c r="D128" s="1237"/>
      <c r="E128" s="1237"/>
      <c r="F128" s="1237"/>
    </row>
    <row r="131" spans="2:2" ht="15.75" x14ac:dyDescent="0.25">
      <c r="B131" s="186" t="s">
        <v>1001</v>
      </c>
    </row>
    <row r="132" spans="2:2" x14ac:dyDescent="0.25">
      <c r="B132" s="188" t="s">
        <v>1002</v>
      </c>
    </row>
    <row r="133" spans="2:2" x14ac:dyDescent="0.25">
      <c r="B133" s="187" t="s">
        <v>1003</v>
      </c>
    </row>
    <row r="134" spans="2:2" x14ac:dyDescent="0.25">
      <c r="B134" s="187" t="s">
        <v>1004</v>
      </c>
    </row>
    <row r="135" spans="2:2" x14ac:dyDescent="0.25">
      <c r="B135" s="187"/>
    </row>
    <row r="136" spans="2:2" x14ac:dyDescent="0.25">
      <c r="B136" s="188" t="s">
        <v>1005</v>
      </c>
    </row>
    <row r="137" spans="2:2" x14ac:dyDescent="0.25">
      <c r="B137" s="187"/>
    </row>
    <row r="138" spans="2:2" x14ac:dyDescent="0.25">
      <c r="B138" s="187" t="s">
        <v>1006</v>
      </c>
    </row>
    <row r="139" spans="2:2" x14ac:dyDescent="0.25">
      <c r="B139" s="187" t="s">
        <v>1007</v>
      </c>
    </row>
    <row r="140" spans="2:2" x14ac:dyDescent="0.25">
      <c r="B140" s="187" t="s">
        <v>1008</v>
      </c>
    </row>
    <row r="141" spans="2:2" x14ac:dyDescent="0.25">
      <c r="B141" s="187" t="s">
        <v>1009</v>
      </c>
    </row>
    <row r="142" spans="2:2" x14ac:dyDescent="0.25">
      <c r="B142" s="187" t="s">
        <v>1010</v>
      </c>
    </row>
    <row r="143" spans="2:2" x14ac:dyDescent="0.25">
      <c r="B143" s="187" t="s">
        <v>1011</v>
      </c>
    </row>
    <row r="144" spans="2:2" x14ac:dyDescent="0.25">
      <c r="B144" s="187" t="s">
        <v>1009</v>
      </c>
    </row>
    <row r="145" spans="2:2" x14ac:dyDescent="0.25">
      <c r="B145" s="187" t="s">
        <v>1012</v>
      </c>
    </row>
    <row r="146" spans="2:2" x14ac:dyDescent="0.25">
      <c r="B146" s="187" t="s">
        <v>1013</v>
      </c>
    </row>
    <row r="147" spans="2:2" x14ac:dyDescent="0.25">
      <c r="B147" s="187" t="s">
        <v>1009</v>
      </c>
    </row>
    <row r="148" spans="2:2" x14ac:dyDescent="0.25">
      <c r="B148" s="187" t="s">
        <v>1014</v>
      </c>
    </row>
    <row r="149" spans="2:2" x14ac:dyDescent="0.25">
      <c r="B149" s="187" t="s">
        <v>1015</v>
      </c>
    </row>
    <row r="150" spans="2:2" x14ac:dyDescent="0.25">
      <c r="B150" s="187" t="s">
        <v>1016</v>
      </c>
    </row>
    <row r="151" spans="2:2" x14ac:dyDescent="0.25">
      <c r="B151" s="187" t="s">
        <v>1017</v>
      </c>
    </row>
    <row r="152" spans="2:2" x14ac:dyDescent="0.25">
      <c r="B152" s="187" t="s">
        <v>1018</v>
      </c>
    </row>
    <row r="153" spans="2:2" x14ac:dyDescent="0.25">
      <c r="B153" s="187" t="s">
        <v>1009</v>
      </c>
    </row>
    <row r="154" spans="2:2" x14ac:dyDescent="0.25">
      <c r="B154" s="187" t="s">
        <v>1019</v>
      </c>
    </row>
    <row r="155" spans="2:2" x14ac:dyDescent="0.25">
      <c r="B155" s="187" t="s">
        <v>1020</v>
      </c>
    </row>
    <row r="156" spans="2:2" x14ac:dyDescent="0.25">
      <c r="B156" s="187" t="s">
        <v>1009</v>
      </c>
    </row>
    <row r="157" spans="2:2" x14ac:dyDescent="0.25">
      <c r="B157" s="187" t="s">
        <v>1021</v>
      </c>
    </row>
    <row r="158" spans="2:2" x14ac:dyDescent="0.25">
      <c r="B158" s="187" t="s">
        <v>1022</v>
      </c>
    </row>
    <row r="159" spans="2:2" x14ac:dyDescent="0.25">
      <c r="B159" s="187" t="s">
        <v>1009</v>
      </c>
    </row>
    <row r="160" spans="2:2" x14ac:dyDescent="0.25">
      <c r="B160" s="187" t="s">
        <v>1023</v>
      </c>
    </row>
    <row r="161" spans="2:2" x14ac:dyDescent="0.25">
      <c r="B161" s="187" t="s">
        <v>1024</v>
      </c>
    </row>
    <row r="162" spans="2:2" x14ac:dyDescent="0.25">
      <c r="B162" s="187" t="s">
        <v>1009</v>
      </c>
    </row>
    <row r="163" spans="2:2" x14ac:dyDescent="0.25">
      <c r="B163" s="187" t="s">
        <v>1025</v>
      </c>
    </row>
    <row r="164" spans="2:2" x14ac:dyDescent="0.25">
      <c r="B164" s="187" t="s">
        <v>1026</v>
      </c>
    </row>
    <row r="165" spans="2:2" x14ac:dyDescent="0.25">
      <c r="B165" s="187" t="s">
        <v>1027</v>
      </c>
    </row>
    <row r="166" spans="2:2" x14ac:dyDescent="0.25">
      <c r="B166" s="187" t="s">
        <v>1028</v>
      </c>
    </row>
    <row r="167" spans="2:2" x14ac:dyDescent="0.25">
      <c r="B167" s="187" t="s">
        <v>1029</v>
      </c>
    </row>
    <row r="168" spans="2:2" x14ac:dyDescent="0.25">
      <c r="B168" s="187" t="s">
        <v>1009</v>
      </c>
    </row>
    <row r="169" spans="2:2" x14ac:dyDescent="0.25">
      <c r="B169" s="187" t="s">
        <v>1030</v>
      </c>
    </row>
    <row r="170" spans="2:2" x14ac:dyDescent="0.25">
      <c r="B170" s="187" t="s">
        <v>1031</v>
      </c>
    </row>
    <row r="171" spans="2:2" x14ac:dyDescent="0.25">
      <c r="B171" s="187" t="s">
        <v>1032</v>
      </c>
    </row>
    <row r="172" spans="2:2" x14ac:dyDescent="0.25">
      <c r="B172" s="188" t="s">
        <v>1033</v>
      </c>
    </row>
    <row r="173" spans="2:2" x14ac:dyDescent="0.25">
      <c r="B173" s="187" t="s">
        <v>1034</v>
      </c>
    </row>
    <row r="174" spans="2:2" x14ac:dyDescent="0.25">
      <c r="B174" s="188" t="s">
        <v>1009</v>
      </c>
    </row>
    <row r="175" spans="2:2" x14ac:dyDescent="0.25">
      <c r="B175" s="187" t="s">
        <v>1035</v>
      </c>
    </row>
    <row r="176" spans="2:2" x14ac:dyDescent="0.25">
      <c r="B176" s="187" t="s">
        <v>1036</v>
      </c>
    </row>
    <row r="177" spans="2:2" x14ac:dyDescent="0.25">
      <c r="B177" s="188" t="s">
        <v>1037</v>
      </c>
    </row>
    <row r="178" spans="2:2" x14ac:dyDescent="0.25">
      <c r="B178" s="187" t="s">
        <v>1038</v>
      </c>
    </row>
    <row r="179" spans="2:2" x14ac:dyDescent="0.25">
      <c r="B179" s="187" t="s">
        <v>1039</v>
      </c>
    </row>
    <row r="180" spans="2:2" x14ac:dyDescent="0.25">
      <c r="B180" s="187" t="s">
        <v>1040</v>
      </c>
    </row>
    <row r="181" spans="2:2" x14ac:dyDescent="0.25">
      <c r="B181" s="187" t="s">
        <v>1041</v>
      </c>
    </row>
    <row r="182" spans="2:2" x14ac:dyDescent="0.25">
      <c r="B182" s="187" t="s">
        <v>1042</v>
      </c>
    </row>
    <row r="183" spans="2:2" x14ac:dyDescent="0.25">
      <c r="B183" s="187" t="s">
        <v>1009</v>
      </c>
    </row>
    <row r="184" spans="2:2" x14ac:dyDescent="0.25">
      <c r="B184" s="187" t="s">
        <v>1043</v>
      </c>
    </row>
    <row r="185" spans="2:2" x14ac:dyDescent="0.25">
      <c r="B185" s="187" t="s">
        <v>1044</v>
      </c>
    </row>
    <row r="186" spans="2:2" x14ac:dyDescent="0.25">
      <c r="B186" s="187" t="s">
        <v>1045</v>
      </c>
    </row>
    <row r="187" spans="2:2" x14ac:dyDescent="0.25">
      <c r="B187" s="187" t="s">
        <v>1046</v>
      </c>
    </row>
    <row r="188" spans="2:2" x14ac:dyDescent="0.25">
      <c r="B188" s="187" t="s">
        <v>1047</v>
      </c>
    </row>
    <row r="189" spans="2:2" x14ac:dyDescent="0.25">
      <c r="B189" s="187" t="s">
        <v>1018</v>
      </c>
    </row>
    <row r="190" spans="2:2" x14ac:dyDescent="0.25">
      <c r="B190" s="187" t="s">
        <v>1009</v>
      </c>
    </row>
    <row r="191" spans="2:2" x14ac:dyDescent="0.25">
      <c r="B191" s="187" t="s">
        <v>1048</v>
      </c>
    </row>
    <row r="192" spans="2:2" x14ac:dyDescent="0.25">
      <c r="B192" s="187" t="s">
        <v>1049</v>
      </c>
    </row>
    <row r="193" spans="2:2" x14ac:dyDescent="0.25">
      <c r="B193" s="187" t="s">
        <v>1050</v>
      </c>
    </row>
    <row r="194" spans="2:2" x14ac:dyDescent="0.25">
      <c r="B194" s="187"/>
    </row>
    <row r="195" spans="2:2" x14ac:dyDescent="0.25">
      <c r="B195" s="187" t="s">
        <v>1051</v>
      </c>
    </row>
    <row r="196" spans="2:2" x14ac:dyDescent="0.25">
      <c r="B196" s="187" t="s">
        <v>1052</v>
      </c>
    </row>
    <row r="197" spans="2:2" x14ac:dyDescent="0.25">
      <c r="B197" s="187" t="s">
        <v>1053</v>
      </c>
    </row>
    <row r="198" spans="2:2" x14ac:dyDescent="0.25">
      <c r="B198" s="187"/>
    </row>
    <row r="199" spans="2:2" x14ac:dyDescent="0.25">
      <c r="B199" s="187" t="s">
        <v>1054</v>
      </c>
    </row>
    <row r="200" spans="2:2" x14ac:dyDescent="0.25">
      <c r="B200" s="187" t="s">
        <v>1055</v>
      </c>
    </row>
    <row r="201" spans="2:2" x14ac:dyDescent="0.25">
      <c r="B201" s="187" t="s">
        <v>1056</v>
      </c>
    </row>
    <row r="202" spans="2:2" x14ac:dyDescent="0.25">
      <c r="B202" s="187" t="s">
        <v>1057</v>
      </c>
    </row>
  </sheetData>
  <mergeCells count="31">
    <mergeCell ref="B29:D29"/>
    <mergeCell ref="B1:F1"/>
    <mergeCell ref="B2:F2"/>
    <mergeCell ref="B4:F4"/>
    <mergeCell ref="B14:F14"/>
    <mergeCell ref="B24:F24"/>
    <mergeCell ref="B3:D3"/>
    <mergeCell ref="B12:D12"/>
    <mergeCell ref="B21:D21"/>
    <mergeCell ref="B31:B32"/>
    <mergeCell ref="C31:C32"/>
    <mergeCell ref="D31:D32"/>
    <mergeCell ref="B42:B43"/>
    <mergeCell ref="C42:C43"/>
    <mergeCell ref="D42:D43"/>
    <mergeCell ref="B34:F34"/>
    <mergeCell ref="E42:E43"/>
    <mergeCell ref="F42:F43"/>
    <mergeCell ref="E44:F44"/>
    <mergeCell ref="B112:F112"/>
    <mergeCell ref="B119:F119"/>
    <mergeCell ref="B128:F128"/>
    <mergeCell ref="B55:F55"/>
    <mergeCell ref="B67:F67"/>
    <mergeCell ref="B75:F75"/>
    <mergeCell ref="B87:F87"/>
    <mergeCell ref="B92:F92"/>
    <mergeCell ref="B97:F97"/>
    <mergeCell ref="B44:D44"/>
    <mergeCell ref="B53:D53"/>
    <mergeCell ref="B45:F45"/>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06E2614-725A-47E7-9C22-BEED45533A6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13</vt:i4>
      </vt:variant>
    </vt:vector>
  </HeadingPairs>
  <TitlesOfParts>
    <vt:vector size="13" baseType="lpstr">
      <vt:lpstr>Claude Log</vt:lpstr>
      <vt:lpstr>One-Pager</vt:lpstr>
      <vt:lpstr>Accueil</vt:lpstr>
      <vt:lpstr>Données Brutes</vt:lpstr>
      <vt:lpstr>Ratios &amp; Indicateurs</vt:lpstr>
      <vt:lpstr>Analyse Approfondie</vt:lpstr>
      <vt:lpstr>STOCKS</vt:lpstr>
      <vt:lpstr>PLAN_AMORT</vt:lpstr>
      <vt:lpstr>ECARTS_BU</vt:lpstr>
      <vt:lpstr>Valorisation DCF</vt:lpstr>
      <vt:lpstr>Dashboard Interactif</vt:lpstr>
      <vt:lpstr>Benchmark &amp; Alertes</vt:lpstr>
      <vt:lpstr>Méthodologie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Ludovic Labeaut</dc:creator>
  <cp:keywords/>
  <dc:description/>
  <cp:lastModifiedBy>Ludovic Labeaut</cp:lastModifiedBy>
  <cp:revision/>
  <dcterms:created xsi:type="dcterms:W3CDTF">2026-02-28T08:33:25Z</dcterms:created>
  <dcterms:modified xsi:type="dcterms:W3CDTF">2026-03-14T08:10:10Z</dcterms:modified>
  <cp:category/>
  <cp:contentStatus/>
</cp:coreProperties>
</file>