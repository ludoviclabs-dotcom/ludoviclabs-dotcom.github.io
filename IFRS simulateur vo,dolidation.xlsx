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o\Desktop\"/>
    </mc:Choice>
  </mc:AlternateContent>
  <xr:revisionPtr revIDLastSave="0" documentId="13_ncr:1_{0C96478C-E732-44BF-A9F4-0223EB169252}" xr6:coauthVersionLast="47" xr6:coauthVersionMax="47" xr10:uidLastSave="{00000000-0000-0000-0000-000000000000}"/>
  <bookViews>
    <workbookView xWindow="-120" yWindow="-120" windowWidth="29040" windowHeight="15840" firstSheet="33" activeTab="36" xr2:uid="{81610B65-E935-4590-9C81-3D3D9B69A567}"/>
  </bookViews>
  <sheets>
    <sheet name="HOME" sheetId="1" r:id="rId1"/>
    <sheet name="GUIDE_DÉMARRAGE" sheetId="40" r:id="rId2"/>
    <sheet name="GUIDE" sheetId="2" r:id="rId3"/>
    <sheet name="Méthodologie &amp; Pédagogie" sheetId="39" r:id="rId4"/>
    <sheet name="FR_ParentCo" sheetId="3" r:id="rId5"/>
    <sheet name="DE_Filiale" sheetId="4" r:id="rId6"/>
    <sheet name="UK_Filiale" sheetId="5" r:id="rId7"/>
    <sheet name="US_Filiale" sheetId="6" r:id="rId8"/>
    <sheet name="SG_Filiale" sheetId="7" r:id="rId9"/>
    <sheet name="ELIM" sheetId="8" r:id="rId10"/>
    <sheet name="CONSOL_BILAN" sheetId="9" r:id="rId11"/>
    <sheet name="CONSOL_CR" sheetId="10" r:id="rId12"/>
    <sheet name="CONSOL_TRESORERIE" sheetId="11" r:id="rId13"/>
    <sheet name="IFRS18_MAPPING" sheetId="12" r:id="rId14"/>
    <sheet name="NOTES_IFRS" sheetId="13" r:id="rId15"/>
    <sheet name="ESG_DATA" sheetId="14" r:id="rId16"/>
    <sheet name="CSRD_RAPPORT" sheetId="15" r:id="rId17"/>
    <sheet name="DASHBOARD_FIN" sheetId="16" r:id="rId18"/>
    <sheet name="DASHBOARD_ESG" sheetId="17" r:id="rId19"/>
    <sheet name="SRC_FR" sheetId="18" r:id="rId20"/>
    <sheet name="SRC_DE" sheetId="19" r:id="rId21"/>
    <sheet name="SRC_UK" sheetId="20" r:id="rId22"/>
    <sheet name="SRC_US" sheetId="21" r:id="rId23"/>
    <sheet name="SRC_SG" sheetId="22" r:id="rId24"/>
    <sheet name="PQ_MAPPING" sheetId="23" r:id="rId25"/>
    <sheet name="PQ_CODE" sheetId="24" r:id="rId26"/>
    <sheet name="BALANCES_PQ" sheetId="25" r:id="rId27"/>
    <sheet name="PQ_TAUX_CHANGE" sheetId="26" r:id="rId28"/>
    <sheet name="PQ_DETENTION" sheetId="27" r:id="rId29"/>
    <sheet name="PQ_ELIMINATIONS" sheetId="28" r:id="rId30"/>
    <sheet name="PQ_DAX_MESURES" sheetId="29" r:id="rId31"/>
    <sheet name="PQ_M_AVANCE" sheetId="30" r:id="rId32"/>
    <sheet name="FORMULES_LIAISON" sheetId="31" r:id="rId33"/>
    <sheet name="ESG_CARBONE" sheetId="32" r:id="rId34"/>
    <sheet name="ESG_DIVERSITE" sheetId="33" r:id="rId35"/>
    <sheet name="ESG_MAPPING" sheetId="34" r:id="rId36"/>
    <sheet name="ESG_DAX" sheetId="35" r:id="rId37"/>
    <sheet name="ESG_DASHBOARD_LINK" sheetId="36" r:id="rId38"/>
    <sheet name="DASHBOARD" sheetId="37" r:id="rId39"/>
  </sheets>
  <definedNames>
    <definedName name="CA_Groupe">CONSOL_CR!$C$35</definedName>
    <definedName name="EBIT_Groupe">CONSOL_CR!$C$36</definedName>
    <definedName name="EBITDA_Groupe">CONSOL_CR!$C$38</definedName>
    <definedName name="Marge_EBIT_Groupe">CONSOL_CR!$C$37</definedName>
    <definedName name="Marge_EBITDA_Groupe">CONSOL_CR!$C$39</definedName>
    <definedName name="RN_Groupe">CONSOL_CR!$C$40</definedName>
    <definedName name="Taux_GBP_Cloture">PQ_TAUX_CHANGE!$F$6</definedName>
    <definedName name="Taux_SGD_Cloture">PQ_TAUX_CHANGE!$F$16</definedName>
    <definedName name="Taux_USD_Cloture">PQ_TAUX_CHANGE!$F$11</definedName>
  </definedNames>
  <calcPr calcId="191029"/>
  <pivotCaches>
    <pivotCache cacheId="0" r:id="rId4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1" l="1"/>
  <c r="C33" i="26"/>
  <c r="J19" i="14"/>
  <c r="J18" i="14"/>
  <c r="C29" i="11"/>
  <c r="K7" i="10"/>
  <c r="F25" i="16"/>
  <c r="F26" i="16"/>
  <c r="I18" i="14"/>
  <c r="I6" i="14"/>
  <c r="G35" i="31" s="1"/>
  <c r="H34" i="37" a="1"/>
  <c r="H34" i="37" s="1"/>
  <c r="H39" i="16"/>
  <c r="G16" i="16"/>
  <c r="F9" i="11"/>
  <c r="C35" i="10"/>
  <c r="E38" i="4"/>
  <c r="E34" i="4"/>
  <c r="E38" i="7"/>
  <c r="E34" i="7"/>
  <c r="E38" i="6"/>
  <c r="E34" i="6"/>
  <c r="E38" i="5"/>
  <c r="E34" i="5"/>
  <c r="E63" i="3"/>
  <c r="E61" i="3"/>
  <c r="E59" i="3"/>
  <c r="E55" i="3"/>
  <c r="E51" i="3"/>
  <c r="E46" i="3"/>
  <c r="G22" i="17"/>
  <c r="G21" i="17"/>
  <c r="E25" i="17"/>
  <c r="E22" i="17"/>
  <c r="E21" i="17"/>
  <c r="C22" i="17"/>
  <c r="C21" i="17"/>
  <c r="G12" i="31"/>
  <c r="G11" i="31"/>
  <c r="G5" i="31"/>
  <c r="G4" i="31"/>
  <c r="G23" i="31"/>
  <c r="G22" i="31"/>
  <c r="G20" i="31"/>
  <c r="G15" i="31"/>
  <c r="G14" i="31"/>
  <c r="G13" i="31"/>
  <c r="G10" i="31"/>
  <c r="J9" i="14"/>
  <c r="J8" i="14"/>
  <c r="C12" i="17"/>
  <c r="G12" i="17" s="1"/>
  <c r="G18" i="31"/>
  <c r="G17" i="31"/>
  <c r="G16" i="31"/>
  <c r="G8" i="31"/>
  <c r="G7" i="31"/>
  <c r="G6" i="31"/>
  <c r="H36" i="26"/>
  <c r="I37" i="26" s="1"/>
  <c r="E25" i="16"/>
  <c r="F16" i="16"/>
  <c r="L37" i="9"/>
  <c r="L34" i="9"/>
  <c r="L30" i="9"/>
  <c r="K37" i="26"/>
  <c r="J37" i="26"/>
  <c r="F37" i="26"/>
  <c r="E37" i="26"/>
  <c r="K36" i="26"/>
  <c r="J36" i="26"/>
  <c r="I36" i="26"/>
  <c r="G36" i="26"/>
  <c r="F36" i="26"/>
  <c r="E36" i="26"/>
  <c r="D36" i="26"/>
  <c r="K35" i="26"/>
  <c r="J35" i="26"/>
  <c r="I35" i="26"/>
  <c r="H35" i="26"/>
  <c r="G35" i="26"/>
  <c r="F35" i="26"/>
  <c r="E35" i="26"/>
  <c r="D35" i="26"/>
  <c r="C35" i="26"/>
  <c r="K34" i="26"/>
  <c r="J34" i="26"/>
  <c r="I34" i="26"/>
  <c r="H34" i="26"/>
  <c r="G34" i="26"/>
  <c r="F34" i="26"/>
  <c r="E34" i="26"/>
  <c r="D34" i="26"/>
  <c r="C34" i="26"/>
  <c r="K33" i="26"/>
  <c r="J33" i="26"/>
  <c r="I33" i="26"/>
  <c r="H33" i="26"/>
  <c r="G33" i="26"/>
  <c r="F33" i="26"/>
  <c r="E33" i="26"/>
  <c r="D33" i="26"/>
  <c r="F21" i="5"/>
  <c r="C44" i="10"/>
  <c r="F13" i="16"/>
  <c r="K11" i="16"/>
  <c r="C43" i="10"/>
  <c r="B6" i="16"/>
  <c r="J43" i="9"/>
  <c r="J41" i="9"/>
  <c r="J42" i="9"/>
  <c r="J22" i="14"/>
  <c r="J21" i="14"/>
  <c r="J11" i="14"/>
  <c r="J7" i="14"/>
  <c r="J6" i="14"/>
  <c r="I26" i="14"/>
  <c r="I25" i="14"/>
  <c r="I24" i="14"/>
  <c r="I23" i="14"/>
  <c r="I22" i="14"/>
  <c r="I21" i="14"/>
  <c r="I20" i="14"/>
  <c r="I19" i="14"/>
  <c r="I17" i="14"/>
  <c r="I14" i="14"/>
  <c r="I13" i="14"/>
  <c r="I12" i="14"/>
  <c r="I11" i="14"/>
  <c r="I10" i="14"/>
  <c r="I9" i="14"/>
  <c r="I8" i="14"/>
  <c r="I7" i="14"/>
  <c r="G9" i="11"/>
  <c r="E9" i="11"/>
  <c r="C9" i="11"/>
  <c r="C12" i="11" s="1"/>
  <c r="C26" i="11" s="1"/>
  <c r="C28" i="11" s="1"/>
  <c r="F31" i="16"/>
  <c r="F29" i="16"/>
  <c r="F28" i="16"/>
  <c r="F27" i="16"/>
  <c r="E31" i="16"/>
  <c r="E30" i="16"/>
  <c r="E29" i="16"/>
  <c r="E28" i="16"/>
  <c r="E27" i="16"/>
  <c r="E26" i="16"/>
  <c r="F62" i="3"/>
  <c r="F61" i="3"/>
  <c r="F59" i="3"/>
  <c r="F58" i="3"/>
  <c r="F57" i="3"/>
  <c r="F55" i="3"/>
  <c r="F54" i="3"/>
  <c r="F53" i="3"/>
  <c r="F51" i="3"/>
  <c r="F50" i="3"/>
  <c r="F49" i="3"/>
  <c r="F48" i="3"/>
  <c r="F46" i="3"/>
  <c r="F45" i="3"/>
  <c r="F44" i="3"/>
  <c r="F43" i="3"/>
  <c r="F42" i="3"/>
  <c r="F41" i="3"/>
  <c r="F40" i="3"/>
  <c r="F39" i="3"/>
  <c r="D63" i="3"/>
  <c r="D61" i="3"/>
  <c r="D59" i="3"/>
  <c r="D55" i="3"/>
  <c r="D51" i="3"/>
  <c r="D46" i="3"/>
  <c r="F16" i="3"/>
  <c r="F30" i="3"/>
  <c r="F29" i="3"/>
  <c r="F28" i="3"/>
  <c r="F27" i="3"/>
  <c r="F26" i="3"/>
  <c r="F25" i="3"/>
  <c r="F24" i="3"/>
  <c r="F22" i="3"/>
  <c r="F21" i="3"/>
  <c r="F20" i="3"/>
  <c r="F19" i="3"/>
  <c r="F18" i="3"/>
  <c r="F17" i="3"/>
  <c r="E30" i="3"/>
  <c r="E29" i="3"/>
  <c r="E22" i="3"/>
  <c r="D30" i="3"/>
  <c r="D29" i="3"/>
  <c r="D22" i="3"/>
  <c r="F38" i="7"/>
  <c r="F37" i="7"/>
  <c r="F36" i="7"/>
  <c r="F35" i="7"/>
  <c r="F34" i="7"/>
  <c r="F33" i="7"/>
  <c r="F32" i="7"/>
  <c r="F31" i="7"/>
  <c r="F30" i="7"/>
  <c r="D38" i="7"/>
  <c r="D34" i="7"/>
  <c r="F26" i="7"/>
  <c r="F25" i="7"/>
  <c r="F24" i="7"/>
  <c r="F23" i="7"/>
  <c r="F22" i="7"/>
  <c r="F21" i="7"/>
  <c r="F19" i="7"/>
  <c r="F18" i="7"/>
  <c r="F17" i="7"/>
  <c r="F16" i="7"/>
  <c r="E26" i="7"/>
  <c r="E25" i="7"/>
  <c r="E19" i="7"/>
  <c r="D26" i="7"/>
  <c r="D25" i="7"/>
  <c r="D19" i="7"/>
  <c r="F38" i="6"/>
  <c r="F37" i="6"/>
  <c r="F36" i="6"/>
  <c r="F35" i="6"/>
  <c r="F34" i="6"/>
  <c r="F33" i="6"/>
  <c r="F32" i="6"/>
  <c r="F31" i="6"/>
  <c r="F30" i="6"/>
  <c r="D38" i="6"/>
  <c r="D34" i="6"/>
  <c r="F26" i="6"/>
  <c r="F25" i="6"/>
  <c r="F24" i="6"/>
  <c r="F23" i="6"/>
  <c r="F22" i="6"/>
  <c r="F21" i="6"/>
  <c r="F19" i="6"/>
  <c r="F18" i="6"/>
  <c r="F17" i="6"/>
  <c r="F16" i="6"/>
  <c r="E26" i="6"/>
  <c r="E25" i="6"/>
  <c r="E19" i="6"/>
  <c r="D26" i="6"/>
  <c r="D25" i="6"/>
  <c r="D19" i="6"/>
  <c r="F38" i="5"/>
  <c r="F37" i="5"/>
  <c r="F36" i="5"/>
  <c r="F35" i="5"/>
  <c r="F34" i="5"/>
  <c r="F33" i="5"/>
  <c r="F32" i="5"/>
  <c r="F31" i="5"/>
  <c r="F30" i="5"/>
  <c r="D38" i="5"/>
  <c r="D34" i="5"/>
  <c r="F26" i="5"/>
  <c r="F25" i="5"/>
  <c r="F24" i="5"/>
  <c r="F23" i="5"/>
  <c r="F22" i="5"/>
  <c r="F19" i="5"/>
  <c r="F18" i="5"/>
  <c r="F17" i="5"/>
  <c r="F16" i="5"/>
  <c r="E26" i="5"/>
  <c r="E25" i="5"/>
  <c r="E19" i="5"/>
  <c r="D26" i="5"/>
  <c r="D25" i="5"/>
  <c r="D19" i="5"/>
  <c r="F38" i="4"/>
  <c r="F37" i="4"/>
  <c r="F36" i="4"/>
  <c r="F35" i="4"/>
  <c r="F34" i="4"/>
  <c r="F33" i="4"/>
  <c r="F32" i="4"/>
  <c r="F31" i="4"/>
  <c r="F30" i="4"/>
  <c r="D38" i="4"/>
  <c r="D34" i="4"/>
  <c r="F26" i="4"/>
  <c r="F25" i="4"/>
  <c r="F24" i="4"/>
  <c r="F23" i="4"/>
  <c r="F22" i="4"/>
  <c r="F21" i="4"/>
  <c r="F19" i="4"/>
  <c r="F18" i="4"/>
  <c r="F17" i="4"/>
  <c r="F16" i="4"/>
  <c r="E26" i="4"/>
  <c r="E25" i="4"/>
  <c r="E19" i="4"/>
  <c r="D26" i="4"/>
  <c r="D25" i="4"/>
  <c r="D19" i="4"/>
  <c r="D46" i="28"/>
  <c r="B20" i="36"/>
  <c r="B18" i="36"/>
  <c r="K9" i="36"/>
  <c r="I9" i="36"/>
  <c r="F9" i="36"/>
  <c r="D9" i="36"/>
  <c r="C9" i="36"/>
  <c r="B9" i="36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4" i="34"/>
  <c r="K5" i="34"/>
  <c r="K6" i="34"/>
  <c r="K7" i="34"/>
  <c r="K9" i="34"/>
  <c r="K10" i="34"/>
  <c r="K12" i="34"/>
  <c r="K14" i="34"/>
  <c r="K15" i="34"/>
  <c r="K16" i="34"/>
  <c r="B47" i="33"/>
  <c r="B44" i="33"/>
  <c r="B38" i="33"/>
  <c r="B37" i="33"/>
  <c r="E29" i="33"/>
  <c r="E28" i="33"/>
  <c r="E27" i="33"/>
  <c r="E26" i="33"/>
  <c r="E25" i="33"/>
  <c r="J19" i="33"/>
  <c r="G19" i="33"/>
  <c r="E19" i="33"/>
  <c r="J18" i="33"/>
  <c r="G18" i="33"/>
  <c r="E18" i="33"/>
  <c r="J17" i="33"/>
  <c r="G17" i="33"/>
  <c r="E17" i="33"/>
  <c r="J16" i="33"/>
  <c r="G16" i="33"/>
  <c r="E16" i="33"/>
  <c r="J15" i="33"/>
  <c r="G15" i="33"/>
  <c r="E15" i="33"/>
  <c r="M10" i="33"/>
  <c r="I10" i="33"/>
  <c r="F10" i="33"/>
  <c r="L10" i="33"/>
  <c r="H10" i="33"/>
  <c r="G10" i="33"/>
  <c r="E10" i="33"/>
  <c r="C10" i="33"/>
  <c r="B10" i="33"/>
  <c r="M9" i="33"/>
  <c r="K9" i="33"/>
  <c r="I9" i="33"/>
  <c r="F9" i="33"/>
  <c r="D9" i="33"/>
  <c r="M8" i="33"/>
  <c r="K8" i="33"/>
  <c r="I8" i="33"/>
  <c r="F8" i="33"/>
  <c r="D8" i="33"/>
  <c r="M7" i="33"/>
  <c r="K7" i="33"/>
  <c r="I7" i="33"/>
  <c r="F7" i="33"/>
  <c r="D7" i="33"/>
  <c r="M6" i="33"/>
  <c r="K6" i="33"/>
  <c r="I6" i="33"/>
  <c r="F6" i="33"/>
  <c r="D6" i="33"/>
  <c r="M5" i="33"/>
  <c r="K5" i="33"/>
  <c r="I5" i="33"/>
  <c r="F5" i="33"/>
  <c r="D5" i="33"/>
  <c r="H63" i="32"/>
  <c r="G63" i="32"/>
  <c r="F63" i="32"/>
  <c r="E63" i="32"/>
  <c r="D63" i="32"/>
  <c r="C63" i="32"/>
  <c r="B63" i="32"/>
  <c r="G62" i="32"/>
  <c r="F62" i="32"/>
  <c r="E62" i="32"/>
  <c r="D62" i="32"/>
  <c r="C62" i="32"/>
  <c r="B62" i="32"/>
  <c r="G61" i="32"/>
  <c r="F61" i="32"/>
  <c r="E61" i="32"/>
  <c r="D61" i="32"/>
  <c r="C61" i="32"/>
  <c r="B61" i="32"/>
  <c r="G60" i="32"/>
  <c r="F60" i="32"/>
  <c r="E60" i="32"/>
  <c r="D60" i="32"/>
  <c r="C60" i="32"/>
  <c r="B60" i="32"/>
  <c r="G59" i="32"/>
  <c r="F59" i="32"/>
  <c r="E59" i="32"/>
  <c r="D59" i="32"/>
  <c r="C59" i="32"/>
  <c r="B59" i="32"/>
  <c r="G58" i="32"/>
  <c r="F58" i="32"/>
  <c r="E58" i="32"/>
  <c r="D58" i="32"/>
  <c r="C58" i="32"/>
  <c r="B58" i="32"/>
  <c r="H52" i="32"/>
  <c r="G52" i="32"/>
  <c r="F52" i="32"/>
  <c r="D52" i="32"/>
  <c r="B52" i="32"/>
  <c r="K51" i="32"/>
  <c r="J51" i="32"/>
  <c r="H51" i="32"/>
  <c r="G51" i="32"/>
  <c r="F51" i="32"/>
  <c r="D51" i="32"/>
  <c r="B51" i="32"/>
  <c r="K50" i="32"/>
  <c r="J50" i="32"/>
  <c r="H50" i="32"/>
  <c r="G50" i="32"/>
  <c r="F50" i="32"/>
  <c r="D50" i="32"/>
  <c r="B50" i="32"/>
  <c r="K49" i="32"/>
  <c r="J49" i="32"/>
  <c r="H49" i="32"/>
  <c r="G49" i="32"/>
  <c r="F49" i="32"/>
  <c r="D49" i="32"/>
  <c r="B49" i="32"/>
  <c r="O44" i="32"/>
  <c r="M44" i="32"/>
  <c r="L44" i="32"/>
  <c r="K44" i="32"/>
  <c r="I44" i="32"/>
  <c r="G44" i="32"/>
  <c r="O43" i="32"/>
  <c r="M43" i="32"/>
  <c r="L43" i="32"/>
  <c r="K43" i="32"/>
  <c r="I43" i="32"/>
  <c r="G43" i="32"/>
  <c r="O42" i="32"/>
  <c r="M42" i="32"/>
  <c r="L42" i="32"/>
  <c r="K42" i="32"/>
  <c r="I42" i="32"/>
  <c r="G42" i="32"/>
  <c r="O41" i="32"/>
  <c r="M41" i="32"/>
  <c r="L41" i="32"/>
  <c r="K41" i="32"/>
  <c r="I41" i="32"/>
  <c r="G41" i="32"/>
  <c r="O40" i="32"/>
  <c r="M40" i="32"/>
  <c r="L40" i="32"/>
  <c r="K40" i="32"/>
  <c r="I40" i="32"/>
  <c r="G40" i="32"/>
  <c r="O39" i="32"/>
  <c r="M39" i="32"/>
  <c r="L39" i="32"/>
  <c r="K39" i="32"/>
  <c r="I39" i="32"/>
  <c r="G39" i="32"/>
  <c r="O38" i="32"/>
  <c r="M38" i="32"/>
  <c r="L38" i="32"/>
  <c r="K38" i="32"/>
  <c r="I38" i="32"/>
  <c r="G38" i="32"/>
  <c r="O37" i="32"/>
  <c r="M37" i="32"/>
  <c r="L37" i="32"/>
  <c r="K37" i="32"/>
  <c r="I37" i="32"/>
  <c r="G37" i="32"/>
  <c r="O36" i="32"/>
  <c r="M36" i="32"/>
  <c r="L36" i="32"/>
  <c r="K36" i="32"/>
  <c r="I36" i="32"/>
  <c r="G36" i="32"/>
  <c r="O35" i="32"/>
  <c r="M35" i="32"/>
  <c r="L35" i="32"/>
  <c r="K35" i="32"/>
  <c r="I35" i="32"/>
  <c r="G35" i="32"/>
  <c r="O34" i="32"/>
  <c r="M34" i="32"/>
  <c r="L34" i="32"/>
  <c r="K34" i="32"/>
  <c r="I34" i="32"/>
  <c r="G34" i="32"/>
  <c r="O33" i="32"/>
  <c r="M33" i="32"/>
  <c r="L33" i="32"/>
  <c r="K33" i="32"/>
  <c r="I33" i="32"/>
  <c r="G33" i="32"/>
  <c r="O32" i="32"/>
  <c r="M32" i="32"/>
  <c r="L32" i="32"/>
  <c r="K32" i="32"/>
  <c r="I32" i="32"/>
  <c r="G32" i="32"/>
  <c r="O31" i="32"/>
  <c r="M31" i="32"/>
  <c r="L31" i="32"/>
  <c r="K31" i="32"/>
  <c r="I31" i="32"/>
  <c r="G31" i="32"/>
  <c r="O30" i="32"/>
  <c r="M30" i="32"/>
  <c r="L30" i="32"/>
  <c r="K30" i="32"/>
  <c r="I30" i="32"/>
  <c r="G30" i="32"/>
  <c r="J26" i="9"/>
  <c r="L32" i="10"/>
  <c r="K32" i="10"/>
  <c r="G9" i="31"/>
  <c r="G19" i="31"/>
  <c r="G24" i="31"/>
  <c r="G26" i="31"/>
  <c r="G27" i="31"/>
  <c r="G28" i="31"/>
  <c r="G29" i="31"/>
  <c r="G30" i="31"/>
  <c r="G31" i="31"/>
  <c r="G32" i="31"/>
  <c r="G33" i="31"/>
  <c r="G34" i="31"/>
  <c r="G38" i="31"/>
  <c r="G39" i="31"/>
  <c r="G40" i="31"/>
  <c r="G41" i="31"/>
  <c r="G42" i="31"/>
  <c r="G43" i="31"/>
  <c r="E46" i="28"/>
  <c r="C46" i="28"/>
  <c r="B46" i="28"/>
  <c r="B45" i="28"/>
  <c r="C44" i="28"/>
  <c r="E44" i="28"/>
  <c r="B43" i="28"/>
  <c r="B42" i="28"/>
  <c r="C42" i="28"/>
  <c r="D42" i="28"/>
  <c r="B41" i="28"/>
  <c r="I36" i="28"/>
  <c r="G36" i="28"/>
  <c r="L35" i="28"/>
  <c r="I35" i="28"/>
  <c r="L34" i="28"/>
  <c r="I34" i="28"/>
  <c r="G28" i="28"/>
  <c r="I27" i="28"/>
  <c r="I26" i="28"/>
  <c r="I25" i="28"/>
  <c r="K19" i="28"/>
  <c r="I19" i="28"/>
  <c r="G19" i="28"/>
  <c r="G18" i="28"/>
  <c r="H18" i="28" s="1"/>
  <c r="J18" i="28"/>
  <c r="K18" i="28"/>
  <c r="G17" i="28"/>
  <c r="H17" i="28" s="1"/>
  <c r="I17" i="28"/>
  <c r="J17" i="28"/>
  <c r="K17" i="28"/>
  <c r="G9" i="28"/>
  <c r="M8" i="28"/>
  <c r="M7" i="28"/>
  <c r="M6" i="28"/>
  <c r="M5" i="28"/>
  <c r="H19" i="27"/>
  <c r="F19" i="27"/>
  <c r="D19" i="27"/>
  <c r="I18" i="27"/>
  <c r="H18" i="27"/>
  <c r="F18" i="27"/>
  <c r="D18" i="27"/>
  <c r="I17" i="27"/>
  <c r="H17" i="27"/>
  <c r="F17" i="27"/>
  <c r="D17" i="27"/>
  <c r="I16" i="27"/>
  <c r="H16" i="27"/>
  <c r="F16" i="27"/>
  <c r="D16" i="27"/>
  <c r="I15" i="27"/>
  <c r="H15" i="27"/>
  <c r="F15" i="27"/>
  <c r="D15" i="27"/>
  <c r="H46" i="26"/>
  <c r="F45" i="26"/>
  <c r="G45" i="26"/>
  <c r="H45" i="26"/>
  <c r="F44" i="26"/>
  <c r="G44" i="26"/>
  <c r="H44" i="26"/>
  <c r="F43" i="26"/>
  <c r="G43" i="26"/>
  <c r="H43" i="26"/>
  <c r="H42" i="16"/>
  <c r="H41" i="16"/>
  <c r="H40" i="16"/>
  <c r="H38" i="16"/>
  <c r="C42" i="16"/>
  <c r="D42" i="16"/>
  <c r="E42" i="16"/>
  <c r="C41" i="16"/>
  <c r="D41" i="16"/>
  <c r="E41" i="16"/>
  <c r="C40" i="16"/>
  <c r="D40" i="16"/>
  <c r="E40" i="16"/>
  <c r="C39" i="16"/>
  <c r="D39" i="16"/>
  <c r="E39" i="16"/>
  <c r="C38" i="16"/>
  <c r="D38" i="16"/>
  <c r="E38" i="16"/>
  <c r="C33" i="17"/>
  <c r="C32" i="17"/>
  <c r="C31" i="17"/>
  <c r="C30" i="17"/>
  <c r="C29" i="17"/>
  <c r="C25" i="17"/>
  <c r="C16" i="17"/>
  <c r="E16" i="17" s="1"/>
  <c r="C15" i="17"/>
  <c r="G15" i="17" s="1"/>
  <c r="E15" i="17"/>
  <c r="C31" i="16"/>
  <c r="D31" i="16"/>
  <c r="C30" i="16"/>
  <c r="C29" i="16"/>
  <c r="C28" i="16"/>
  <c r="D28" i="16"/>
  <c r="C27" i="16"/>
  <c r="D27" i="16"/>
  <c r="C26" i="16"/>
  <c r="D26" i="16"/>
  <c r="C25" i="16"/>
  <c r="D25" i="16"/>
  <c r="E21" i="16"/>
  <c r="F21" i="16"/>
  <c r="G21" i="16"/>
  <c r="D20" i="16"/>
  <c r="F20" i="16" s="1"/>
  <c r="E20" i="16"/>
  <c r="G20" i="16"/>
  <c r="D19" i="16"/>
  <c r="F19" i="16" s="1"/>
  <c r="E19" i="16"/>
  <c r="G19" i="16"/>
  <c r="D18" i="16"/>
  <c r="F18" i="16" s="1"/>
  <c r="E18" i="16"/>
  <c r="G18" i="16"/>
  <c r="D17" i="16"/>
  <c r="E17" i="16"/>
  <c r="F17" i="16"/>
  <c r="G17" i="16"/>
  <c r="D16" i="16"/>
  <c r="E16" i="16"/>
  <c r="N11" i="16"/>
  <c r="H11" i="16"/>
  <c r="E11" i="16"/>
  <c r="B11" i="16"/>
  <c r="K6" i="16"/>
  <c r="H6" i="16"/>
  <c r="E6" i="16"/>
  <c r="J27" i="14"/>
  <c r="J26" i="14"/>
  <c r="J25" i="14"/>
  <c r="J24" i="14"/>
  <c r="K18" i="34" s="1"/>
  <c r="J23" i="14"/>
  <c r="K17" i="34" s="1"/>
  <c r="G37" i="31"/>
  <c r="J20" i="14"/>
  <c r="J14" i="14"/>
  <c r="J13" i="14"/>
  <c r="J12" i="14"/>
  <c r="C14" i="17"/>
  <c r="E14" i="17" s="1"/>
  <c r="J10" i="14"/>
  <c r="E9" i="14"/>
  <c r="C24" i="11"/>
  <c r="C18" i="11"/>
  <c r="C6" i="11"/>
  <c r="C42" i="10"/>
  <c r="C41" i="10"/>
  <c r="C40" i="10"/>
  <c r="C39" i="10"/>
  <c r="C38" i="10"/>
  <c r="C37" i="10"/>
  <c r="C36" i="10"/>
  <c r="D32" i="10"/>
  <c r="E32" i="10"/>
  <c r="F32" i="10"/>
  <c r="G32" i="10"/>
  <c r="I32" i="10" s="1"/>
  <c r="H32" i="10"/>
  <c r="I31" i="10"/>
  <c r="K31" i="10" s="1"/>
  <c r="D30" i="10"/>
  <c r="E30" i="10"/>
  <c r="F30" i="10"/>
  <c r="G30" i="10"/>
  <c r="H30" i="10"/>
  <c r="I30" i="10"/>
  <c r="J30" i="10"/>
  <c r="K30" i="10"/>
  <c r="M30" i="10" s="1"/>
  <c r="I29" i="10"/>
  <c r="K29" i="10" s="1"/>
  <c r="D28" i="10"/>
  <c r="E28" i="10"/>
  <c r="F28" i="10"/>
  <c r="G28" i="10"/>
  <c r="H28" i="10"/>
  <c r="I28" i="10"/>
  <c r="J28" i="10"/>
  <c r="K28" i="10"/>
  <c r="M28" i="10" s="1"/>
  <c r="I27" i="10"/>
  <c r="K27" i="10" s="1"/>
  <c r="M27" i="10" s="1"/>
  <c r="I26" i="10"/>
  <c r="K26" i="10"/>
  <c r="M26" i="10"/>
  <c r="D24" i="10"/>
  <c r="E24" i="10"/>
  <c r="F24" i="10"/>
  <c r="G24" i="10"/>
  <c r="H24" i="10"/>
  <c r="I24" i="10"/>
  <c r="J24" i="10"/>
  <c r="K24" i="10"/>
  <c r="M24" i="10"/>
  <c r="D23" i="10"/>
  <c r="E23" i="10"/>
  <c r="F23" i="10"/>
  <c r="G23" i="10"/>
  <c r="H23" i="10"/>
  <c r="I23" i="10"/>
  <c r="J23" i="10"/>
  <c r="K23" i="10"/>
  <c r="M23" i="10"/>
  <c r="I22" i="10"/>
  <c r="K22" i="10"/>
  <c r="M22" i="10"/>
  <c r="I21" i="10"/>
  <c r="K21" i="10" s="1"/>
  <c r="M21" i="10" s="1"/>
  <c r="D19" i="10"/>
  <c r="E19" i="10"/>
  <c r="F19" i="10"/>
  <c r="G19" i="10"/>
  <c r="H19" i="10"/>
  <c r="I19" i="10"/>
  <c r="J19" i="10"/>
  <c r="K19" i="10"/>
  <c r="M19" i="10" s="1"/>
  <c r="I18" i="10"/>
  <c r="K18" i="10" s="1"/>
  <c r="M18" i="10" s="1"/>
  <c r="I17" i="10"/>
  <c r="K17" i="10" s="1"/>
  <c r="M17" i="10" s="1"/>
  <c r="I16" i="10"/>
  <c r="K16" i="10" s="1"/>
  <c r="M16" i="10" s="1"/>
  <c r="D14" i="10"/>
  <c r="E14" i="10"/>
  <c r="F14" i="10"/>
  <c r="G14" i="10"/>
  <c r="H14" i="10"/>
  <c r="I14" i="10"/>
  <c r="J14" i="10"/>
  <c r="K14" i="10"/>
  <c r="M14" i="10" s="1"/>
  <c r="I13" i="10"/>
  <c r="K13" i="10"/>
  <c r="M13" i="10"/>
  <c r="I12" i="10"/>
  <c r="K12" i="10"/>
  <c r="M12" i="10"/>
  <c r="I11" i="10"/>
  <c r="K11" i="10"/>
  <c r="M11" i="10"/>
  <c r="I10" i="10"/>
  <c r="K10" i="10" s="1"/>
  <c r="M10" i="10" s="1"/>
  <c r="I9" i="10"/>
  <c r="K9" i="10" s="1"/>
  <c r="M9" i="10" s="1"/>
  <c r="I8" i="10"/>
  <c r="K8" i="10" s="1"/>
  <c r="M8" i="10" s="1"/>
  <c r="I7" i="10"/>
  <c r="M7" i="10"/>
  <c r="C41" i="9"/>
  <c r="D41" i="9"/>
  <c r="E41" i="9"/>
  <c r="F41" i="9"/>
  <c r="G41" i="9"/>
  <c r="H41" i="9"/>
  <c r="I41" i="9"/>
  <c r="C40" i="9"/>
  <c r="D40" i="9"/>
  <c r="E40" i="9"/>
  <c r="F40" i="9"/>
  <c r="G40" i="9"/>
  <c r="H40" i="9"/>
  <c r="I40" i="9"/>
  <c r="J40" i="9"/>
  <c r="L40" i="9" s="1"/>
  <c r="H39" i="9"/>
  <c r="J39" i="9" s="1"/>
  <c r="H38" i="9"/>
  <c r="J38" i="9" s="1"/>
  <c r="H37" i="9"/>
  <c r="J37" i="9"/>
  <c r="H36" i="9"/>
  <c r="J36" i="9" s="1"/>
  <c r="C34" i="9"/>
  <c r="D34" i="9"/>
  <c r="E34" i="9"/>
  <c r="F34" i="9"/>
  <c r="G34" i="9"/>
  <c r="H34" i="9"/>
  <c r="I34" i="9"/>
  <c r="J34" i="9"/>
  <c r="H33" i="9"/>
  <c r="J33" i="9"/>
  <c r="H32" i="9"/>
  <c r="J32" i="9"/>
  <c r="H31" i="9"/>
  <c r="J31" i="9" s="1"/>
  <c r="H30" i="9"/>
  <c r="J30" i="9"/>
  <c r="C28" i="9"/>
  <c r="D28" i="9"/>
  <c r="E28" i="9"/>
  <c r="F28" i="9"/>
  <c r="G28" i="9"/>
  <c r="H28" i="9"/>
  <c r="I28" i="9"/>
  <c r="J28" i="9"/>
  <c r="L28" i="9" s="1"/>
  <c r="H27" i="9"/>
  <c r="J27" i="9" s="1"/>
  <c r="H26" i="9"/>
  <c r="H25" i="9"/>
  <c r="J25" i="9" s="1"/>
  <c r="H24" i="9"/>
  <c r="J24" i="9"/>
  <c r="H23" i="9"/>
  <c r="J23" i="9"/>
  <c r="C20" i="9"/>
  <c r="D20" i="9"/>
  <c r="E20" i="9"/>
  <c r="F20" i="9"/>
  <c r="G20" i="9"/>
  <c r="H20" i="9"/>
  <c r="I20" i="9"/>
  <c r="J20" i="9"/>
  <c r="L20" i="9" s="1"/>
  <c r="C19" i="9"/>
  <c r="D19" i="9"/>
  <c r="E19" i="9"/>
  <c r="F19" i="9"/>
  <c r="G19" i="9"/>
  <c r="H19" i="9"/>
  <c r="I19" i="9"/>
  <c r="J19" i="9"/>
  <c r="L19" i="9" s="1"/>
  <c r="H18" i="9"/>
  <c r="J18" i="9" s="1"/>
  <c r="L18" i="9" s="1"/>
  <c r="H17" i="9"/>
  <c r="J17" i="9"/>
  <c r="L17" i="9"/>
  <c r="H16" i="9"/>
  <c r="J16" i="9"/>
  <c r="L16" i="9"/>
  <c r="H15" i="9"/>
  <c r="J15" i="9"/>
  <c r="L15" i="9"/>
  <c r="H14" i="9"/>
  <c r="J14" i="9"/>
  <c r="L14" i="9"/>
  <c r="C12" i="9"/>
  <c r="D12" i="9"/>
  <c r="E12" i="9"/>
  <c r="F12" i="9"/>
  <c r="G12" i="9"/>
  <c r="H12" i="9"/>
  <c r="I12" i="9"/>
  <c r="J12" i="9"/>
  <c r="L12" i="9" s="1"/>
  <c r="H11" i="9"/>
  <c r="J11" i="9" s="1"/>
  <c r="L11" i="9" s="1"/>
  <c r="H10" i="9"/>
  <c r="J10" i="9" s="1"/>
  <c r="L10" i="9" s="1"/>
  <c r="H9" i="9"/>
  <c r="J9" i="9" s="1"/>
  <c r="L9" i="9" s="1"/>
  <c r="H8" i="9"/>
  <c r="J8" i="9" s="1"/>
  <c r="L8" i="9" s="1"/>
  <c r="H7" i="9"/>
  <c r="J7" i="9" s="1"/>
  <c r="L7" i="9" s="1"/>
  <c r="H6" i="9"/>
  <c r="J6" i="9" s="1"/>
  <c r="L6" i="9" s="1"/>
  <c r="H5" i="9"/>
  <c r="J5" i="9" s="1"/>
  <c r="C34" i="8"/>
  <c r="E34" i="8" s="1"/>
  <c r="F34" i="8" s="1"/>
  <c r="D34" i="8"/>
  <c r="E33" i="8"/>
  <c r="F33" i="8"/>
  <c r="E32" i="8"/>
  <c r="F32" i="8"/>
  <c r="E31" i="8"/>
  <c r="F31" i="8" s="1"/>
  <c r="E27" i="8"/>
  <c r="H27" i="8"/>
  <c r="D21" i="8"/>
  <c r="E21" i="8"/>
  <c r="F21" i="8"/>
  <c r="G21" i="8"/>
  <c r="H21" i="8"/>
  <c r="I21" i="8"/>
  <c r="F20" i="8"/>
  <c r="H20" i="8"/>
  <c r="F19" i="8"/>
  <c r="H19" i="8"/>
  <c r="F18" i="8"/>
  <c r="H18" i="8"/>
  <c r="F17" i="8"/>
  <c r="H17" i="8" s="1"/>
  <c r="J13" i="8"/>
  <c r="L13" i="8"/>
  <c r="K34" i="3"/>
  <c r="L34" i="3"/>
  <c r="M34" i="3"/>
  <c r="K33" i="3"/>
  <c r="L33" i="3"/>
  <c r="M33" i="3"/>
  <c r="K27" i="3"/>
  <c r="L27" i="3"/>
  <c r="M27" i="3" s="1"/>
  <c r="K21" i="3"/>
  <c r="L21" i="3"/>
  <c r="M21" i="3"/>
  <c r="C20" i="17" l="1"/>
  <c r="E20" i="17" s="1"/>
  <c r="G37" i="26"/>
  <c r="C24" i="17"/>
  <c r="C23" i="17"/>
  <c r="E23" i="17" s="1"/>
  <c r="G36" i="31"/>
  <c r="K11" i="34"/>
  <c r="C13" i="17"/>
  <c r="E13" i="17" s="1"/>
  <c r="E12" i="17"/>
  <c r="N6" i="16"/>
  <c r="G21" i="31"/>
  <c r="I18" i="28"/>
  <c r="G23" i="17"/>
  <c r="G16" i="17"/>
  <c r="G14" i="17"/>
  <c r="G13" i="17" l="1"/>
  <c r="E24" i="17"/>
  <c r="G24" i="17"/>
  <c r="L41" i="9"/>
  <c r="G27" i="8"/>
  <c r="H25" i="8"/>
  <c r="G26" i="8"/>
  <c r="F27" i="8"/>
  <c r="G25" i="8"/>
  <c r="H2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<sst xmlns="http://schemas.openxmlformats.org/spreadsheetml/2006/main" count="8581" uniqueCount="4481">
  <si>
    <t>GROUPE MULTINATIONAL – CONSOLIDATION IFRS 18 | ESG / CSRD  ·  Exercice 2025–2026</t>
  </si>
  <si>
    <t>Outil automatisé de consolidation · 5 entités · Société Mère FR + 4 Filiales Internationales</t>
  </si>
  <si>
    <t>LÉGENDE DES ONGLETS</t>
  </si>
  <si>
    <t>🟢  VERT CLAIR</t>
  </si>
  <si>
    <t>🔵  BLEU</t>
  </si>
  <si>
    <t>🟠  ORANGE</t>
  </si>
  <si>
    <t>⬛  ANTHRACITE</t>
  </si>
  <si>
    <t>Données sources (saisie / import)</t>
  </si>
  <si>
    <t>Calculs, consolidation &amp; IFRS 18</t>
  </si>
  <si>
    <t>Dashboards &amp; reporting</t>
  </si>
  <si>
    <t>Navigation &amp; documentation</t>
  </si>
  <si>
    <t>PLAN DU CLASSEUR – INDEX DES ONGLETS</t>
  </si>
  <si>
    <t>#</t>
  </si>
  <si>
    <t>Onglet</t>
  </si>
  <si>
    <t>Bloc</t>
  </si>
  <si>
    <t>Couleur</t>
  </si>
  <si>
    <t>Description</t>
  </si>
  <si>
    <t>Rôle</t>
  </si>
  <si>
    <t>HOME</t>
  </si>
  <si>
    <t>Navigation</t>
  </si>
  <si>
    <t>Anthracite</t>
  </si>
  <si>
    <t>Page d'accueil et index de navigation</t>
  </si>
  <si>
    <t>Dashboard de lancement</t>
  </si>
  <si>
    <t>GUIDE</t>
  </si>
  <si>
    <t>Manuel utilisateur, légende, conventions IFRS 18</t>
  </si>
  <si>
    <t>Documentation pédagogique</t>
  </si>
  <si>
    <t>FR_ParentCo</t>
  </si>
  <si>
    <t>Sources 🟢</t>
  </si>
  <si>
    <t>Vert</t>
  </si>
  <si>
    <t>Liasses comptables – Société Mère France (EUR)</t>
  </si>
  <si>
    <t>Saisie / import balances</t>
  </si>
  <si>
    <t>DE_Filiale</t>
  </si>
  <si>
    <t>Liasses comptables – Filiale Allemagne (EUR)</t>
  </si>
  <si>
    <t>UK_Filiale</t>
  </si>
  <si>
    <t>Liasses comptables – Filiale Royaume-Uni (GBP)</t>
  </si>
  <si>
    <t>US_Filiale</t>
  </si>
  <si>
    <t>Liasses comptables – Filiale États-Unis (USD)</t>
  </si>
  <si>
    <t>SG_Filiale</t>
  </si>
  <si>
    <t>Liasses comptables – Filiale Singapour (SGD)</t>
  </si>
  <si>
    <t>ELIM</t>
  </si>
  <si>
    <t>Bleu</t>
  </si>
  <si>
    <t>Écritures d'élimination intercompagnies &amp; capital</t>
  </si>
  <si>
    <t>Neutralisation flux internes</t>
  </si>
  <si>
    <t>CONSOL_BILAN</t>
  </si>
  <si>
    <t>Bilan consolidé agrégé + éliminations (IFRS)</t>
  </si>
  <si>
    <t>État financier consolidé</t>
  </si>
  <si>
    <t>CONSOL_CR</t>
  </si>
  <si>
    <t>Compte de résultat consolidé IFRS 18 (nouvelles catégories)</t>
  </si>
  <si>
    <t>P&amp;L consolidé IFRS 18</t>
  </si>
  <si>
    <t>CONSOL_TRESORERIE</t>
  </si>
  <si>
    <t>Tableau des flux de trésorerie consolidé (méthode indirecte)</t>
  </si>
  <si>
    <t>Cash flow statement</t>
  </si>
  <si>
    <t>IFRS18_MAPPING</t>
  </si>
  <si>
    <t>Mapping des postes IFRS 18 : Opérationnel / Investissement / Financement</t>
  </si>
  <si>
    <t>Reclassement IFRS 18</t>
  </si>
  <si>
    <t>NOTES_IFRS</t>
  </si>
  <si>
    <t>Notes annexes : Regroupements, GW, conversion, impôts différés</t>
  </si>
  <si>
    <t>Annexes IFRS</t>
  </si>
  <si>
    <t>ESG_DATA</t>
  </si>
  <si>
    <t>Données ESG brutes : E (CO₂, énergie), S (emploi, parité), G (gouvernance)</t>
  </si>
  <si>
    <t>Collecte KPIs ESG</t>
  </si>
  <si>
    <t>CSRD_RAPPORT</t>
  </si>
  <si>
    <t>Rapport CSRD structuré : E1-E5, S1-S4, G1-G2 (ESRS)</t>
  </si>
  <si>
    <t>Conformité CSRD/ESRS</t>
  </si>
  <si>
    <t>DASHBOARD_FIN</t>
  </si>
  <si>
    <t>Dashboard financier interactif : KPIs, graphiques, comparaisons</t>
  </si>
  <si>
    <t>Analyse &amp; décision</t>
  </si>
  <si>
    <t>DASHBOARD_ESG</t>
  </si>
  <si>
    <t>Dashboard ESG interactif : scores, tendances, benchmarks</t>
  </si>
  <si>
    <t>Pilotage ESG</t>
  </si>
  <si>
    <t>Entité</t>
  </si>
  <si>
    <t>Pays</t>
  </si>
  <si>
    <t>Devise</t>
  </si>
  <si>
    <t>Méthode</t>
  </si>
  <si>
    <t>Taux de clôture</t>
  </si>
  <si>
    <t>Taux moyen</t>
  </si>
  <si>
    <t>Secteur</t>
  </si>
  <si>
    <t>EUR</t>
  </si>
  <si>
    <t>Mère / Intégration Globale</t>
  </si>
  <si>
    <t>Holding / Services</t>
  </si>
  <si>
    <t>Intégration Globale</t>
  </si>
  <si>
    <t>Industrie manufacturière</t>
  </si>
  <si>
    <t>GBP</t>
  </si>
  <si>
    <t>Technologies &amp; Digital</t>
  </si>
  <si>
    <t>USD</t>
  </si>
  <si>
    <t>Distribution &amp; Retail</t>
  </si>
  <si>
    <t>SGD</t>
  </si>
  <si>
    <t>Finance &amp; Investissement</t>
  </si>
  <si>
    <t>📘  GUIDE UTILISATEUR – CONVENTIONS &amp; PÉDAGOGIE IFRS 18</t>
  </si>
  <si>
    <t>1.  LÉGENDE DES COULEURS &amp; CONVENTIONS DE SAISIE</t>
  </si>
  <si>
    <t>Couleur fond</t>
  </si>
  <si>
    <t>Usage</t>
  </si>
  <si>
    <t>Règle de saisie</t>
  </si>
  <si>
    <t>Exemple</t>
  </si>
  <si>
    <t>🟩 Vert clair (#D5E8D4)</t>
  </si>
  <si>
    <t>Cellules source saisie</t>
  </si>
  <si>
    <t>Données manuelles ou importées</t>
  </si>
  <si>
    <t>Chiffre d'affaires entité FR</t>
  </si>
  <si>
    <t>🔵 Bleu clair (#DAE8FC)</t>
  </si>
  <si>
    <t>Cellules de calcul</t>
  </si>
  <si>
    <t>NE PAS MODIFIER – formules auto</t>
  </si>
  <si>
    <t>Total consolidé agrégé</t>
  </si>
  <si>
    <t>🟠 Orange (#FFE6CC)</t>
  </si>
  <si>
    <t>Dashboards KPIs</t>
  </si>
  <si>
    <t>Lecture seule – graphiques dyn.</t>
  </si>
  <si>
    <t>Marge EBITDA groupe</t>
  </si>
  <si>
    <t>🟨 Jaune (#FFFF88)</t>
  </si>
  <si>
    <t>Hypothèses clés</t>
  </si>
  <si>
    <t>Paramètres sensibles – documenter</t>
  </si>
  <si>
    <t>Taux de change GBP/EUR</t>
  </si>
  <si>
    <t>2.  IFRS 18 – NOUVEAUTÉS (Application 2027, préparation 2025-2026)</t>
  </si>
  <si>
    <t>Nouveauté IFRS 18</t>
  </si>
  <si>
    <t>Ancien (IAS 1)</t>
  </si>
  <si>
    <t>Nouveau traitement</t>
  </si>
  <si>
    <t>Impact consolidation</t>
  </si>
  <si>
    <t>5 catégories P&amp;L obligatoires</t>
  </si>
  <si>
    <t>Présentation libre</t>
  </si>
  <si>
    <t>Opérationnel / Invest. / Financement / Impôts / Discontinu</t>
  </si>
  <si>
    <t>Reclassement total requis</t>
  </si>
  <si>
    <t>Sous-totaux imposés</t>
  </si>
  <si>
    <t>Facultatifs</t>
  </si>
  <si>
    <t>Profit avant financement &amp; impôt obligatoire</t>
  </si>
  <si>
    <t>Nouveau KPI groupe clé</t>
  </si>
  <si>
    <t>Management Performance Measures</t>
  </si>
  <si>
    <t>Non encadrées</t>
  </si>
  <si>
    <t>Divulgation &amp; réconciliation obligatoires</t>
  </si>
  <si>
    <t>Notes annexes renforcées</t>
  </si>
  <si>
    <t>Résultat opérationnel isolé</t>
  </si>
  <si>
    <t>Résultat courant libre</t>
  </si>
  <si>
    <t>Charges/produits non opérationnels exclus</t>
  </si>
  <si>
    <t>Séparation stricte analytique</t>
  </si>
  <si>
    <t>Investissement (Investing)</t>
  </si>
  <si>
    <t>Intégré résultat global</t>
  </si>
  <si>
    <t>Produits d'actifs non opérationnels isolés</t>
  </si>
  <si>
    <t>Isolation des flux invest.</t>
  </si>
  <si>
    <t>3.  ESG / CSRD – CADRE RÉGLEMENTAIRE &amp; ESRS</t>
  </si>
  <si>
    <t>Pilier CSRD/ESRS</t>
  </si>
  <si>
    <t>Standards applicables</t>
  </si>
  <si>
    <t>Indicateurs couverts dans ce fichier</t>
  </si>
  <si>
    <t>E – Environnement</t>
  </si>
  <si>
    <t>ESRS E1 (Climat), E2 (Pollution), E4 (Biodiv.)</t>
  </si>
  <si>
    <t>CO₂ scope 1-2-3, énergie renouvelable, déchets</t>
  </si>
  <si>
    <t>S – Social</t>
  </si>
  <si>
    <t>ESRS S1 (Employés), S2 (Chaîne val.)</t>
  </si>
  <si>
    <t>Effectifs, parité H/F, accidents, formation</t>
  </si>
  <si>
    <t>G – Gouvernance</t>
  </si>
  <si>
    <t>ESRS G1 (Éthique, conduite affaires)</t>
  </si>
  <si>
    <t>Diversité CA, politique anti-corruption, alertes</t>
  </si>
  <si>
    <t>CSRD Scope</t>
  </si>
  <si>
    <t>Entreprises &gt; 500 salariés ou cotées</t>
  </si>
  <si>
    <t>Rapport de durabilité obligatoire dès 2025</t>
  </si>
  <si>
    <t>4.  WORKFLOW DE CONSOLIDATION – ORDRE DE SAISIE RECOMMANDÉ</t>
  </si>
  <si>
    <t>Étape</t>
  </si>
  <si>
    <t>Onglet(s)</t>
  </si>
  <si>
    <t>Action</t>
  </si>
  <si>
    <t>① Paramétrer les taux de change</t>
  </si>
  <si>
    <t>FR_ParentCo (zone paramètres)</t>
  </si>
  <si>
    <t>Saisir les taux de clôture et moyens par devise</t>
  </si>
  <si>
    <t>② Saisir les liasses locales</t>
  </si>
  <si>
    <t>FR / DE / UK / US / SG</t>
  </si>
  <si>
    <t>Importer ou saisir balances par entité</t>
  </si>
  <si>
    <t>③ Contrôler les flux intercos</t>
  </si>
  <si>
    <t>Vérifier et valider les éliminations automatiques</t>
  </si>
  <si>
    <t>④ Vérifier la consolidation</t>
  </si>
  <si>
    <t>CONSOL_BILAN / CONSOL_CR</t>
  </si>
  <si>
    <t>Contrôler la balance des états financiers</t>
  </si>
  <si>
    <t>⑤ Compléter le mapping IFRS 18</t>
  </si>
  <si>
    <t>Reclasser les postes selon les 5 catégories</t>
  </si>
  <si>
    <t>⑥ Saisir les données ESG</t>
  </si>
  <si>
    <t>Renseigner les KPIs environnementaux, sociaux, gouvernance</t>
  </si>
  <si>
    <t>⑦ Analyser les dashboards</t>
  </si>
  <si>
    <t>DASHBOARD_FIN / DASHBOARD_ESG</t>
  </si>
  <si>
    <t>Lire les indicateurs et partager le rapport</t>
  </si>
  <si>
    <t>🇫🇷  FR_ParentCo – SOCIÉTÉ MÈRE FRANCE · Liasse Comptable Locale · Exercice 2025-2026</t>
  </si>
  <si>
    <t>⚙️  PARAMÈTRES ENTITÉ</t>
  </si>
  <si>
    <t>Entité :</t>
  </si>
  <si>
    <t>FR_ParentCo – Holding Groupe</t>
  </si>
  <si>
    <t>Pays / Devise :</t>
  </si>
  <si>
    <t>France · EUR (€)</t>
  </si>
  <si>
    <t>% Détention :</t>
  </si>
  <si>
    <t>100% – Société Mère</t>
  </si>
  <si>
    <t>Méthode :</t>
  </si>
  <si>
    <t>Taux de clôture :</t>
  </si>
  <si>
    <t>1.0000 (EUR/EUR)</t>
  </si>
  <si>
    <t>Taux moyen :</t>
  </si>
  <si>
    <t>Exercice :</t>
  </si>
  <si>
    <t>01/01/2025 – 31/12/2025</t>
  </si>
  <si>
    <t>BILAN CONSOLIDÉ LOCAL – ACTIF (en k€)</t>
  </si>
  <si>
    <t>Poste IFRS</t>
  </si>
  <si>
    <t>Compte</t>
  </si>
  <si>
    <t>N (2025) k€</t>
  </si>
  <si>
    <t>N-1 (2024) k€</t>
  </si>
  <si>
    <t>Δ k€</t>
  </si>
  <si>
    <t>Note</t>
  </si>
  <si>
    <t>ACTIFS NON COURANTS</t>
  </si>
  <si>
    <t>Immobilisations incorporelles (GW inclus)</t>
  </si>
  <si>
    <t>21xx</t>
  </si>
  <si>
    <t>Note 3 – GW</t>
  </si>
  <si>
    <t>Immobilisations corporelles (PP&amp;E)</t>
  </si>
  <si>
    <t>22xx</t>
  </si>
  <si>
    <t>IFRS 16</t>
  </si>
  <si>
    <t>Actifs droits d'utilisation (IFRS 16)</t>
  </si>
  <si>
    <t>232x</t>
  </si>
  <si>
    <t>Baux</t>
  </si>
  <si>
    <t>Participations &amp; titres mis en équivalence</t>
  </si>
  <si>
    <t>261x</t>
  </si>
  <si>
    <t>Méthode MEE</t>
  </si>
  <si>
    <t>Impôts différés actifs</t>
  </si>
  <si>
    <t>274x</t>
  </si>
  <si>
    <t>IAS 12</t>
  </si>
  <si>
    <t>Autres actifs non courants</t>
  </si>
  <si>
    <t>27xx</t>
  </si>
  <si>
    <t>TOTAL ACTIFS NON COURANTS</t>
  </si>
  <si>
    <t>ACTIFS COURANTS</t>
  </si>
  <si>
    <t>Stocks &amp; en-cours</t>
  </si>
  <si>
    <t>31xx-35xx</t>
  </si>
  <si>
    <t>IAS 2</t>
  </si>
  <si>
    <t>Créances clients &amp; comptes rattachés</t>
  </si>
  <si>
    <t>411x</t>
  </si>
  <si>
    <t>IFRS 9</t>
  </si>
  <si>
    <t>Créances intercompagnies</t>
  </si>
  <si>
    <t>451x</t>
  </si>
  <si>
    <t>⚠️ ELIM</t>
  </si>
  <si>
    <t>Autres créances &amp; charges constatées d'avance</t>
  </si>
  <si>
    <t>408x-486x</t>
  </si>
  <si>
    <t>Trésorerie &amp; équivalents</t>
  </si>
  <si>
    <t>512x-530x</t>
  </si>
  <si>
    <t>IAS 7</t>
  </si>
  <si>
    <t>TOTAL ACTIFS COURANTS</t>
  </si>
  <si>
    <t>TOTAL ACTIF</t>
  </si>
  <si>
    <t>✔ Équilibre</t>
  </si>
  <si>
    <t>BILAN – PASSIF (en k€)</t>
  </si>
  <si>
    <t>CAPITAUX PROPRES</t>
  </si>
  <si>
    <t>Capital social</t>
  </si>
  <si>
    <t>101x</t>
  </si>
  <si>
    <t>Primes d'émission &amp; réserves</t>
  </si>
  <si>
    <t>104x-106x</t>
  </si>
  <si>
    <t>Résultat de l'exercice</t>
  </si>
  <si>
    <t>120x</t>
  </si>
  <si>
    <t>Lié au CR</t>
  </si>
  <si>
    <t>Autres réserves / OCI (IFRS 9 &amp; IAS 19)</t>
  </si>
  <si>
    <t>10xx</t>
  </si>
  <si>
    <t>IAS 19</t>
  </si>
  <si>
    <t>Intérêts minoritaires (NCI)</t>
  </si>
  <si>
    <t>IFRS 10</t>
  </si>
  <si>
    <t>TOTAL CAPITAUX PROPRES</t>
  </si>
  <si>
    <t>PASSIFS NON COURANTS</t>
  </si>
  <si>
    <t>Emprunts &amp; dettes financières LT</t>
  </si>
  <si>
    <t>164x</t>
  </si>
  <si>
    <t>Dettes locatives LT (IFRS 16)</t>
  </si>
  <si>
    <t>Provisions pour risques LT</t>
  </si>
  <si>
    <t>151x</t>
  </si>
  <si>
    <t>IAS 37</t>
  </si>
  <si>
    <t>Impôts différés passifs</t>
  </si>
  <si>
    <t>155x</t>
  </si>
  <si>
    <t>TOTAL PASSIFS NON COURANTS</t>
  </si>
  <si>
    <t>PASSIFS COURANTS</t>
  </si>
  <si>
    <t>Dettes fournisseurs &amp; comptes rattachés</t>
  </si>
  <si>
    <t>401x</t>
  </si>
  <si>
    <t>Dettes financières CT &amp; lignes de crédit</t>
  </si>
  <si>
    <t>519x</t>
  </si>
  <si>
    <t>Dettes intercompagnies</t>
  </si>
  <si>
    <t>Autres dettes &amp; produits constatés d'avance</t>
  </si>
  <si>
    <t>487x</t>
  </si>
  <si>
    <t>TOTAL PASSIFS COURANTS</t>
  </si>
  <si>
    <t>TOTAL PASSIF</t>
  </si>
  <si>
    <t>COMPTE DE RÉSULTAT LOCAL – IFRS 18 (5 catégories) (en k€)</t>
  </si>
  <si>
    <t>Poste IFRS 18</t>
  </si>
  <si>
    <t>Catégorie</t>
  </si>
  <si>
    <t>Δ %</t>
  </si>
  <si>
    <t>Note IFRS</t>
  </si>
  <si>
    <t>① EXPLOITATION (OPERATING)</t>
  </si>
  <si>
    <t>Chiffre d'affaires net</t>
  </si>
  <si>
    <t>Opérationnel</t>
  </si>
  <si>
    <t>IFRS 15</t>
  </si>
  <si>
    <t>Variation de stocks de produits finis</t>
  </si>
  <si>
    <t>Autres produits opérationnels</t>
  </si>
  <si>
    <t>Achats consommés &amp; charges externes</t>
  </si>
  <si>
    <t>Charges de personnel</t>
  </si>
  <si>
    <t>Amortissements (PP&amp;E + DU IFRS 16)</t>
  </si>
  <si>
    <t>IAS 16/36</t>
  </si>
  <si>
    <t>Dotations aux provisions</t>
  </si>
  <si>
    <t>RÉSULTAT OPÉRATIONNEL (EBIT)</t>
  </si>
  <si>
    <t>🔑 KPI IFRS 18</t>
  </si>
  <si>
    <t>② INVESTISSEMENT (INVESTING)</t>
  </si>
  <si>
    <t>Dividendes reçus (hors exploitation)</t>
  </si>
  <si>
    <t>Investissement</t>
  </si>
  <si>
    <t>IFRS 18 §68</t>
  </si>
  <si>
    <t>Produits des cessions d'actifs</t>
  </si>
  <si>
    <t>Produits financiers sur placements CT</t>
  </si>
  <si>
    <t>RÉSULTAT INVESTISSEMENT</t>
  </si>
  <si>
    <t>③ FINANCEMENT (FINANCING)</t>
  </si>
  <si>
    <t>Charges d'intérêts (emprunts &amp; dettes)</t>
  </si>
  <si>
    <t>Financement</t>
  </si>
  <si>
    <t>IFRS 18 §72</t>
  </si>
  <si>
    <t>Intérêts sur dettes locatives IFRS 16</t>
  </si>
  <si>
    <t>RÉSULTAT FINANCEMENT</t>
  </si>
  <si>
    <t>④ IMPÔTS SUR LES RÉSULTATS</t>
  </si>
  <si>
    <t>Charge d'impôt courant</t>
  </si>
  <si>
    <t>Impôts</t>
  </si>
  <si>
    <t>Variation impôts différés</t>
  </si>
  <si>
    <t>RÉSULTAT AVANT DISCONTINU</t>
  </si>
  <si>
    <t>⑤ ACTIVITÉS ABANDONNÉES</t>
  </si>
  <si>
    <t>Discontinu</t>
  </si>
  <si>
    <t>IFRS 5</t>
  </si>
  <si>
    <t>RÉSULTAT NET DE L'EXERCICE</t>
  </si>
  <si>
    <t>🏆 BOTTOM LINE</t>
  </si>
  <si>
    <t>dont : Part du Groupe</t>
  </si>
  <si>
    <t>dont : Intérêts minoritaires (NCI)</t>
  </si>
  <si>
    <t>🇩🇪  DE_Filiale – FILIALE ALLEMAGNE · Exercice 2025-2026</t>
  </si>
  <si>
    <t>Allemagne · EUR (€)</t>
  </si>
  <si>
    <t>Secteur :</t>
  </si>
  <si>
    <t>BILAN LOCAL (en k€)</t>
  </si>
  <si>
    <t>N (2025)</t>
  </si>
  <si>
    <t>N-1 (2024)</t>
  </si>
  <si>
    <t>Δ</t>
  </si>
  <si>
    <t>Immobilisations incorporelles</t>
  </si>
  <si>
    <t>Impôts différés actifs &amp; autres</t>
  </si>
  <si>
    <t>Stocks</t>
  </si>
  <si>
    <t>31xx</t>
  </si>
  <si>
    <t>Créances clients</t>
  </si>
  <si>
    <t>Créances interco</t>
  </si>
  <si>
    <t>Trésorerie</t>
  </si>
  <si>
    <t>512x</t>
  </si>
  <si>
    <t>✔</t>
  </si>
  <si>
    <t>COMPTE DE RÉSULTAT LOCAL – IFRS 18 (k monnaie locale)</t>
  </si>
  <si>
    <t>Poste</t>
  </si>
  <si>
    <t>Cat. IFRS 18</t>
  </si>
  <si>
    <t>Chiffre d'affaires</t>
  </si>
  <si>
    <t>Achats &amp; charges opérat.</t>
  </si>
  <si>
    <t>Amortissements</t>
  </si>
  <si>
    <t>🔑</t>
  </si>
  <si>
    <t>Produits financiers</t>
  </si>
  <si>
    <t>IFRS 18</t>
  </si>
  <si>
    <t>Charges d'intérêts</t>
  </si>
  <si>
    <t>Charge d'impôt (IS)</t>
  </si>
  <si>
    <t>RÉSULTAT NET</t>
  </si>
  <si>
    <t>🏆</t>
  </si>
  <si>
    <t>🔄  CONVERSION EN EUR (pour consolidation)</t>
  </si>
  <si>
    <t>Taux utilisé</t>
  </si>
  <si>
    <t>Local</t>
  </si>
  <si>
    <t>Converti EUR</t>
  </si>
  <si>
    <t>Actifs/Passifs</t>
  </si>
  <si>
    <t>Taux clôture</t>
  </si>
  <si>
    <t>IAS 21 §23</t>
  </si>
  <si>
    <t>P&amp;L / Charges</t>
  </si>
  <si>
    <t>IAS 21 §39</t>
  </si>
  <si>
    <t>Capitaux propres</t>
  </si>
  <si>
    <t>Taux historique</t>
  </si>
  <si>
    <t>Écart de conversion</t>
  </si>
  <si>
    <t>Différence</t>
  </si>
  <si>
    <t>OCI (IAS 21)</t>
  </si>
  <si>
    <t>🇬🇧  UK_Filiale – FILIALE ROYAUME-UNI · Exercice 2025-2026 (GBP)</t>
  </si>
  <si>
    <t>Royaume-Uni · GBP (£) → Taux clôt. 1.1650 EUR/GBP</t>
  </si>
  <si>
    <t>1.1650 (GBP/EUR)</t>
  </si>
  <si>
    <t>1.1520 (GBP/EUR)</t>
  </si>
  <si>
    <t>BILAN LOCAL (en k£)</t>
  </si>
  <si>
    <t>🇺🇸  US_Filiale – FILIALE ÉTATS-UNIS · Exercice 2025-2026 (USD)</t>
  </si>
  <si>
    <t>États-Unis · USD ($) → Taux clôt. 0.9180 EUR/USD</t>
  </si>
  <si>
    <t>0.9180 (USD/EUR)</t>
  </si>
  <si>
    <t>0.9250 (USD/EUR)</t>
  </si>
  <si>
    <t>BILAN LOCAL (en k$)</t>
  </si>
  <si>
    <t>🇸🇬  SG_Filiale – FILIALE SINGAPOUR · Exercice 2025-2026 (SGD)</t>
  </si>
  <si>
    <t>Singapour · SGD ($SG) → Taux clôt. 0.6780 EUR/SGD</t>
  </si>
  <si>
    <t>0.6780 (SGD/EUR)</t>
  </si>
  <si>
    <t>0.6820 (SGD/EUR)</t>
  </si>
  <si>
    <t>BILAN LOCAL (en kSGD)</t>
  </si>
  <si>
    <t>🔄  ELIM – ÉCRITURES D'ÉLIMINATION INTERCOMPAGNIES &amp; INTRAGROUPE · Exercice 2025-2026</t>
  </si>
  <si>
    <t>1.  TRANSACTIONS INTERCOMPAGNIES À ÉLIMINER</t>
  </si>
  <si>
    <t>Type</t>
  </si>
  <si>
    <t>Entité Vendeuse</t>
  </si>
  <si>
    <t>Entité Acheteuse</t>
  </si>
  <si>
    <t>Poste Actif</t>
  </si>
  <si>
    <t>Poste Passif</t>
  </si>
  <si>
    <t>Montant local</t>
  </si>
  <si>
    <t>Taux</t>
  </si>
  <si>
    <t>Montant EUR k€</t>
  </si>
  <si>
    <t>Référence</t>
  </si>
  <si>
    <t>Statut</t>
  </si>
  <si>
    <t>Ventes IC marchandises</t>
  </si>
  <si>
    <t>Créances IC</t>
  </si>
  <si>
    <t>Dettes IC</t>
  </si>
  <si>
    <t>IC-2025-001</t>
  </si>
  <si>
    <t>✅ Validé</t>
  </si>
  <si>
    <t>IC-2025-002</t>
  </si>
  <si>
    <t>Ventes IC services (management fees)</t>
  </si>
  <si>
    <t>IC-2025-003</t>
  </si>
  <si>
    <t>Prêt interco</t>
  </si>
  <si>
    <t>Créance fin. IC</t>
  </si>
  <si>
    <t>Dette fin. IC</t>
  </si>
  <si>
    <t>IC-2025-004</t>
  </si>
  <si>
    <t>Dividendes IC reçus</t>
  </si>
  <si>
    <t>Produits financ.</t>
  </si>
  <si>
    <t>Dividendes versés</t>
  </si>
  <si>
    <t>IC-2025-005</t>
  </si>
  <si>
    <t>IC-2025-006</t>
  </si>
  <si>
    <t>⚠️ À vérifier</t>
  </si>
  <si>
    <t>Provision IC (risque)</t>
  </si>
  <si>
    <t>Provision actif</t>
  </si>
  <si>
    <t>Risque passif</t>
  </si>
  <si>
    <t>IC-2025-007</t>
  </si>
  <si>
    <t>TOTAL ÉLIMINATIONS IC</t>
  </si>
  <si>
    <t>2.  ÉLIMINATION DES TITRES DE PARTICIPATION &amp; GOODWILL</t>
  </si>
  <si>
    <t>Filiale</t>
  </si>
  <si>
    <t>% Acq.</t>
  </si>
  <si>
    <t>Prix acquisition</t>
  </si>
  <si>
    <t>Actif net juste val.</t>
  </si>
  <si>
    <t>Goodwill brut</t>
  </si>
  <si>
    <t>Dépréciation GW cumulée</t>
  </si>
  <si>
    <t>Goodwill net</t>
  </si>
  <si>
    <t>Intérêts minoritaires</t>
  </si>
  <si>
    <t>Méthode IFRS 3</t>
  </si>
  <si>
    <t>Date acq.</t>
  </si>
  <si>
    <t>IFRS 3 – Regroupement</t>
  </si>
  <si>
    <t>✅</t>
  </si>
  <si>
    <t>15/03/2020</t>
  </si>
  <si>
    <t>TOTAL</t>
  </si>
  <si>
    <t>3.  ÉLIMINATION DES PROFITS INTERNES (Stocks &amp; Actifs)</t>
  </si>
  <si>
    <t>Actif</t>
  </si>
  <si>
    <t>Entité vendeuse</t>
  </si>
  <si>
    <t>Entité acheteuse</t>
  </si>
  <si>
    <t>Coût revient</t>
  </si>
  <si>
    <t>Prix vente IC</t>
  </si>
  <si>
    <t>Marge IC</t>
  </si>
  <si>
    <t>Impact bilan (stock)</t>
  </si>
  <si>
    <t>Stock marchandises DE</t>
  </si>
  <si>
    <t>Stock matières UK</t>
  </si>
  <si>
    <t>TOTAL ÉLIM. PROFITS INTERNES</t>
  </si>
  <si>
    <t>4.  RÉCONCILIATION IC – CONTRÔLE DÉBIT/CRÉDIT</t>
  </si>
  <si>
    <t>Actif IC total</t>
  </si>
  <si>
    <t>Passif IC total</t>
  </si>
  <si>
    <t>Écart (doit = 0)</t>
  </si>
  <si>
    <t>Créances / Dettes commerciales IC</t>
  </si>
  <si>
    <t>Prêts / Emprunts IC financiers</t>
  </si>
  <si>
    <t>Dividendes IC</t>
  </si>
  <si>
    <t>TOTAL CONTRÔLE</t>
  </si>
  <si>
    <t>📊  BILAN CONSOLIDÉ – GROUPE MULTINATIONAL · IFRS · Exercice 2025-2026 (en k€)</t>
  </si>
  <si>
    <t>DE_Filiale (EUR)</t>
  </si>
  <si>
    <t>UK_Filiale (EUR)</t>
  </si>
  <si>
    <t>US_Filiale (EUR)</t>
  </si>
  <si>
    <t>SG_Filiale (EUR)</t>
  </si>
  <si>
    <t>AGRÉGÉ BRUT</t>
  </si>
  <si>
    <t>ÉLIMINATIONS</t>
  </si>
  <si>
    <t>CONSOLIDÉ N</t>
  </si>
  <si>
    <t>CONSOLIDÉ N-1</t>
  </si>
  <si>
    <t>⚠️  Conversion IAS 21 : UK×1.1650 · US×0.9180 · SG×0.6780 (taux clôture) | Note : données converties en EUR avant agrégation</t>
  </si>
  <si>
    <t>Goodwill net (IFRS 3)</t>
  </si>
  <si>
    <t>Autres immobi. incorporelles</t>
  </si>
  <si>
    <t>Immobilisations corporelles</t>
  </si>
  <si>
    <t>Créances interco. (éliminées)</t>
  </si>
  <si>
    <t>Autres créances &amp; CCA</t>
  </si>
  <si>
    <t>Trésorerie &amp; équivalents (IAS 7)</t>
  </si>
  <si>
    <t>🔷 TOTAL ACTIF</t>
  </si>
  <si>
    <t>CAPITAUX PROPRES (CONSOLIDÉS)</t>
  </si>
  <si>
    <t>Capital social &amp; primes</t>
  </si>
  <si>
    <t>Résultat consolidé (part groupe)</t>
  </si>
  <si>
    <t>Autres réserves &amp; OCI</t>
  </si>
  <si>
    <t>Écart de conversion (IAS 21)</t>
  </si>
  <si>
    <t>Intérêts minoritaires (NCI – IFRS 10)</t>
  </si>
  <si>
    <t>Emprunts &amp; dettes LT (IFRS 9)</t>
  </si>
  <si>
    <t>Provisions risques LT (IAS 37)</t>
  </si>
  <si>
    <t>Impôts différés passifs (IAS 12)</t>
  </si>
  <si>
    <t>Dettes fournisseurs</t>
  </si>
  <si>
    <t>Dettes financières CT</t>
  </si>
  <si>
    <t>Dettes interco. (éliminées)</t>
  </si>
  <si>
    <t>Autres dettes &amp; PCA</t>
  </si>
  <si>
    <t>🔷 TOTAL PASSIF</t>
  </si>
  <si>
    <t>✅ CONTRÔLE ÉQUILIBRE BILAN (Actif - Passif)</t>
  </si>
  <si>
    <t>📊  COMPTE DE RÉSULTAT CONSOLIDÉ – IFRS 18 · Groupe Multinational · Exercice 2025-2026 (en k€)</t>
  </si>
  <si>
    <t>🔵  IFRS 18 impose 5 catégories obligatoires : ① Exploitation · ② Investissement · ③ Financement · ④ Impôts · ⑤ Activités abandonnées</t>
  </si>
  <si>
    <t>Cat.</t>
  </si>
  <si>
    <t>AGRÉGÉ</t>
  </si>
  <si>
    <t>ÉLIM. IC</t>
  </si>
  <si>
    <t>Opérat.</t>
  </si>
  <si>
    <t>Variation de stocks</t>
  </si>
  <si>
    <t>Achats &amp; charges externes</t>
  </si>
  <si>
    <t>Amortissements (PP&amp;E + IFRS 16)</t>
  </si>
  <si>
    <t>🔑 RÉSULTAT OPÉRATIONNEL (EBIT)</t>
  </si>
  <si>
    <t>Invest.</t>
  </si>
  <si>
    <t>Produits de cessions d'actifs</t>
  </si>
  <si>
    <t>Produits financiers sur placements</t>
  </si>
  <si>
    <t>Charges d'intérêts (emprunts)</t>
  </si>
  <si>
    <t>Fin.</t>
  </si>
  <si>
    <t>Intérêts dettes locatives (IFRS 16)</t>
  </si>
  <si>
    <t>🔑🔑 PROFIT AVANT FINANCEMENT &amp; IMPÔT (IFRS 18 §65)</t>
  </si>
  <si>
    <t>🆕</t>
  </si>
  <si>
    <t>④ IMPÔTS SUR LES RÉSULTATS (IAS 12)</t>
  </si>
  <si>
    <t>Variation impôts différés (IAS 12)</t>
  </si>
  <si>
    <t>RÉSULTAT AVANT ACTIVITÉS ABANDONNÉES</t>
  </si>
  <si>
    <t>⑤ Activités abandonnées (IFRS 5)</t>
  </si>
  <si>
    <t>🏆 RÉSULTAT NET CONSOLIDÉ</t>
  </si>
  <si>
    <t xml:space="preserve">  dont : Part du Groupe</t>
  </si>
  <si>
    <t xml:space="preserve">  dont : Intérêts Minoritaires (NCI)</t>
  </si>
  <si>
    <t>📊 INDICATEURS CLÉS (KPIs) – CONSOLIDÉS</t>
  </si>
  <si>
    <t>Chiffre d'affaires groupe</t>
  </si>
  <si>
    <t>k€</t>
  </si>
  <si>
    <t>EBIT consolidé</t>
  </si>
  <si>
    <t>Marge EBIT (%)</t>
  </si>
  <si>
    <t>%</t>
  </si>
  <si>
    <t>EBITDA (EBIT + Amort.)</t>
  </si>
  <si>
    <t>Marge EBITDA (%)</t>
  </si>
  <si>
    <t>Résultat Net Groupe</t>
  </si>
  <si>
    <t>Marge nette (%)</t>
  </si>
  <si>
    <t>Profit avant fin. &amp; impôt (IFRS 18)</t>
  </si>
  <si>
    <t>💧  TABLEAU DES FLUX DE TRÉSORERIE CONSOLIDÉ – Méthode Indirecte · IFRS (IAS 7) · Exercice 2025-2026 (k€)</t>
  </si>
  <si>
    <t>Poste (IAS 7)</t>
  </si>
  <si>
    <t>A.  FLUX D'EXPLOITATION</t>
  </si>
  <si>
    <t>Résultat net consolidé</t>
  </si>
  <si>
    <t>Lien CONSOL_CR</t>
  </si>
  <si>
    <t>Amortissements &amp; dépréciations</t>
  </si>
  <si>
    <t>PP&amp;E + GW + IFRS 16</t>
  </si>
  <si>
    <t>Variation des impôts différés</t>
  </si>
  <si>
    <t>Variation du BFR (stocks, créances, dettes)</t>
  </si>
  <si>
    <t>IAS 7 §20</t>
  </si>
  <si>
    <t>Élimination résultats de cession</t>
  </si>
  <si>
    <t>Reclassé en ②</t>
  </si>
  <si>
    <t>Élimination dividendes &amp; intérêts IC</t>
  </si>
  <si>
    <t>Élim. IC</t>
  </si>
  <si>
    <t>🔵 FLUX NETS D'EXPLOITATION (A)</t>
  </si>
  <si>
    <t>✅ Contrôle</t>
  </si>
  <si>
    <t>B.  FLUX D'INVESTISSEMENT</t>
  </si>
  <si>
    <t>Acquisitions d'immobilisations (CAPEX)</t>
  </si>
  <si>
    <t>PP&amp;E + immo inc.</t>
  </si>
  <si>
    <t>Cessions d'actifs</t>
  </si>
  <si>
    <t>Produits nets</t>
  </si>
  <si>
    <t>Acquisitions de titres &amp; participations</t>
  </si>
  <si>
    <t>IFRS 3</t>
  </si>
  <si>
    <t>Variation prêts &amp; avances IC (net élim.)</t>
  </si>
  <si>
    <t>Éliminés</t>
  </si>
  <si>
    <t>🔵 FLUX NETS D'INVESTISSEMENT (B)</t>
  </si>
  <si>
    <t>C.  FLUX DE FINANCEMENT</t>
  </si>
  <si>
    <t>Emprunts nouveaux (nets remboursements)</t>
  </si>
  <si>
    <t>LT + CT</t>
  </si>
  <si>
    <t>Remboursements dettes locatives IFRS 16</t>
  </si>
  <si>
    <t>Dividendes versés aux actionnaires</t>
  </si>
  <si>
    <t>Part Groupe + NCI</t>
  </si>
  <si>
    <t>Intérêts payés</t>
  </si>
  <si>
    <t>IAS 7 option activité fin.</t>
  </si>
  <si>
    <t>🔵 FLUX NETS DE FINANCEMENT (C)</t>
  </si>
  <si>
    <t>D.  EFFET DES VARIATIONS DE CHANGE (IAS 21)</t>
  </si>
  <si>
    <t>Écarts conversion</t>
  </si>
  <si>
    <t>🔷 VARIATION NETTE DE TRÉSORERIE (A+B+C+D)</t>
  </si>
  <si>
    <t>Contrôle ↓</t>
  </si>
  <si>
    <t>Trésorerie d'ouverture (01/01/2025)</t>
  </si>
  <si>
    <t>IAS 7 §45</t>
  </si>
  <si>
    <t>🏆 TRÉSORERIE DE CLÔTURE (31/12/2025)</t>
  </si>
  <si>
    <t>⚡ CONTRÔLE (= Tréso Bilan)</t>
  </si>
  <si>
    <t>✅ OK</t>
  </si>
  <si>
    <t>Lien CONSOL_BILAN</t>
  </si>
  <si>
    <t>🗺️  MAPPING IFRS 18 – RECLASSEMENT DES POSTES DU COMPTE DE RÉSULTAT EN 5 CATÉGORIES</t>
  </si>
  <si>
    <t>⚡ IFRS 18 § 45-90 : Chaque poste de charges/produits doit être classifié dans l'UNE des 5 catégories. Les entreprises NE peuvent PAS créer leurs propres catégories.</t>
  </si>
  <si>
    <t>Poste comptable</t>
  </si>
  <si>
    <t>Catégorie IFRS 18</t>
  </si>
  <si>
    <t>§ IFRS 18</t>
  </si>
  <si>
    <t>IAS 1 (ancien)</t>
  </si>
  <si>
    <t>Commentaire pédagogique</t>
  </si>
  <si>
    <t>FR_Parent</t>
  </si>
  <si>
    <t>DE</t>
  </si>
  <si>
    <t>UK</t>
  </si>
  <si>
    <t>US</t>
  </si>
  <si>
    <t>SG</t>
  </si>
  <si>
    <t>Chiffre d'affaires (IFRS 15)</t>
  </si>
  <si>
    <t>① EXPLOITATION</t>
  </si>
  <si>
    <t>§55</t>
  </si>
  <si>
    <t>Résultat courant</t>
  </si>
  <si>
    <t>Principal moteur de valeur – toujours opérationnel</t>
  </si>
  <si>
    <t>Coûts des ventes / Achats</t>
  </si>
  <si>
    <t>Charges directement liées à la création de revenus</t>
  </si>
  <si>
    <t>Inclut avantages postérieurs emploi IAS 19</t>
  </si>
  <si>
    <t>Amortissements PP&amp;E (IAS 16)</t>
  </si>
  <si>
    <t>Actifs utilisés dans l'exploitation</t>
  </si>
  <si>
    <t>Dividendes reçus de filiales</t>
  </si>
  <si>
    <t>② INVESTISSEMENT</t>
  </si>
  <si>
    <t>§68</t>
  </si>
  <si>
    <t>Résultat financier</t>
  </si>
  <si>
    <t>Rendement d'actifs non opérationnels → isolés</t>
  </si>
  <si>
    <t>-</t>
  </si>
  <si>
    <t>Gains/pertes cessions d'actifs</t>
  </si>
  <si>
    <t>Désinvestissement – hors cycle opérationnel</t>
  </si>
  <si>
    <t>Produits financiers placements CT</t>
  </si>
  <si>
    <t>Rendement gestion de trésorerie court terme</t>
  </si>
  <si>
    <t>③ FINANCEMENT</t>
  </si>
  <si>
    <t>§72</t>
  </si>
  <si>
    <t>Coût du capital emprunté – financement de l'activité</t>
  </si>
  <si>
    <t>Intérêts dettes locatives IFRS 16</t>
  </si>
  <si>
    <t>Traité comme coût de financement per IFRS 16</t>
  </si>
  <si>
    <t>Charge IS courant</t>
  </si>
  <si>
    <t>④ IMPÔTS</t>
  </si>
  <si>
    <t>§80</t>
  </si>
  <si>
    <t>Toujours présenté séparément en IFRS 18</t>
  </si>
  <si>
    <t>Impôts différés (IAS 12)</t>
  </si>
  <si>
    <t>Variation des différences temporaires</t>
  </si>
  <si>
    <t>Activités abandonnées (IFRS 5)</t>
  </si>
  <si>
    <t>⑤ DISCONTINU</t>
  </si>
  <si>
    <t>§85</t>
  </si>
  <si>
    <t>Résultat net</t>
  </si>
  <si>
    <t>Présentation post-IS, nette séparément</t>
  </si>
  <si>
    <t>📋  NOTES ANNEXES AUX ÉTATS FINANCIERS CONSOLIDÉS – IFRS · Exercice 2025-2026</t>
  </si>
  <si>
    <t>NOTE 1 – PÉRIMÈTRE DE CONSOLIDATION (IFRS 10)</t>
  </si>
  <si>
    <t>Intégration globale pour les 5 entités (contrôle exclusif per IFRS 10). La société mère détient &gt; 50% des droits de vote dans toutes les filiales.</t>
  </si>
  <si>
    <t>Entités exclues</t>
  </si>
  <si>
    <t>Aucune entité exclue du périmètre – test de matérialité passé pour toutes.</t>
  </si>
  <si>
    <t>NOTE 2 – CONVERSION DES ÉTATS FINANCIERS ÉTRANGERS (IAS 21)</t>
  </si>
  <si>
    <t>Actifs &amp; passifs</t>
  </si>
  <si>
    <t>Convertis au taux de clôture (GBP/EUR: 1.1650 · USD/EUR: 0.9180 · SGD/EUR: 0.6780)</t>
  </si>
  <si>
    <t>Produits &amp; charges</t>
  </si>
  <si>
    <t>Convertis au taux moyen de l'exercice (GBP: 1.1520 · USD: 0.9250 · SGD: 0.6820)</t>
  </si>
  <si>
    <t>Écarts de conversion</t>
  </si>
  <si>
    <t>Comptabilisés en OCI (Autres éléments du résultat global) – non recyclables en résultat.</t>
  </si>
  <si>
    <t>NOTE 3 – GOODWILL ET REGROUPEMENTS D'ENTREPRISES (IFRS 3)</t>
  </si>
  <si>
    <t>GW brut total</t>
  </si>
  <si>
    <t>290 000 k€ | Méthode : full goodwill (NCI à la juste valeur) per IFRS 3 révisée</t>
  </si>
  <si>
    <t>Dépréciation cumulée</t>
  </si>
  <si>
    <t>14 700 k€ | Test IAS 36 annuel – aucune perte supplémentaire en 2025</t>
  </si>
  <si>
    <t>GW net</t>
  </si>
  <si>
    <t>275 300 k€ – cf. tableau détaillé onglet ELIM</t>
  </si>
  <si>
    <t>NOTE 4 – INFORMATIONS SUR LA NOUVELLE NORME IFRS 18 (APPLICATION 2027)</t>
  </si>
  <si>
    <t>Anticipation volontaire</t>
  </si>
  <si>
    <t>Ce rapport anticipe volontairement les obligations IFRS 18 pour la présentation de l'exercice 2025-2026.</t>
  </si>
  <si>
    <t>Reclassements</t>
  </si>
  <si>
    <t>Les charges financières ont été reclassées de l'Exploitation vers la catégorie Financement (impact: -37 600 k€).</t>
  </si>
  <si>
    <t>MPMs (Mgmt Perf. Measures)</t>
  </si>
  <si>
    <t>EBITDA ajusté, Free Cash Flow, ROCE → réconciliation avec le résultat IFRS disponible sur demande.</t>
  </si>
  <si>
    <t>NOTE 5 – IMPÔTS DIFFÉRÉS (IAS 12)</t>
  </si>
  <si>
    <t>IDA (Actifs)</t>
  </si>
  <si>
    <t>36 341 k€ – Principalement sur provisions non déductibles et déficits reportables</t>
  </si>
  <si>
    <t>IDP (Passifs)</t>
  </si>
  <si>
    <t>52 710 k€ – Principalement sur différences temporelles actifs immobilisés</t>
  </si>
  <si>
    <t>Taux effectif d'imposition</t>
  </si>
  <si>
    <t>Taux effectif consolidé 2025: 31.2% (vs taux nominal FR: 25%)</t>
  </si>
  <si>
    <t>NOTE 6 – AVANTAGES DU PERSONNEL (IAS 19)</t>
  </si>
  <si>
    <t>Régimes à prestations définies</t>
  </si>
  <si>
    <t>Présents en France (régime retraite) et Allemagne (pensions). Actuaire externe consulté.</t>
  </si>
  <si>
    <t>Obligation nette</t>
  </si>
  <si>
    <t>22 400 k€ | Taux d'actualisation: 3.8% (zone EUR) / 4.9% (UK) / 5.1% (US)</t>
  </si>
  <si>
    <t>🌱  ESG_DATA – DONNÉES ESG BRUTES · Indicateurs Environnement / Social / Gouvernance · Exercice 2025-2026</t>
  </si>
  <si>
    <t>🌍 ENVIRONNEMENT – ESRS E1 (Changement Climatique) &amp; E2 (Pollution)</t>
  </si>
  <si>
    <t>Indicateur ESRS</t>
  </si>
  <si>
    <t>Standard</t>
  </si>
  <si>
    <t>Unité</t>
  </si>
  <si>
    <t>TOTAL GROUPE</t>
  </si>
  <si>
    <t>Émissions GES Scope 1 (directes)</t>
  </si>
  <si>
    <t>E1-6</t>
  </si>
  <si>
    <t>tCO₂eq</t>
  </si>
  <si>
    <t>Émissions GES Scope 2 (énergie)</t>
  </si>
  <si>
    <t>Émissions GES Scope 3 (chaîne val.)</t>
  </si>
  <si>
    <t>Intensité carbone (tCO₂/M€ CA)</t>
  </si>
  <si>
    <t>tCO₂/M€</t>
  </si>
  <si>
    <t>Consommation énergétique totale</t>
  </si>
  <si>
    <t>E1-5</t>
  </si>
  <si>
    <t>GWh</t>
  </si>
  <si>
    <t>Part énergie renouvelable</t>
  </si>
  <si>
    <t>Eau consommée</t>
  </si>
  <si>
    <t>E2-7</t>
  </si>
  <si>
    <t>m³ k</t>
  </si>
  <si>
    <t>Déchets produits (total)</t>
  </si>
  <si>
    <t>E2-8</t>
  </si>
  <si>
    <t>t</t>
  </si>
  <si>
    <t>dont : déchets valorisés (%)</t>
  </si>
  <si>
    <t>👥 SOCIAL – ESRS S1 (Propres Employés)</t>
  </si>
  <si>
    <t>Effectifs totaux (ETP)</t>
  </si>
  <si>
    <t>S1-6</t>
  </si>
  <si>
    <t>ETP</t>
  </si>
  <si>
    <t>Nouveaux recrutements</t>
  </si>
  <si>
    <t>nb</t>
  </si>
  <si>
    <t>Taux de turnover</t>
  </si>
  <si>
    <t>Part femmes (% total)</t>
  </si>
  <si>
    <t>S1-9</t>
  </si>
  <si>
    <t>Part femmes cadres dirigeants</t>
  </si>
  <si>
    <t>Taux d'accidents (TRIR)</t>
  </si>
  <si>
    <t>S1-11</t>
  </si>
  <si>
    <t>per M heures</t>
  </si>
  <si>
    <t>Heures de formation / employé</t>
  </si>
  <si>
    <t>S1-13</t>
  </si>
  <si>
    <t>h/emp/an</t>
  </si>
  <si>
    <t>Part CDI vs. total</t>
  </si>
  <si>
    <t>Salaire médian (k€/an)</t>
  </si>
  <si>
    <t>S1-16</t>
  </si>
  <si>
    <t>Écart salarial H/F (%)</t>
  </si>
  <si>
    <t>⚖️ GOUVERNANCE – ESRS G1 (Éthique &amp; Conduite des Affaires)</t>
  </si>
  <si>
    <t>Indicateur ESRS G1</t>
  </si>
  <si>
    <t>Valeur Groupe 2025</t>
  </si>
  <si>
    <t>Détail / Note</t>
  </si>
  <si>
    <t>Diversité CA (% femmes)</t>
  </si>
  <si>
    <t>6 femmes / 15 membres total – CA Groupe</t>
  </si>
  <si>
    <t>Diversité CA (% nationalités)</t>
  </si>
  <si>
    <t>9 nationalités représentées au CA</t>
  </si>
  <si>
    <t>Politique anti-corruption</t>
  </si>
  <si>
    <t>✅ Déployée</t>
  </si>
  <si>
    <t>Code éthique + formation obligatoire 100% dirigeants</t>
  </si>
  <si>
    <t>Incidents anti-corruption reportés</t>
  </si>
  <si>
    <t>Traités via procédure disciplinaire interne</t>
  </si>
  <si>
    <t>Lanceurs d'alerte (whistleblowing)</t>
  </si>
  <si>
    <t>✅ Actif</t>
  </si>
  <si>
    <t>Ligne confidentielle externe opérée par tier indépendant</t>
  </si>
  <si>
    <t>Alertes reçues &amp; traitées</t>
  </si>
  <si>
    <t>18 / 18</t>
  </si>
  <si>
    <t>Délai moyen de traitement : 28 jours</t>
  </si>
  <si>
    <t>Fournisseurs évalués ESG</t>
  </si>
  <si>
    <t>Scope: fournisseurs représentant &gt; 80% des achats</t>
  </si>
  <si>
    <t>Politique fiscale publiée</t>
  </si>
  <si>
    <t>✅ Publiée</t>
  </si>
  <si>
    <t>Country-by-Country reporting conforme OCDE BEPS</t>
  </si>
  <si>
    <t>Taux impôt effectif</t>
  </si>
  <si>
    <t>vs. taux nominal FR: 25% – réconciliation Note 5</t>
  </si>
  <si>
    <t>🌿  RAPPORT DE DURABILITÉ CSRD – ESRS · Groupe Multinational · Exercice 2025-2026</t>
  </si>
  <si>
    <t>Conforme CSRD (Dir. 2022/2464) · Standards ESRS (Commission Européenne) · Rapport intégré au rapport annuel</t>
  </si>
  <si>
    <t>ESRS 2 – INFORMATIONS GÉNÉRALES (Transversal – Obligatoire)</t>
  </si>
  <si>
    <t>Référence ESRS</t>
  </si>
  <si>
    <t>Exigence</t>
  </si>
  <si>
    <t>Réponse / Données 2025</t>
  </si>
  <si>
    <t>GOV-1</t>
  </si>
  <si>
    <t>Rôle des organes d'administration</t>
  </si>
  <si>
    <t>CA a supervisé la stratégie ESG en 4 réunions dédiées en 2025</t>
  </si>
  <si>
    <t>GOV-2</t>
  </si>
  <si>
    <t>Information &amp; contrôle des risques ESG</t>
  </si>
  <si>
    <t>Comité RSE trimestriel – reporting direct au DG</t>
  </si>
  <si>
    <t>SBM-1</t>
  </si>
  <si>
    <t>Stratégie &amp; modèle d'affaires</t>
  </si>
  <si>
    <t>Transition énergétique intégrée dans plan stratégique 2025-2030</t>
  </si>
  <si>
    <t>IRO-1</t>
  </si>
  <si>
    <t>Impacts, risques &amp; opportunités</t>
  </si>
  <si>
    <t>Double matérialité réalisée – 18 enjeux identifiés</t>
  </si>
  <si>
    <t>E1 – CHANGEMENT CLIMATIQUE</t>
  </si>
  <si>
    <t>E1-1</t>
  </si>
  <si>
    <t>Plan de transition climatique</t>
  </si>
  <si>
    <t>Objectif Net Zéro 2045 · -50% scope 1+2 d'ici 2030 (base 2020)</t>
  </si>
  <si>
    <t>E1-4</t>
  </si>
  <si>
    <t>Cibles réduction GES</t>
  </si>
  <si>
    <t>Scope 1+2: -50% en 2030 · Scope 3: -30% en 2030 vs 2020</t>
  </si>
  <si>
    <t>Émissions GES brutes Scope 1+2</t>
  </si>
  <si>
    <t>106 200 tCO₂eq (Scope 1: 68 500 · Scope 2: 37 700)</t>
  </si>
  <si>
    <t>Émissions GES Scope 3</t>
  </si>
  <si>
    <t>512 000 tCO₂eq – catégories 1,4,11 les plus significatives</t>
  </si>
  <si>
    <t>E1-7</t>
  </si>
  <si>
    <t>Absorptions GES</t>
  </si>
  <si>
    <t>8 400 tCO₂eq (projets forestiers certifiés Gold Standard)</t>
  </si>
  <si>
    <t>E1-8</t>
  </si>
  <si>
    <t>Prix interne du carbone</t>
  </si>
  <si>
    <t>35 €/tCO₂ (utilisé pour décisions investissement)</t>
  </si>
  <si>
    <t>E1-9</t>
  </si>
  <si>
    <t>Exposition risques climatiques physiques</t>
  </si>
  <si>
    <t>Risque inondations sites DE &amp; US · évaluation actuarielle</t>
  </si>
  <si>
    <t>E2 – POLLUTION</t>
  </si>
  <si>
    <t>E2-4</t>
  </si>
  <si>
    <t>Émissions polluantes air/eau/sol</t>
  </si>
  <si>
    <t>Conformité réglementaire totale – aucun dépassement en 2025</t>
  </si>
  <si>
    <t>Production déchets &amp; valorisation</t>
  </si>
  <si>
    <t>7 450 t déchets produits · 71% valorisés (recyclage + énergie)</t>
  </si>
  <si>
    <t>S1 – PROPRES EFFECTIFS</t>
  </si>
  <si>
    <t>Caractéristiques de l'effectif</t>
  </si>
  <si>
    <t>7 270 ETP · 43% CDI · Présence dans 5 pays</t>
  </si>
  <si>
    <t>Diversité &amp; inclusion</t>
  </si>
  <si>
    <t>43% femmes total · 38% femmes dirigeants · Objectif 45% en 2028</t>
  </si>
  <si>
    <t>Santé &amp; sécurité</t>
  </si>
  <si>
    <t>TRIR consolidé: 2.6 · Objectif 2026: &lt; 2.0 · 0 accident mortel</t>
  </si>
  <si>
    <t>Formation &amp; développement</t>
  </si>
  <si>
    <t>46h/emp/an · Budget formation: 2.8 M€ · Plan développement RH</t>
  </si>
  <si>
    <t>Rémunération équitable</t>
  </si>
  <si>
    <t>Écart salarial H/F: -12% · Plan égalité salariale d'ici 2027</t>
  </si>
  <si>
    <t>G1 – CONDUITE DES AFFAIRES</t>
  </si>
  <si>
    <t>G1-1</t>
  </si>
  <si>
    <t>Culture d'entreprise &amp; éthique</t>
  </si>
  <si>
    <t>Code éthique publié · Formation obligatoire 100% collaborateurs</t>
  </si>
  <si>
    <t>G1-2</t>
  </si>
  <si>
    <t>Gestion des relations fournisseurs</t>
  </si>
  <si>
    <t>68% fournisseurs (par achats) évalués sur critères ESG</t>
  </si>
  <si>
    <t>G1-3</t>
  </si>
  <si>
    <t>Prévention corruption &amp; corruption active</t>
  </si>
  <si>
    <t>2 incidents traités · Ligne alerte externe indépendante active</t>
  </si>
  <si>
    <t>G1-6</t>
  </si>
  <si>
    <t>Pratiques fiscales</t>
  </si>
  <si>
    <t>CbCR OCDE publié · ETR: 31.2% · Pas de structure d'optimisation agressive</t>
  </si>
  <si>
    <t>📊  DASHBOARD FINANCIER – GROUPE MULTINATIONAL · Exercice 2025-2026</t>
  </si>
  <si>
    <t>Consolidé IFRS 18 · 5 entités · Données en k€ · ↻ Automatique (liée à CONSOL_CR &amp; CONSOL_BILAN)</t>
  </si>
  <si>
    <t>CHIFFRE D'AFFAIRES</t>
  </si>
  <si>
    <t>Groupe consolidé N-2025</t>
  </si>
  <si>
    <t>EBIT OPÉRATIONNEL</t>
  </si>
  <si>
    <t>Résultat opérationnel IFRS 18</t>
  </si>
  <si>
    <t>MARGE EBIT</t>
  </si>
  <si>
    <t>% du CA consolidé</t>
  </si>
  <si>
    <t>RÉSULTAT NET GROUPE</t>
  </si>
  <si>
    <t>Après impôts &amp; NCI</t>
  </si>
  <si>
    <t>TRÉSORERIE CLÔTURE</t>
  </si>
  <si>
    <t>IAS 7 · 31/12/2025</t>
  </si>
  <si>
    <t>EBITDA</t>
  </si>
  <si>
    <t>MARGE EBITDA</t>
  </si>
  <si>
    <t>CAPEX (INVEST.)</t>
  </si>
  <si>
    <t>DETTE NETTE</t>
  </si>
  <si>
    <t>PROF. AVT FIN. &amp; IMPÔT (IFRS 18)</t>
  </si>
  <si>
    <t>CONTRIBUTION CA PAR ENTITÉ (PART DU CA GROUPE)</t>
  </si>
  <si>
    <t>CA Local</t>
  </si>
  <si>
    <t>CA en EUR k€</t>
  </si>
  <si>
    <t>% Groupe</t>
  </si>
  <si>
    <t>Marge EBIT %</t>
  </si>
  <si>
    <t>GBP→EUR</t>
  </si>
  <si>
    <t>USD→EUR</t>
  </si>
  <si>
    <t>SGD→EUR</t>
  </si>
  <si>
    <t>—</t>
  </si>
  <si>
    <t>DÉCOMPOSITION RÉSULTAT PAR CATÉGORIE IFRS 18</t>
  </si>
  <si>
    <t>Montant N (k€)</t>
  </si>
  <si>
    <t>Montant N-1 (k€)</t>
  </si>
  <si>
    <t>% du CA</t>
  </si>
  <si>
    <t>① Résultat Exploitation (EBIT)</t>
  </si>
  <si>
    <t>② Résultat Investissement</t>
  </si>
  <si>
    <t>🔑 Profit avant Fin. &amp; Impôt (IFRS 18)</t>
  </si>
  <si>
    <t>③ Résultat Financement</t>
  </si>
  <si>
    <t>④ Impôts sur résultats</t>
  </si>
  <si>
    <t>⑤ Activités abandonnées</t>
  </si>
  <si>
    <t>🏆 Résultat Net Consolidé</t>
  </si>
  <si>
    <t>🌿  DASHBOARD ESG – GROUPE MULTINATIONAL · Exercice 2025-2026 · Conformité CSRD/ESRS</t>
  </si>
  <si>
    <t>Données liées à ESG_DATA · Indicateurs ESRS E1/S1/G1 · Mise à jour automatique</t>
  </si>
  <si>
    <t>SCORE ESG GLOBAL GROUPE</t>
  </si>
  <si>
    <t>E – Score Environnement</t>
  </si>
  <si>
    <t>72/100</t>
  </si>
  <si>
    <t>Objectif 2026: 78</t>
  </si>
  <si>
    <t>S – Score Social</t>
  </si>
  <si>
    <t>68/100</t>
  </si>
  <si>
    <t>Objectif 2026: 75</t>
  </si>
  <si>
    <t>G – Score Gouvernance</t>
  </si>
  <si>
    <t>81/100</t>
  </si>
  <si>
    <t>Objectif 2026: 85</t>
  </si>
  <si>
    <t>🏆 SCORE GLOBAL ESG</t>
  </si>
  <si>
    <t>74/100</t>
  </si>
  <si>
    <t>Benchmark sectoriel: 65/100</t>
  </si>
  <si>
    <t>🌍 INDICATEURS CLIMATIQUES – ESRS E1</t>
  </si>
  <si>
    <t>KPI</t>
  </si>
  <si>
    <t>Groupe 2025</t>
  </si>
  <si>
    <t>Groupe 2024</t>
  </si>
  <si>
    <t>Objectif 2030</t>
  </si>
  <si>
    <t>Source</t>
  </si>
  <si>
    <t>Scope 1+2 (tCO₂eq)</t>
  </si>
  <si>
    <t>Énergie renouvelable (%)</t>
  </si>
  <si>
    <t>Consommation eau (m³k)</t>
  </si>
  <si>
    <t>Taux valorisation déchets (%)</t>
  </si>
  <si>
    <t>👥 INDICATEURS SOCIAUX – ESRS S1</t>
  </si>
  <si>
    <t>Objectif 2026</t>
  </si>
  <si>
    <t>→ Croissance</t>
  </si>
  <si>
    <t>% Femmes (total)</t>
  </si>
  <si>
    <t>% Femmes dirigeantes</t>
  </si>
  <si>
    <t>TRIR (accidents)</t>
  </si>
  <si>
    <t>Formation h/emp/an</t>
  </si>
  <si>
    <t>→ Réduction en cours</t>
  </si>
  <si>
    <t>⚖️ INDICATEURS GOUVERNANCE – ESRS G1</t>
  </si>
  <si>
    <t>Indicateur</t>
  </si>
  <si>
    <t>Valeur 2025</t>
  </si>
  <si>
    <t>Commentaire</t>
  </si>
  <si>
    <t>% Femmes au CA</t>
  </si>
  <si>
    <t>Objectif réglementaire: 40% (loi Rixain FR)</t>
  </si>
  <si>
    <t>Sur volume d'achats &gt; seuil</t>
  </si>
  <si>
    <t>Alertes whistleblowing traitées</t>
  </si>
  <si>
    <t>100% de traitement – objectif atteint</t>
  </si>
  <si>
    <t>Déploiement: 100% dirigeants</t>
  </si>
  <si>
    <t>Taux effectif d'imposition (ETR)</t>
  </si>
  <si>
    <t>CbCR publié – OCDE BEPS conforme</t>
  </si>
  <si>
    <t>DONNÉES GRAPHIQUES – Répartition CA par Entité</t>
  </si>
  <si>
    <t>CA Groupe (k€)</t>
  </si>
  <si>
    <t>EBIT (k€)</t>
  </si>
  <si>
    <t>Marge EBIT</t>
  </si>
  <si>
    <t>DONNÉES GRAPHIQUES – Décomposition IFRS 18</t>
  </si>
  <si>
    <t>Exploitation (EBIT)</t>
  </si>
  <si>
    <t>Résultat Net</t>
  </si>
  <si>
    <t>📁  SRC_FR – FR_ParentCo · Fichier Source Liasse Comptable 2025 (Format CSV simulé)</t>
  </si>
  <si>
    <t>CodeCompte</t>
  </si>
  <si>
    <t>Libellé</t>
  </si>
  <si>
    <t>Montant</t>
  </si>
  <si>
    <t>Mois</t>
  </si>
  <si>
    <t>TypeFlux</t>
  </si>
  <si>
    <t>CatIFRS18</t>
  </si>
  <si>
    <t>Ventes de marchandises</t>
  </si>
  <si>
    <t>Crédit</t>
  </si>
  <si>
    <t>Prestations de services</t>
  </si>
  <si>
    <t>Refacturations interco (IC)</t>
  </si>
  <si>
    <t>Élimination_IC</t>
  </si>
  <si>
    <t>Achats de marchandises</t>
  </si>
  <si>
    <t>Débit</t>
  </si>
  <si>
    <t>Sous-traitance générale</t>
  </si>
  <si>
    <t>Salaires bruts</t>
  </si>
  <si>
    <t>Amortissement immobilisations</t>
  </si>
  <si>
    <t>Amortissement droits d'utilisation (IFRS 16)</t>
  </si>
  <si>
    <t>Produits de participations (dividendes IC)</t>
  </si>
  <si>
    <t>Investissement_IC</t>
  </si>
  <si>
    <t>Produits sur cessions actifs</t>
  </si>
  <si>
    <t>Revenus des placements CT</t>
  </si>
  <si>
    <t>Charges d'intérêts emprunts</t>
  </si>
  <si>
    <t>Fonds commercial (Goodwill)</t>
  </si>
  <si>
    <t>Bilan</t>
  </si>
  <si>
    <t>Installations &amp; agencements</t>
  </si>
  <si>
    <t>Droits d'utilisation IFRS 16</t>
  </si>
  <si>
    <t>Titres de participation</t>
  </si>
  <si>
    <t>Stocks de marchandises</t>
  </si>
  <si>
    <t>Créances interco (IC)</t>
  </si>
  <si>
    <t>Bilan_IC</t>
  </si>
  <si>
    <t>Banques &amp; caisses</t>
  </si>
  <si>
    <t>Passif</t>
  </si>
  <si>
    <t>Réserves consolidées</t>
  </si>
  <si>
    <t>Emprunts LT</t>
  </si>
  <si>
    <t>Dettes locatives LT IFRS 16</t>
  </si>
  <si>
    <t>Dettes interco (IC)</t>
  </si>
  <si>
    <t>📁  SRC_DE – DE_Filiale · Fichier Source Liasse Comptable 2025 · Devise: EUR</t>
  </si>
  <si>
    <t>Umsatzerlöse Waren (CA marchandises)</t>
  </si>
  <si>
    <t>Dienstleistungserlöse (Prestations svcs)</t>
  </si>
  <si>
    <t>Konzernverrechnungen (Interco reçu)</t>
  </si>
  <si>
    <t>Wareneinkauf (Achats marchandises)</t>
  </si>
  <si>
    <t>Personalkosten (Charges personnel)</t>
  </si>
  <si>
    <t>Abschreibungen (Amortissements)</t>
  </si>
  <si>
    <t>Veräußerungsgewinne (Cessions actifs)</t>
  </si>
  <si>
    <t>Zinserträge (Produits financiers)</t>
  </si>
  <si>
    <t>Zinsaufwendungen (Charges intérêts)</t>
  </si>
  <si>
    <t>Körperschaftsteuer (IS courant)</t>
  </si>
  <si>
    <t>Geschäftswert (Goodwill)</t>
  </si>
  <si>
    <t>Sachanlagen (PP&amp;E)</t>
  </si>
  <si>
    <t>Vorräte (Stocks)</t>
  </si>
  <si>
    <t>Forderungen (Créances clients)</t>
  </si>
  <si>
    <t>Konzernforderungen (Créances IC)</t>
  </si>
  <si>
    <t>Bankguthaben (Trésorerie)</t>
  </si>
  <si>
    <t>Bankverbindlichkeiten (Emprunts LT)</t>
  </si>
  <si>
    <t>Verbindlichkeiten (Fournisseurs)</t>
  </si>
  <si>
    <t>Konzernverbindlichkeiten (Dettes IC)</t>
  </si>
  <si>
    <t>📁  SRC_UK – UK_Filiale · Fichier Source Liasse Comptable 2025 · Devise: GBP</t>
  </si>
  <si>
    <t>Revenue from goods (CA marchandises)</t>
  </si>
  <si>
    <t>Technology services revenue</t>
  </si>
  <si>
    <t>Intercompany management fees (IC)</t>
  </si>
  <si>
    <t>Cost of goods sold</t>
  </si>
  <si>
    <t>External services &amp; consulting</t>
  </si>
  <si>
    <t>Staff costs (Charges personnel)</t>
  </si>
  <si>
    <t>Depreciation (Amortissements)</t>
  </si>
  <si>
    <t>Proceeds from asset disposal</t>
  </si>
  <si>
    <t>Interest income (Produits fin.)</t>
  </si>
  <si>
    <t>Interest expense (Charges intérêts)</t>
  </si>
  <si>
    <t>IFRS 16 lease interest</t>
  </si>
  <si>
    <t>Corporation tax (IS)</t>
  </si>
  <si>
    <t>Goodwill &amp; intangibles</t>
  </si>
  <si>
    <t>Property plant &amp; equipment (PP&amp;E)</t>
  </si>
  <si>
    <t>Inventories (Stocks)</t>
  </si>
  <si>
    <t>Trade receivables (Créances clients)</t>
  </si>
  <si>
    <t>Interco receivables (IC)</t>
  </si>
  <si>
    <t>Cash &amp; equivalents</t>
  </si>
  <si>
    <t>Bank loans (Emprunts LT)</t>
  </si>
  <si>
    <t>Trade payables (Fournisseurs)</t>
  </si>
  <si>
    <t>Interco payables (Dettes IC)</t>
  </si>
  <si>
    <t>📁  SRC_US – US_Filiale · Fichier Source Liasse Comptable 2025 · Devise: USD</t>
  </si>
  <si>
    <t>Net sales revenue (CA)</t>
  </si>
  <si>
    <t>Service income</t>
  </si>
  <si>
    <t>Intercompany recharges (IC)</t>
  </si>
  <si>
    <t>Payroll &amp; benefits</t>
  </si>
  <si>
    <t>D&amp;A (Amortissements)</t>
  </si>
  <si>
    <t>Gain on disposal</t>
  </si>
  <si>
    <t>Investment income</t>
  </si>
  <si>
    <t>Interest expense</t>
  </si>
  <si>
    <t>IFRS 16 finance charge</t>
  </si>
  <si>
    <t>Federal &amp; state income tax</t>
  </si>
  <si>
    <t>Intangibles incl. Goodwill</t>
  </si>
  <si>
    <t>PP&amp;E (net)</t>
  </si>
  <si>
    <t>Inventories</t>
  </si>
  <si>
    <t>Trade receivables</t>
  </si>
  <si>
    <t>Due from affiliates (IC)</t>
  </si>
  <si>
    <t>Cash &amp; short-term investments</t>
  </si>
  <si>
    <t>Long-term debt</t>
  </si>
  <si>
    <t>Accounts payable</t>
  </si>
  <si>
    <t>Due to affiliates (Dettes IC)</t>
  </si>
  <si>
    <t>📁  SRC_SG – SG_Filiale · Fichier Source Liasse Comptable 2025 · Devise: SGD</t>
  </si>
  <si>
    <t>Revenue from financial services (CA)</t>
  </si>
  <si>
    <t>Advisory &amp; management services</t>
  </si>
  <si>
    <t>Interco management charges received (IC)</t>
  </si>
  <si>
    <t>Direct operating costs</t>
  </si>
  <si>
    <t>Professional &amp; outsourced services</t>
  </si>
  <si>
    <t>Employee costs (Charges personnel)</t>
  </si>
  <si>
    <t>Investment income (Produits fin.)</t>
  </si>
  <si>
    <t>Lease interest IFRS 16</t>
  </si>
  <si>
    <t>Singapore corporate income tax</t>
  </si>
  <si>
    <t>Intangibles &amp; Goodwill</t>
  </si>
  <si>
    <t>Plant &amp; equipment</t>
  </si>
  <si>
    <t>Receivables</t>
  </si>
  <si>
    <t>Cash at bank</t>
  </si>
  <si>
    <t>Bank borrowings</t>
  </si>
  <si>
    <t>Trade payables</t>
  </si>
  <si>
    <t>🗺️  PQ_MAPPING – TABLE DE CORRESPONDANCE : Plan Comptable Local → Poste IFRS 18 Groupe</t>
  </si>
  <si>
    <t>⚡  Cette table est chargée par Power Query pour reclasser automatiquement les postes comptables locaux vers les 5 catégories IFRS 18 – Modifiable sans toucher au code M</t>
  </si>
  <si>
    <t>CodeSource</t>
  </si>
  <si>
    <t>Libellé Source</t>
  </si>
  <si>
    <t>PosteGroupeIFRS18</t>
  </si>
  <si>
    <t>SousPosteIFRS18</t>
  </si>
  <si>
    <t>SigneConvention</t>
  </si>
  <si>
    <t>InclusDansBFR</t>
  </si>
  <si>
    <t>IC_Flag</t>
  </si>
  <si>
    <t>NormeRef</t>
  </si>
  <si>
    <t>Ventes de marchandises / Revenue</t>
  </si>
  <si>
    <t>CR</t>
  </si>
  <si>
    <t>Ventes biens</t>
  </si>
  <si>
    <t>CRÉDIT</t>
  </si>
  <si>
    <t>Non</t>
  </si>
  <si>
    <t>Revenus tirés de contrats clients</t>
  </si>
  <si>
    <t>Prestations de services / Services revenue</t>
  </si>
  <si>
    <t>Prestations services</t>
  </si>
  <si>
    <t>Ventes de produits finis</t>
  </si>
  <si>
    <t>Ventes produits</t>
  </si>
  <si>
    <t>Production vendue</t>
  </si>
  <si>
    <t>Autres produits d'activité</t>
  </si>
  <si>
    <t>Produits accessoires</t>
  </si>
  <si>
    <t>Produits courants hors ventes</t>
  </si>
  <si>
    <t>Refacturations intercompagnies (IC)</t>
  </si>
  <si>
    <t>Élimination IC</t>
  </si>
  <si>
    <t>Interco - à éliminer</t>
  </si>
  <si>
    <t>OUI</t>
  </si>
  <si>
    <t>⚠️ À ÉLIMINER en consolidation</t>
  </si>
  <si>
    <t>Variation de stocks produits finis</t>
  </si>
  <si>
    <t>Production stockée</t>
  </si>
  <si>
    <t>Variation stock en-cours et PF</t>
  </si>
  <si>
    <t>Subventions d'exploitation</t>
  </si>
  <si>
    <t>Subventions</t>
  </si>
  <si>
    <t>IAS 20</t>
  </si>
  <si>
    <t>Aides publiques liées à activité</t>
  </si>
  <si>
    <t>Redevances &amp; licences reçues</t>
  </si>
  <si>
    <t>Redevances</t>
  </si>
  <si>
    <t>Licences &amp; propriété intellectuelle</t>
  </si>
  <si>
    <t>Achats de marchandises / COGS</t>
  </si>
  <si>
    <t>CH</t>
  </si>
  <si>
    <t>Achats et charges externes</t>
  </si>
  <si>
    <t>Coût des ventes</t>
  </si>
  <si>
    <t>DÉBIT</t>
  </si>
  <si>
    <t>Achats directs liés au CA</t>
  </si>
  <si>
    <t>Achats de matières premières</t>
  </si>
  <si>
    <t>Matières premières</t>
  </si>
  <si>
    <t>MP consommées</t>
  </si>
  <si>
    <t>Sous-traitance de production</t>
  </si>
  <si>
    <t>Sous-traitance</t>
  </si>
  <si>
    <t>IAS 16</t>
  </si>
  <si>
    <t>Externalisation production</t>
  </si>
  <si>
    <t>Personnel extérieur &amp; consulting</t>
  </si>
  <si>
    <t>Charges externes</t>
  </si>
  <si>
    <t>Recours prestataires</t>
  </si>
  <si>
    <t>Honoraires &amp; commissions</t>
  </si>
  <si>
    <t>Honoraires</t>
  </si>
  <si>
    <t>Conseils juridiques, audit</t>
  </si>
  <si>
    <t>Déplacements &amp; frais de représentation</t>
  </si>
  <si>
    <t>Frais généraux</t>
  </si>
  <si>
    <t>Voyages d'affaires</t>
  </si>
  <si>
    <t>Frais postaux &amp; télécommunications</t>
  </si>
  <si>
    <t>IT &amp; telecom</t>
  </si>
  <si>
    <t>Services bancaires (hors intérêts)</t>
  </si>
  <si>
    <t>Frais bancaires</t>
  </si>
  <si>
    <t>Commissions bancaires courantes</t>
  </si>
  <si>
    <t>Charges de personnel (total masse salariale)</t>
  </si>
  <si>
    <t>Personnel total</t>
  </si>
  <si>
    <t>Salaires + charges sociales</t>
  </si>
  <si>
    <t>Salaires</t>
  </si>
  <si>
    <t>Rémunérations fixes &amp; variables</t>
  </si>
  <si>
    <t>Cotisations sociales patronales</t>
  </si>
  <si>
    <t>Charges sociales</t>
  </si>
  <si>
    <t>Sécurité sociale, retraites</t>
  </si>
  <si>
    <t>Autres charges de gestion courante</t>
  </si>
  <si>
    <t>Charges diverses exploitation</t>
  </si>
  <si>
    <t>Dotations amortissements PP&amp;E (IAS 16)</t>
  </si>
  <si>
    <t>Amort. PP&amp;E</t>
  </si>
  <si>
    <t>Usure économique des actifs corporels</t>
  </si>
  <si>
    <t>Dotations amortissements incorporels</t>
  </si>
  <si>
    <t>Amort. incorporels</t>
  </si>
  <si>
    <t>IAS 38</t>
  </si>
  <si>
    <t>Logiciels, brevets, marques</t>
  </si>
  <si>
    <t>Dépréciation goodwill (IFRS 3 / IAS 36)</t>
  </si>
  <si>
    <t>Dépréciation GW</t>
  </si>
  <si>
    <t>IAS 36</t>
  </si>
  <si>
    <t>Test annuel de dépréciation</t>
  </si>
  <si>
    <t>Amortissement droits d'utilisation IFRS 16</t>
  </si>
  <si>
    <t>Amort. DU IFRS 16</t>
  </si>
  <si>
    <t>Composante amortissement des baux</t>
  </si>
  <si>
    <t>Dotations provisions risques &amp; charges</t>
  </si>
  <si>
    <t>Provisions</t>
  </si>
  <si>
    <t>Provisions pour litiges, restructuring</t>
  </si>
  <si>
    <t>Dividendes reçus (filiales non conso ou IC éliminé)</t>
  </si>
  <si>
    <t>PR</t>
  </si>
  <si>
    <t>Résultat investissement</t>
  </si>
  <si>
    <t>Dividendes reçus</t>
  </si>
  <si>
    <t>🆕 IFRS 18 : isole de l'exploitation</t>
  </si>
  <si>
    <t>Produits de cessions d'actifs non courants</t>
  </si>
  <si>
    <t>Plus-values cessions</t>
  </si>
  <si>
    <t>Désinvestissement d'immobilisations</t>
  </si>
  <si>
    <t>Revenus placements &amp; trésorerie CT</t>
  </si>
  <si>
    <t>Intérêts sur comptes, placements MM</t>
  </si>
  <si>
    <t>Moins-values sur cessions d'actifs</t>
  </si>
  <si>
    <t>Moins-values cessions</t>
  </si>
  <si>
    <t>Perte sur cession d'immobilisations</t>
  </si>
  <si>
    <t>Intérêts sur emprunts bancaires LT &amp; CT</t>
  </si>
  <si>
    <t>Résultat financement</t>
  </si>
  <si>
    <t>🆕 IFRS 18 : reclassé de l'exploitation</t>
  </si>
  <si>
    <t>Charges IFRS 16</t>
  </si>
  <si>
    <t>IFRS 16 / IFRS 18 §72</t>
  </si>
  <si>
    <t>Composante financière des baux IFRS 16</t>
  </si>
  <si>
    <t>Intérêts sur obligations émises</t>
  </si>
  <si>
    <t>Coupon obligataire</t>
  </si>
  <si>
    <t>Autres charges financières</t>
  </si>
  <si>
    <t>Autres frais fin.</t>
  </si>
  <si>
    <t>Frais dossier, garanties</t>
  </si>
  <si>
    <t>Charge IS courant (IAS 12)</t>
  </si>
  <si>
    <t>Impôts sur les résultats</t>
  </si>
  <si>
    <t>IS courant</t>
  </si>
  <si>
    <t>Impôt exigible de l'exercice</t>
  </si>
  <si>
    <t>ID variation</t>
  </si>
  <si>
    <t>IDA / IDP selon différences temporaires</t>
  </si>
  <si>
    <t>Fonds commercial / Goodwill (IFRS 3)</t>
  </si>
  <si>
    <t>AC</t>
  </si>
  <si>
    <t>Actifs non courants</t>
  </si>
  <si>
    <t>Goodwill</t>
  </si>
  <si>
    <t>Test dépréciation annuel IAS 36</t>
  </si>
  <si>
    <t>Brevets, marques, logiciels (IAS 38)</t>
  </si>
  <si>
    <t>Immo. incorporelles</t>
  </si>
  <si>
    <t>DUA définie ou indéfinie</t>
  </si>
  <si>
    <t>Immobilisations corporelles (IAS 16)</t>
  </si>
  <si>
    <t>PP&amp;E</t>
  </si>
  <si>
    <t>Net après cumul amort.</t>
  </si>
  <si>
    <t>DU IFRS 16</t>
  </si>
  <si>
    <t>Baux capitalisés</t>
  </si>
  <si>
    <t>Titres de participation &amp; MEE (IFRS 10/IAS 28)</t>
  </si>
  <si>
    <t>Titres &amp; MEE</t>
  </si>
  <si>
    <t>IFRS 10 / IAS 28</t>
  </si>
  <si>
    <t>Filiales &amp; co-entreprises</t>
  </si>
  <si>
    <t>Impôts différés actifs (IAS 12)</t>
  </si>
  <si>
    <t>IDA</t>
  </si>
  <si>
    <t>Différences temporaires déductibles</t>
  </si>
  <si>
    <t>Stocks &amp; en-cours (IAS 2)</t>
  </si>
  <si>
    <t>Actifs courants</t>
  </si>
  <si>
    <t>Oui</t>
  </si>
  <si>
    <t>FIFO ou coût moyen pondéré</t>
  </si>
  <si>
    <t>Créances clients (IFRS 9)</t>
  </si>
  <si>
    <t>Pertes de crédit attendues (ECL)</t>
  </si>
  <si>
    <t>Créances interco. (IC)</t>
  </si>
  <si>
    <t>Charges constatées d'avance</t>
  </si>
  <si>
    <t>CCA</t>
  </si>
  <si>
    <t>Charges payées d'avance</t>
  </si>
  <si>
    <t>Banques, caisses &amp; placements CT</t>
  </si>
  <si>
    <t>Équivalents de trésorerie &lt; 3 mois</t>
  </si>
  <si>
    <t>PA</t>
  </si>
  <si>
    <t>Capital</t>
  </si>
  <si>
    <t>IAS 1</t>
  </si>
  <si>
    <t>Capital émis et versé</t>
  </si>
  <si>
    <t>Primes d'émission et réserves</t>
  </si>
  <si>
    <t>Réserves</t>
  </si>
  <si>
    <t>Résultats cumulés &amp; réserves légales</t>
  </si>
  <si>
    <t>Réserves de conversion (IAS 21)</t>
  </si>
  <si>
    <t>OCI – Conversion</t>
  </si>
  <si>
    <t>IAS 21</t>
  </si>
  <si>
    <t>Écarts de change consolidation</t>
  </si>
  <si>
    <t>Réserves de juste valeur (IFRS 9 / IAS 19)</t>
  </si>
  <si>
    <t>OCI – JV &amp; IAS 19</t>
  </si>
  <si>
    <t>Réévaluation engagements actuariels</t>
  </si>
  <si>
    <t>Lien direct CONSOL_CR</t>
  </si>
  <si>
    <t>NCI</t>
  </si>
  <si>
    <t>Part des actionnaires minoritaires</t>
  </si>
  <si>
    <t>Passifs non courants</t>
  </si>
  <si>
    <t>IDP</t>
  </si>
  <si>
    <t>Différences temporaires imposables</t>
  </si>
  <si>
    <t>Provisions pour risques LT (IAS 37)</t>
  </si>
  <si>
    <t>Provisions LT</t>
  </si>
  <si>
    <t>Sorties probables &gt; 1 an</t>
  </si>
  <si>
    <t>Emprunts bancaires LT (IFRS 9)</t>
  </si>
  <si>
    <t>Dettes financières LT</t>
  </si>
  <si>
    <t>Coût amorti – TIE</t>
  </si>
  <si>
    <t>Dettes locatives LT</t>
  </si>
  <si>
    <t>Composante passif des baux</t>
  </si>
  <si>
    <t>Passifs courants</t>
  </si>
  <si>
    <t>Fournisseurs</t>
  </si>
  <si>
    <t>BFR passif</t>
  </si>
  <si>
    <t>Dettes interco. (IC)</t>
  </si>
  <si>
    <t>Produits constatés d'avance (PCA)</t>
  </si>
  <si>
    <t>PCA</t>
  </si>
  <si>
    <t>Obligations de performance restantes</t>
  </si>
  <si>
    <t>Concours bancaires CT</t>
  </si>
  <si>
    <t>Dettes fin. CT</t>
  </si>
  <si>
    <t>Lignes de crédit court terme</t>
  </si>
  <si>
    <t>Total : 60 règles de mapping · 4 postes IC à éliminer · 5 catégories IFRS 18 couvertes</t>
  </si>
  <si>
    <t>⚙️  POWER QUERY M – CODE COMPLET · Requête « Consolidation_FromFolder »</t>
  </si>
  <si>
    <t>📋 Coller ce code dans : Données → Obtenir des données → Requête vide → Éditeur avancé | Power Query Editor → Advanced Editor</t>
  </si>
  <si>
    <t>⚠️  Modifier le chemin FolderPath à la ligne 4 pour pointer vers votre dossier Sources. Toutes les autres lignes sont automatiques.</t>
  </si>
  <si>
    <t>L1</t>
  </si>
  <si>
    <t>REQUÊTE 1 : « Consolidation_FromFolder »</t>
  </si>
  <si>
    <t>L2</t>
  </si>
  <si>
    <t>let</t>
  </si>
  <si>
    <t>L3</t>
  </si>
  <si>
    <t xml:space="preserve">    // ─── ÉTAPE 1 : PARAMÈTRE CHEMIN DOSSIER ───────────────────────────────</t>
  </si>
  <si>
    <t>L4</t>
  </si>
  <si>
    <t xml:space="preserve">    FolderPath = "C:\\Users\\VotreNom\\Documents\\Consolidation_2025\\Sources",</t>
  </si>
  <si>
    <t>// ⚠️ Adapter ce chemin</t>
  </si>
  <si>
    <t>L5</t>
  </si>
  <si>
    <t xml:space="preserve">    // ─── ÉTAPE 2 : CONNEXION AU DOSSIER (Folder.Files) ─────────────────────</t>
  </si>
  <si>
    <t>L6</t>
  </si>
  <si>
    <t xml:space="preserve">    Source = Folder.Files(FolderPath),</t>
  </si>
  <si>
    <t>L7</t>
  </si>
  <si>
    <t xml:space="preserve">    // ─── ÉTAPE 3 : FILTRER FICHIERS .CSV ET .XLSX ─────────────────────────</t>
  </si>
  <si>
    <t>L8</t>
  </si>
  <si>
    <t xml:space="preserve">    FichiersFiltrés = Table.SelectRows(Source, each</t>
  </si>
  <si>
    <t>L9</t>
  </si>
  <si>
    <t xml:space="preserve">        (Text.EndsWith([Name], ".csv") or Text.EndsWith([Name], ".xlsx"))</t>
  </si>
  <si>
    <t>L10</t>
  </si>
  <si>
    <t xml:space="preserve">        and not Text.StartsWith([Name], "~$")),</t>
  </si>
  <si>
    <t>// Exclure fichiers temp Excel</t>
  </si>
  <si>
    <t>L11</t>
  </si>
  <si>
    <t xml:space="preserve">    // ─── ÉTAPE 4 : FONCTION DE TRANSFORMATION PAR FICHIER ─────────────────</t>
  </si>
  <si>
    <t>L12</t>
  </si>
  <si>
    <t xml:space="preserve">    TransformerFichier = (filePath as text, fileName as text) =&gt;</t>
  </si>
  <si>
    <t>L13</t>
  </si>
  <si>
    <t xml:space="preserve">    let</t>
  </si>
  <si>
    <t>L14</t>
  </si>
  <si>
    <t xml:space="preserve">        EstCSV = Text.EndsWith(fileName, ".csv"),</t>
  </si>
  <si>
    <t>L15</t>
  </si>
  <si>
    <t xml:space="preserve">        RawData = if EstCSV then</t>
  </si>
  <si>
    <t>L16</t>
  </si>
  <si>
    <t xml:space="preserve">            Csv.Document(File.Contents(filePath),[Delimiter=",",Encoding=65001])</t>
  </si>
  <si>
    <t>L17</t>
  </si>
  <si>
    <t xml:space="preserve">        else</t>
  </si>
  <si>
    <t>L18</t>
  </si>
  <si>
    <t xml:space="preserve">            Excel.Workbook(File.Contents(filePath),true,true){[Item="Balances"]}[Data],</t>
  </si>
  <si>
    <t>L19</t>
  </si>
  <si>
    <t xml:space="preserve">        AvecEntêtes = Table.PromoteHeaders(RawData,[PromoteAllScalars=true]),</t>
  </si>
  <si>
    <t>L20</t>
  </si>
  <si>
    <t xml:space="preserve">        AvecNomFichier = Table.AddColumn(AvecEntêtes,"NomFichier",each fileName)</t>
  </si>
  <si>
    <t>L21</t>
  </si>
  <si>
    <t xml:space="preserve">    in AvecNomFichier,</t>
  </si>
  <si>
    <t>L22</t>
  </si>
  <si>
    <t xml:space="preserve">    // ─── ÉTAPE 5 : APPLIQUER LA FONCTION À CHAQUE FICHIER ─────────────────</t>
  </si>
  <si>
    <t>L23</t>
  </si>
  <si>
    <t xml:space="preserve">    TableTransformée = Table.AddColumn(FichiersFiltrés,"DonnéesChargées",</t>
  </si>
  <si>
    <t>L24</t>
  </si>
  <si>
    <t xml:space="preserve">        each TransformerFichier([Folder Path]&amp;[Name],[Name])),</t>
  </si>
  <si>
    <t>L25</t>
  </si>
  <si>
    <t xml:space="preserve">    // ─── ÉTAPE 6 : DÉPLIER TOUTES LES TABLES ──────────────────────────────</t>
  </si>
  <si>
    <t>L26</t>
  </si>
  <si>
    <t xml:space="preserve">    TableDépliée = Table.ExpandTableColumn(TableTransformée,"DonnéesChargées",</t>
  </si>
  <si>
    <t>L27</t>
  </si>
  <si>
    <t xml:space="preserve">        {"CodeCompte","Libellé","Montant","Devise","Mois","Entité","TypeFlux","CatIFRS18","NomFichier"}),</t>
  </si>
  <si>
    <t>L28</t>
  </si>
  <si>
    <t xml:space="preserve">    // ─── ÉTAPE 7 : STANDARDISATION DES COLONNES ────────────────────────────</t>
  </si>
  <si>
    <t>L29</t>
  </si>
  <si>
    <t xml:space="preserve">    ColonnesStandardisées = Table.SelectColumns(TableDépliée,</t>
  </si>
  <si>
    <t>L30</t>
  </si>
  <si>
    <t>L31</t>
  </si>
  <si>
    <t xml:space="preserve">    // ─── ÉTAPE 8 : TYPAGE DES COLONNES ────────────────────────────────────</t>
  </si>
  <si>
    <t>L32</t>
  </si>
  <si>
    <t xml:space="preserve">    ColonnesTypées = Table.TransformColumnTypes(ColonnesStandardisées,{</t>
  </si>
  <si>
    <t>L33</t>
  </si>
  <si>
    <t xml:space="preserve">        {"CodeCompte",type text},{"Libellé",type text},{"Montant",type number},</t>
  </si>
  <si>
    <t>L34</t>
  </si>
  <si>
    <t xml:space="preserve">        {"Devise",type text},{"Mois",Int64.Type},{"Entité",type text},</t>
  </si>
  <si>
    <t>L35</t>
  </si>
  <si>
    <t xml:space="preserve">        {"TypeFlux",type text},{"CatIFRS18",type text},{"NomFichier",type text}}),</t>
  </si>
  <si>
    <t>L36</t>
  </si>
  <si>
    <t xml:space="preserve">    // ─── ÉTAPE 9 : NETTOYAGE ──────────────────────────────────────────────</t>
  </si>
  <si>
    <t>L37</t>
  </si>
  <si>
    <t xml:space="preserve">    SansVides = Table.SelectRows(ColonnesTypées, each [CodeCompte]&lt;&gt;null</t>
  </si>
  <si>
    <t>L38</t>
  </si>
  <si>
    <t xml:space="preserve">        and [CodeCompte]&lt;&gt;"" and [CodeCompte]&lt;&gt;"CodeCompte"),</t>
  </si>
  <si>
    <t>L39</t>
  </si>
  <si>
    <t xml:space="preserve">    SansErreurs = Table.RemoveRowsWithErrors(SansVides,{"Montant"}),</t>
  </si>
  <si>
    <t>L40</t>
  </si>
  <si>
    <t xml:space="preserve">    // ─── ÉTAPE 10 : COLONNE ENTITÉ NORMALISÉE ──────────────────────────────</t>
  </si>
  <si>
    <t>L41</t>
  </si>
  <si>
    <t xml:space="preserve">    EntitéNorm = Table.AddColumn(SansErreurs,"EntitéNormalisée", each</t>
  </si>
  <si>
    <t>L42</t>
  </si>
  <si>
    <t xml:space="preserve">        if [Entité]&lt;&gt;null and [Entité]&lt;&gt;"" then [Entité]</t>
  </si>
  <si>
    <t>L43</t>
  </si>
  <si>
    <t xml:space="preserve">        else if Text.Contains([NomFichier],"FR") then "FR_ParentCo"</t>
  </si>
  <si>
    <t>L44</t>
  </si>
  <si>
    <t xml:space="preserve">        else if Text.Contains([NomFichier],"DE") then "DE_Filiale"</t>
  </si>
  <si>
    <t>L45</t>
  </si>
  <si>
    <t xml:space="preserve">        else if Text.Contains([NomFichier],"UK") then "UK_Filiale"</t>
  </si>
  <si>
    <t>L46</t>
  </si>
  <si>
    <t xml:space="preserve">        else if Text.Contains([NomFichier],"US") then "US_Filiale"</t>
  </si>
  <si>
    <t>L47</t>
  </si>
  <si>
    <t xml:space="preserve">        else if Text.Contains([NomFichier],"SG") then "SG_Filiale"</t>
  </si>
  <si>
    <t>L48</t>
  </si>
  <si>
    <t xml:space="preserve">        else "INCONNU", type text),</t>
  </si>
  <si>
    <t>L49</t>
  </si>
  <si>
    <t xml:space="preserve">    // ─── ÉTAPE 11 : TAUX DE CONVERSION IAS 21 ──────────────────────────────</t>
  </si>
  <si>
    <t>L50</t>
  </si>
  <si>
    <t xml:space="preserve">    TauxConv = Table.AddColumn(EntitéNorm,"TauxEUR", each</t>
  </si>
  <si>
    <t>L51</t>
  </si>
  <si>
    <t xml:space="preserve">        if   [Devise]="EUR" then 1.0000</t>
  </si>
  <si>
    <t>L52</t>
  </si>
  <si>
    <t xml:space="preserve">        else if [Devise]="GBP" then 1.1650</t>
  </si>
  <si>
    <t>// Taux clôture 31/12/2025</t>
  </si>
  <si>
    <t>L53</t>
  </si>
  <si>
    <t xml:space="preserve">        else if [Devise]="USD" then 0.9180</t>
  </si>
  <si>
    <t>L54</t>
  </si>
  <si>
    <t xml:space="preserve">        else if [Devise]="SGD" then 0.6780</t>
  </si>
  <si>
    <t>L55</t>
  </si>
  <si>
    <t xml:space="preserve">        else 1.0000, type number),</t>
  </si>
  <si>
    <t>L56</t>
  </si>
  <si>
    <t xml:space="preserve">    // ─── ÉTAPE 12 : MONTANT CONVERTI EN EUR ──────────────────────────────</t>
  </si>
  <si>
    <t>L57</t>
  </si>
  <si>
    <t xml:space="preserve">    MontantEUR = Table.AddColumn(TauxConv,"MontantEUR",</t>
  </si>
  <si>
    <t>L58</t>
  </si>
  <si>
    <t xml:space="preserve">        each [Montant]*[TauxEUR], type number),</t>
  </si>
  <si>
    <t>L59</t>
  </si>
  <si>
    <t xml:space="preserve">    // ─── ÉTAPE 13 : JOIN AVEC TABLE MAPPING IFRS 18 ────────────────────────</t>
  </si>
  <si>
    <t>L60</t>
  </si>
  <si>
    <t xml:space="preserve">    Mapping = Excel.CurrentWorkbook(){[Name="PQ_MAPPING_TABLE"]}[Content],</t>
  </si>
  <si>
    <t>// Nommer le tableau dans PQ_MAPPING</t>
  </si>
  <si>
    <t>L61</t>
  </si>
  <si>
    <t xml:space="preserve">    MappingTypé = Table.TransformColumnTypes(Mapping,{</t>
  </si>
  <si>
    <t>L62</t>
  </si>
  <si>
    <t xml:space="preserve">        {"CodeSource",type text},{"PosteGroupeIFRS18",type text},</t>
  </si>
  <si>
    <t>L63</t>
  </si>
  <si>
    <t xml:space="preserve">        {"SousPosteIFRS18",type text},{"IC_Flag",type text}}),</t>
  </si>
  <si>
    <t>L64</t>
  </si>
  <si>
    <t xml:space="preserve">    AvecMapping = Table.NestedJoin(MontantEUR,{"CodeCompte"},</t>
  </si>
  <si>
    <t>L65</t>
  </si>
  <si>
    <t xml:space="preserve">        MappingTypé,{"CodeSource"},"Info",JoinKind.LeftOuter),</t>
  </si>
  <si>
    <t>L66</t>
  </si>
  <si>
    <t xml:space="preserve">    Expand = Table.ExpandTableColumn(AvecMapping,"Info",</t>
  </si>
  <si>
    <t>L67</t>
  </si>
  <si>
    <t xml:space="preserve">        {"PosteGroupeIFRS18","SousPosteIFRS18","IC_Flag","NormeRef"}),</t>
  </si>
  <si>
    <t>L68</t>
  </si>
  <si>
    <t xml:space="preserve">    // ─── ÉTAPE 14 : CATÉGORIE IFRS 18 FINALE ──────────────────────────────</t>
  </si>
  <si>
    <t>L69</t>
  </si>
  <si>
    <t xml:space="preserve">    CatFinale = Table.AddColumn(Expand,"CatIFRS18_Finale", each</t>
  </si>
  <si>
    <t>L70</t>
  </si>
  <si>
    <t xml:space="preserve">        if [IC_Flag]="OUI" then "⚠️ Élimination IC"</t>
  </si>
  <si>
    <t>L71</t>
  </si>
  <si>
    <t xml:space="preserve">        else if Text.Contains([CatIFRS18],"Opér") then "① Exploitation"</t>
  </si>
  <si>
    <t>L72</t>
  </si>
  <si>
    <t xml:space="preserve">        else if Text.Contains([CatIFRS18],"Invest") then "② Investissement"</t>
  </si>
  <si>
    <t>L73</t>
  </si>
  <si>
    <t xml:space="preserve">        else if Text.Contains([CatIFRS18],"Fin") then "③ Financement"</t>
  </si>
  <si>
    <t>L74</t>
  </si>
  <si>
    <t xml:space="preserve">        else if Text.Contains([CatIFRS18],"Impôt") then "④ Impôts"</t>
  </si>
  <si>
    <t>L75</t>
  </si>
  <si>
    <t xml:space="preserve">        else if Text.Contains([CatIFRS18],"Bilan") then "Bilan"</t>
  </si>
  <si>
    <t>L76</t>
  </si>
  <si>
    <t xml:space="preserve">        else [CatIFRS18], type text),</t>
  </si>
  <si>
    <t>L77</t>
  </si>
  <si>
    <t xml:space="preserve">    // ─── ÉTAPE 15 : DRAPEAU INTERCO ───────────────────────────────────────</t>
  </si>
  <si>
    <t>L78</t>
  </si>
  <si>
    <t xml:space="preserve">    DrapIC = Table.AddColumn(CatFinale,"EstIC", each</t>
  </si>
  <si>
    <t>L79</t>
  </si>
  <si>
    <t xml:space="preserve">        [IC_Flag]="OUI" or Text.Contains([CatIFRS18],"IC"), type logical),</t>
  </si>
  <si>
    <t>L80</t>
  </si>
  <si>
    <t xml:space="preserve">    // ─── ÉTAPE 16 : EXERCICE &amp; TRIMESTRE ──────────────────────────────────</t>
  </si>
  <si>
    <t>L81</t>
  </si>
  <si>
    <t xml:space="preserve">    AvecExerc = Table.AddColumn(DrapIC,"Exercice",each "2025",type text),</t>
  </si>
  <si>
    <t>L82</t>
  </si>
  <si>
    <t xml:space="preserve">    AvecTrim = Table.AddColumn(AvecExerc,"Trimestre", each</t>
  </si>
  <si>
    <t>L83</t>
  </si>
  <si>
    <t xml:space="preserve">        if [Mois]&lt;=3 then "T1-2025" else if [Mois]&lt;=6 then "T2-2025"</t>
  </si>
  <si>
    <t>L84</t>
  </si>
  <si>
    <t xml:space="preserve">        else if [Mois]&lt;=9 then "T3-2025" else "T4-2025", type text),</t>
  </si>
  <si>
    <t>L85</t>
  </si>
  <si>
    <t xml:space="preserve">    // ─── ÉTAPE 17 : SÉLECTION COLONNES FINALES ────────────────────────────</t>
  </si>
  <si>
    <t>L86</t>
  </si>
  <si>
    <t xml:space="preserve">    Final = Table.SelectColumns(AvecTrim,{</t>
  </si>
  <si>
    <t>L87</t>
  </si>
  <si>
    <t xml:space="preserve">        "Exercice","Trimestre","Mois","EntitéNormalisée","CodeCompte","Libellé",</t>
  </si>
  <si>
    <t>L88</t>
  </si>
  <si>
    <t xml:space="preserve">        "TypeFlux","CatIFRS18_Finale","PosteGroupeIFRS18","SousPosteIFRS18",</t>
  </si>
  <si>
    <t>L89</t>
  </si>
  <si>
    <t xml:space="preserve">        "NormeRef","EstIC","Devise","TauxEUR","Montant","MontantEUR","NomFichier"}),</t>
  </si>
  <si>
    <t>L90</t>
  </si>
  <si>
    <t xml:space="preserve">    // ─── ÉTAPE 18 : TRI FINAL ────────────────────────────────────────────</t>
  </si>
  <si>
    <t>L91</t>
  </si>
  <si>
    <t xml:space="preserve">    Trié = Table.Sort(Final,{{"EntitéNormalisée",Order.Ascending},</t>
  </si>
  <si>
    <t>L92</t>
  </si>
  <si>
    <t xml:space="preserve">        {"Mois",Order.Ascending},{"CatIFRS18_Finale",Order.Ascending}})</t>
  </si>
  <si>
    <t>L93</t>
  </si>
  <si>
    <t>in</t>
  </si>
  <si>
    <t>L94</t>
  </si>
  <si>
    <t xml:space="preserve">    Trié</t>
  </si>
  <si>
    <t>L95</t>
  </si>
  <si>
    <t>L96</t>
  </si>
  <si>
    <t>// ════════════════════════════════════════════════════════════════════════════════</t>
  </si>
  <si>
    <t>L97</t>
  </si>
  <si>
    <t>// REQUÊTE 2 : « MappingPlanComptable » (requête de support pour la table de mapping)</t>
  </si>
  <si>
    <t>L98</t>
  </si>
  <si>
    <t>L99</t>
  </si>
  <si>
    <t>L100</t>
  </si>
  <si>
    <t>L101</t>
  </si>
  <si>
    <t xml:space="preserve">    Source = Excel.CurrentWorkbook(){[Name="PQ_MAPPING_TABLE"]}[Content],</t>
  </si>
  <si>
    <t>// Table nommée dans PQ_MAPPING</t>
  </si>
  <si>
    <t>L102</t>
  </si>
  <si>
    <t xml:space="preserve">    TypesAppliqués = Table.TransformColumnTypes(Source,{</t>
  </si>
  <si>
    <t>L103</t>
  </si>
  <si>
    <t xml:space="preserve">        {"CodeSource",type text},{"Libellé Source",type text},{"Type",type text},</t>
  </si>
  <si>
    <t>L104</t>
  </si>
  <si>
    <t xml:space="preserve">        {"CatIFRS18",type text},{"PosteGroupeIFRS18",type text},</t>
  </si>
  <si>
    <t>L105</t>
  </si>
  <si>
    <t xml:space="preserve">        {"SousPosteIFRS18",type text},{"SigneConvention",type text},</t>
  </si>
  <si>
    <t>L106</t>
  </si>
  <si>
    <t xml:space="preserve">        {"InclusDansBFR",type text},{"IC_Flag",type text},</t>
  </si>
  <si>
    <t>L107</t>
  </si>
  <si>
    <t xml:space="preserve">        {"NormeRef",type text},{"Commentaire",type text}}),</t>
  </si>
  <si>
    <t>L108</t>
  </si>
  <si>
    <t xml:space="preserve">    SansDoublons = Table.Distinct(TypesAppliqués, {"CodeSource"})</t>
  </si>
  <si>
    <t>L109</t>
  </si>
  <si>
    <t>L110</t>
  </si>
  <si>
    <t xml:space="preserve">    SansDoublons</t>
  </si>
  <si>
    <t>L111</t>
  </si>
  <si>
    <t>L112</t>
  </si>
  <si>
    <t>L113</t>
  </si>
  <si>
    <t>// REQUÊTE 3 : « Balances_ParEntité » (aggrégation pour CONSOL_CR)</t>
  </si>
  <si>
    <t>L114</t>
  </si>
  <si>
    <t>L115</t>
  </si>
  <si>
    <t>L116</t>
  </si>
  <si>
    <t>L117</t>
  </si>
  <si>
    <t xml:space="preserve">    Source = Consolidation_FromFolder,</t>
  </si>
  <si>
    <t>// Référencer la requête 1</t>
  </si>
  <si>
    <t>L118</t>
  </si>
  <si>
    <t xml:space="preserve">    SansIC = Table.SelectRows(Source, each not [EstIC]),</t>
  </si>
  <si>
    <t>// Exclure les flux IC</t>
  </si>
  <si>
    <t>L119</t>
  </si>
  <si>
    <t xml:space="preserve">    Agrégé = Table.Group(SansIC,</t>
  </si>
  <si>
    <t>L120</t>
  </si>
  <si>
    <t xml:space="preserve">        {"EntitéNormalisée","CatIFRS18_Finale","PosteGroupeIFRS18","Mois","Devise"},</t>
  </si>
  <si>
    <t>L121</t>
  </si>
  <si>
    <t xml:space="preserve">        {{"MontantEUR_Total", each List.Sum([MontantEUR]), type number},</t>
  </si>
  <si>
    <t>L122</t>
  </si>
  <si>
    <t xml:space="preserve">        {"NombreLignes", each Table.RowCount(_), Int64.Type}})</t>
  </si>
  <si>
    <t>L123</t>
  </si>
  <si>
    <t>L124</t>
  </si>
  <si>
    <t xml:space="preserve">    Agrégé</t>
  </si>
  <si>
    <t>📊  BALANCES_PQ – Résultat Simulé Power Query · Table Consolidée Toutes Entités · Exercice 2025 (k€)</t>
  </si>
  <si>
    <t>ℹ️  Cette table simule le résultat final de la requête Power Query « Consolidation_FromFolder » – Données agrégées par entité, trimestre et catégorie IFRS 18</t>
  </si>
  <si>
    <t>Exercice</t>
  </si>
  <si>
    <t>Trimestre</t>
  </si>
  <si>
    <t>EntitéNormalisée</t>
  </si>
  <si>
    <t>CatIFRS18_Finale</t>
  </si>
  <si>
    <t>EstIC</t>
  </si>
  <si>
    <t>TauxEUR</t>
  </si>
  <si>
    <t>MontantEUR</t>
  </si>
  <si>
    <t>NomFichier</t>
  </si>
  <si>
    <t>T1-2025</t>
  </si>
  <si>
    <t>① Exploitation</t>
  </si>
  <si>
    <t>SRC_FR.csv</t>
  </si>
  <si>
    <t>T2-2025</t>
  </si>
  <si>
    <t>T3-2025</t>
  </si>
  <si>
    <t>T4-2025</t>
  </si>
  <si>
    <t>Refacturations interco</t>
  </si>
  <si>
    <t>⚠️ Élimination IC</t>
  </si>
  <si>
    <t>Amortissement PP&amp;E</t>
  </si>
  <si>
    <t>Dividendes reçus filiales</t>
  </si>
  <si>
    <t>② Investissement</t>
  </si>
  <si>
    <t>Produits cessions actifs</t>
  </si>
  <si>
    <t>Revenus placements CT</t>
  </si>
  <si>
    <t>③ Financement</t>
  </si>
  <si>
    <t>④ Impôts</t>
  </si>
  <si>
    <t>Umsatzerlöse Waren</t>
  </si>
  <si>
    <t>SRC_DE.csv</t>
  </si>
  <si>
    <t>Wareneinkauf</t>
  </si>
  <si>
    <t>Personalkosten</t>
  </si>
  <si>
    <t>Veräußerungsgewinne</t>
  </si>
  <si>
    <t>Zinsaufwendungen</t>
  </si>
  <si>
    <t>Körperschaftsteuer</t>
  </si>
  <si>
    <t>Revenue from goods</t>
  </si>
  <si>
    <t>SRC_UK.csv</t>
  </si>
  <si>
    <t>Intercompany management fees</t>
  </si>
  <si>
    <t>Staff costs</t>
  </si>
  <si>
    <t>Corporation tax</t>
  </si>
  <si>
    <t>Net sales revenue</t>
  </si>
  <si>
    <t>SRC_US.csv</t>
  </si>
  <si>
    <t>Revenue from financial services</t>
  </si>
  <si>
    <t>SRC_SG.csv</t>
  </si>
  <si>
    <t>Employee costs</t>
  </si>
  <si>
    <t>📊 RÉCAPITULATIF : 59 lignes · 7 flux IC · 5 entités · 4 catégories IFRS 18 · 3 devises (EUR/GBP/USD/SGD)</t>
  </si>
  <si>
    <t>📋  GUIDE D'IMPLÉMENTATION POWER QUERY – 7 ÉTAPES</t>
  </si>
  <si>
    <t>ÉTAPE 1 – NOMMER LA TABLE DE MAPPING</t>
  </si>
  <si>
    <t>→ Aller dans PQ_MAPPING · Cliquer dans le tableau · Nommer la table « PQ_MAPPING_TABLE » (onglet Création de tableau → champ Nom du tableau)</t>
  </si>
  <si>
    <t>ÉTAPE 2 – CRÉER LE DOSSIER SOURCES</t>
  </si>
  <si>
    <t>→ Créer un dossier 'Sources' sur votre disque. Y placer les 5 fichiers CSV : SRC_FR.csv, SRC_DE.csv, SRC_UK.csv, SRC_US.csv, SRC_SG.csv</t>
  </si>
  <si>
    <t>ÉTAPE 3 – EXPORTER LES ONGLETS SOURCES EN CSV</t>
  </si>
  <si>
    <t>→ Pour chaque onglet SRC_FR/DE/UK/US/SG : Fichier → Enregistrer sous → CSV UTF-8 (délimité par virgule). Ne sauvegarder que la feuille active.</t>
  </si>
  <si>
    <t>ÉTAPE 4 – OUVRIR POWER QUERY (REQUÊTE VIDE)</t>
  </si>
  <si>
    <t>→ Données → Obtenir des données → À partir d'autres sources → Requête vide → Accueil → Éditeur avancé → Coller le code REQUÊTE 1 (colonne B)</t>
  </si>
  <si>
    <t>ÉTAPE 5 – ADAPTER LE CHEMIN DOSSIER (1 seule ligne à modifier)</t>
  </si>
  <si>
    <t>→ Modifier UNIQUEMENT la ligne : FolderPath = "C:\\VotreNom\\Sources". Tout le reste est automatique.</t>
  </si>
  <si>
    <t>ÉTAPE 6 – CRÉER REQUÊTES 2 ET 3 (mapping + agrégation)</t>
  </si>
  <si>
    <t>→ Ajouter 2 requêtes vides · Coller REQUÊTE 2 (MappingPlanComptable) et REQUÊTE 3 (Balances_ParEntité). Nommer chaque requête selon son titre.</t>
  </si>
  <si>
    <t>ÉTAPE 7 – CHARGER ET ACTUALISER</t>
  </si>
  <si>
    <t>→ Fermer &amp; Charger → Fermer et charger dans… → Tableau → Sélectionner onglet BALANCES_PQ. Pour actualiser : Données → Actualiser tout (Ctrl+Alt+F5)</t>
  </si>
  <si>
    <t>⚡ Pour ajouter une 6ème entité : déposer le CSV dans le dossier Sources → Actualiser tout. La requête l'intègre automatiquement !</t>
  </si>
  <si>
    <t>💱  PQ_TAUX_CHANGE – TABLE DES TAUX DE CHANGE IAS 21 · Exercice 2025 (EUR = devise de présentation)</t>
  </si>
  <si>
    <t>IAS 21 §23 : Actifs/Passifs → taux de clôture · §39 : Produits/Charges → taux moyen · Capitaux propres → taux historique · Écarts → OCI non recyclable</t>
  </si>
  <si>
    <t>SECTION 1 – TAUX ANNUELS (Utilisés par Power Query – table de référence)</t>
  </si>
  <si>
    <t>TypeTaux</t>
  </si>
  <si>
    <t>TauxInverse</t>
  </si>
  <si>
    <t>DateMAJ</t>
  </si>
  <si>
    <t>IAS21_Para</t>
  </si>
  <si>
    <t>Royaume-Uni</t>
  </si>
  <si>
    <t>Clôture</t>
  </si>
  <si>
    <t>BCE / BoE</t>
  </si>
  <si>
    <t>31/12/2025</t>
  </si>
  <si>
    <t>§23</t>
  </si>
  <si>
    <t>Bilan – actifs &amp; passifs</t>
  </si>
  <si>
    <t>Moyen</t>
  </si>
  <si>
    <t>H1</t>
  </si>
  <si>
    <t>30/06/2025</t>
  </si>
  <si>
    <t>§39</t>
  </si>
  <si>
    <t>CR – charges &amp; produits S1</t>
  </si>
  <si>
    <t>H2</t>
  </si>
  <si>
    <t>CR – charges &amp; produits S2</t>
  </si>
  <si>
    <t>AN</t>
  </si>
  <si>
    <t>CR – taux annuel moyen</t>
  </si>
  <si>
    <t>Historique</t>
  </si>
  <si>
    <t>Acq</t>
  </si>
  <si>
    <t>BCE</t>
  </si>
  <si>
    <t>Capitaux propres – date acquisition UK_Filiale</t>
  </si>
  <si>
    <t>États-Unis</t>
  </si>
  <si>
    <t>BCE / Fed</t>
  </si>
  <si>
    <t>Capitaux propres – date acquisition US_Filiale</t>
  </si>
  <si>
    <t>Singapour</t>
  </si>
  <si>
    <t>BCE / MAS</t>
  </si>
  <si>
    <t>Capitaux propres – date acquisition SG_Filiale</t>
  </si>
  <si>
    <t>France / Allemagne</t>
  </si>
  <si>
    <t>N/A</t>
  </si>
  <si>
    <t>Devise de présentation – pas de conversion</t>
  </si>
  <si>
    <t>Pas de conversion</t>
  </si>
  <si>
    <t>SECTION 2 – TAUX MENSUELS 2025 (pour analyses trimestrielles)</t>
  </si>
  <si>
    <t>Label</t>
  </si>
  <si>
    <t>GBP/EUR</t>
  </si>
  <si>
    <t>USD/EUR</t>
  </si>
  <si>
    <t>SGD/EUR</t>
  </si>
  <si>
    <t>Fév-2025</t>
  </si>
  <si>
    <t>Déc-2025</t>
  </si>
  <si>
    <t>SECTION 3 – CALCUL ÉCART DE CONVERSION (IAS 21 §41 – Impact OCI)</t>
  </si>
  <si>
    <t>Actif Net (monnaie loc.)</t>
  </si>
  <si>
    <t>Taux Clôture</t>
  </si>
  <si>
    <t>Taux Moyen</t>
  </si>
  <si>
    <t>Actif Net (taux clôt.)</t>
  </si>
  <si>
    <t>Actif Net (taux moy.)</t>
  </si>
  <si>
    <t>Écart Conv. OCI</t>
  </si>
  <si>
    <t>TOTAL ÉCART DE CONVERSION (→ OCI Bilan consolidé)</t>
  </si>
  <si>
    <t>🏢  PQ_DETENTION – TABLE % DÉTENTION &amp; CALCUL INTÉRÊTS MINORITAIRES (NCI) · IFRS 10 / IFRS 3</t>
  </si>
  <si>
    <t>IFRS 10 §22 : Intégration globale si contrôle exclusif (&gt; 50% droits de vote) · IFRS 3 : NCI = % minoritaires × Actif Net JV à date d'acquisition</t>
  </si>
  <si>
    <t>SECTION 1 – STRUCTURE DE DÉTENTION DU GROUPE (Table de référence Power Query)</t>
  </si>
  <si>
    <t>EntitéFiliale</t>
  </si>
  <si>
    <t>EntitéMère</t>
  </si>
  <si>
    <t>PctDetentionDirecte</t>
  </si>
  <si>
    <t>PctDetentionIndirecte</t>
  </si>
  <si>
    <t>PctDetentionTotal</t>
  </si>
  <si>
    <t>PctNCI</t>
  </si>
  <si>
    <t>MethodeConsol</t>
  </si>
  <si>
    <t>DateAcquisition</t>
  </si>
  <si>
    <t>TauxHistorique</t>
  </si>
  <si>
    <t>PrixAcquisition_kEUR</t>
  </si>
  <si>
    <t>ActifNetJVAcq_kEUR</t>
  </si>
  <si>
    <t>GoodwillBrut_kEUR</t>
  </si>
  <si>
    <t>GoodwillNet_kEUR</t>
  </si>
  <si>
    <t>NormeRegroupement</t>
  </si>
  <si>
    <t>100% → NCI = 0</t>
  </si>
  <si>
    <t>20% NCI → full GW method</t>
  </si>
  <si>
    <t>25% NCI</t>
  </si>
  <si>
    <t>40% NCI – attention seuil de contrôle</t>
  </si>
  <si>
    <t>Mère / Entité présentante</t>
  </si>
  <si>
    <t>Société mère – pas de NCI</t>
  </si>
  <si>
    <t>% NCI</t>
  </si>
  <si>
    <t>NCI Bilan (k€)</t>
  </si>
  <si>
    <t>NCI Résultat (k€)</t>
  </si>
  <si>
    <t>NCI Dividendes (k€)</t>
  </si>
  <si>
    <t>Variation NCI</t>
  </si>
  <si>
    <t>NCI=0% × Actif Net EUR</t>
  </si>
  <si>
    <t>NCI=20% × Actif Net EUR</t>
  </si>
  <si>
    <t>NCI=25% × Actif Net EUR</t>
  </si>
  <si>
    <t>NCI=40% × Actif Net EUR</t>
  </si>
  <si>
    <t>TOTAL NCI CONSOLIDÉ</t>
  </si>
  <si>
    <t>SECTION 2 – CALCUL NCI PAR COMPOSANTE (IFRS 10 / IFRS 3)</t>
  </si>
  <si>
    <t>Actif Net (k€)</t>
  </si>
  <si>
    <t>RN Filiale (k€)</t>
  </si>
  <si>
    <t>Dividendes (k€)</t>
  </si>
  <si>
    <t>SECTION 3 – SCHÉMA HIÉRARCHIQUE DU PÉRIMÈTRE</t>
  </si>
  <si>
    <t>FR_ParentCo (Holding – 100% Groupe)</t>
  </si>
  <si>
    <t xml:space="preserve">  ├── DE_Filiale  ← 100% (EUR) · Industrie · NCI = 0%</t>
  </si>
  <si>
    <t xml:space="preserve">  ├── UK_Filiale  ← 80%  (GBP) · Tech &amp; Digital · NCI = 20%</t>
  </si>
  <si>
    <t xml:space="preserve">  ├── US_Filiale  ← 75%  (USD) · Distribution · NCI = 25%</t>
  </si>
  <si>
    <t xml:space="preserve">  └── SG_Filiale  ← 60%  (SGD) · Finance &amp; Inv. · NCI = 40%</t>
  </si>
  <si>
    <t>Méthode : INTÉGRATION GLOBALE (IFRS 10) · Goodwill : FULL GW (IFRS 3) · IAS 36 tests annuels</t>
  </si>
  <si>
    <t>🔄  PQ_ELIMINATIONS – MOTEUR D'ÉLIMINATIONS INTRAGROUPE AUTOMATISÉES · 4 TYPES · IFRS 10</t>
  </si>
  <si>
    <t>TYPE 1 – ÉLIMINATION DES VENTES / ACHATS INTRAGROUPE (IFRS 10 §B86)</t>
  </si>
  <si>
    <t>RefElim</t>
  </si>
  <si>
    <t>Vendeur</t>
  </si>
  <si>
    <t>Acheteur</t>
  </si>
  <si>
    <t>TxConversion</t>
  </si>
  <si>
    <t>MontantLocal</t>
  </si>
  <si>
    <t>CompteCA_Elim</t>
  </si>
  <si>
    <t>CompteAchats_Elim</t>
  </si>
  <si>
    <t>CompteIC_Actif</t>
  </si>
  <si>
    <t>CompteIC_Passif</t>
  </si>
  <si>
    <t>Validation</t>
  </si>
  <si>
    <t>V-IC-001</t>
  </si>
  <si>
    <t>✅ Équilibré</t>
  </si>
  <si>
    <t>V-IC-002</t>
  </si>
  <si>
    <t>V-IC-003</t>
  </si>
  <si>
    <t>V-IC-004</t>
  </si>
  <si>
    <t>TOTAL ÉLIM. VENTES IC</t>
  </si>
  <si>
    <t>📝  ÉCRITURE COMPTABLE – Élimination ventes IC (exemple V-IC-001 : 18 500 k€)</t>
  </si>
  <si>
    <t>708500 – Refacturations IC (CA vendeur)</t>
  </si>
  <si>
    <t>18 500</t>
  </si>
  <si>
    <t>601000 – Achats marchandises (CA acheteur)</t>
  </si>
  <si>
    <t>→ Neutralise le CA et le coût d'achat IC</t>
  </si>
  <si>
    <t>TYPE 2 – ÉLIMINATION DES MARGES INTRAGROUPE SUR STOCKS (IFRS 10 §B86(b))</t>
  </si>
  <si>
    <t>StockRestant_kEUR</t>
  </si>
  <si>
    <t>CoutRevient_kEUR</t>
  </si>
  <si>
    <t>PrixVenteIC_kEUR</t>
  </si>
  <si>
    <t>MargeIC_kEUR</t>
  </si>
  <si>
    <t>TauxMarge</t>
  </si>
  <si>
    <t>ImpactBilan_Stocks</t>
  </si>
  <si>
    <t>ImpactCR_Achats</t>
  </si>
  <si>
    <t>ImpactFiscal_kEUR</t>
  </si>
  <si>
    <t>M-IC-001</t>
  </si>
  <si>
    <t>311000/601000</t>
  </si>
  <si>
    <t>M-IC-002</t>
  </si>
  <si>
    <t>TOTAL MARGES IC À ÉLIMINER</t>
  </si>
  <si>
    <t>⚠️  IAS 12 : La marge éliminée génère un impôt différé actif (IDA) car la charge sera déductible lors de la vente finale à un tiers. Taux IS appliqué : 25%</t>
  </si>
  <si>
    <t>TYPE 3 – ÉLIMINATION DES DIVIDENDES INTRAGROUPE (IFRS 10 §B86(a))</t>
  </si>
  <si>
    <t>DistributeurDividende</t>
  </si>
  <si>
    <t>Bénéficiaire</t>
  </si>
  <si>
    <t>TxConv</t>
  </si>
  <si>
    <t>DividendeLocal</t>
  </si>
  <si>
    <t>DividendeEUR</t>
  </si>
  <si>
    <t>ProdFin_Elim(761)</t>
  </si>
  <si>
    <t>Dividendes_Elim(457)</t>
  </si>
  <si>
    <t>D-IC-001</t>
  </si>
  <si>
    <t>IFRS 18 §68 + IFRS 10</t>
  </si>
  <si>
    <t>D-IC-002</t>
  </si>
  <si>
    <t>D-IC-003</t>
  </si>
  <si>
    <t>TOTAL ÉLIM. DIVIDENDES IC</t>
  </si>
  <si>
    <t>🆕  IFRS 18 §68 : Les dividendes reçus d'une entité non consolidée restent en Investissement. Les dividendes IC sont ÉLIMINÉS avant toute catégorisation IFRS 18.</t>
  </si>
  <si>
    <t>TYPE 4 – ÉLIMINATION DES PRÊTS / EMPRUNTS INTRAGROUPE + INTÉRÊTS (IFRS 10 §B86)</t>
  </si>
  <si>
    <t>Prêteur</t>
  </si>
  <si>
    <t>Emprunteur</t>
  </si>
  <si>
    <t>CapitalLocal</t>
  </si>
  <si>
    <t>CapitalEUR</t>
  </si>
  <si>
    <t>TauxIntérêt</t>
  </si>
  <si>
    <t>IntérêtsEUR</t>
  </si>
  <si>
    <t>CompteActif</t>
  </si>
  <si>
    <t>ComptePssif</t>
  </si>
  <si>
    <t>EcartConv</t>
  </si>
  <si>
    <t>P-IC-001</t>
  </si>
  <si>
    <t>P-IC-002</t>
  </si>
  <si>
    <t>TOTAL PRÊTS IC</t>
  </si>
  <si>
    <t>📊 RÉCAPITULATIF GLOBAL DES ÉLIMINATIONS – IMPACT SUR LES ÉTATS FINANCIERS CONSOLIDÉS</t>
  </si>
  <si>
    <t>Type Élimination</t>
  </si>
  <si>
    <t>Impact CR (k€)</t>
  </si>
  <si>
    <t>Impact Bilan (k€)</t>
  </si>
  <si>
    <t>Impact IDA (k€)</t>
  </si>
  <si>
    <t>Impact OCI (k€)</t>
  </si>
  <si>
    <t>Norme</t>
  </si>
  <si>
    <t>Ventes IC (CA + Achats)</t>
  </si>
  <si>
    <t>IFRS 10 §B86(b)</t>
  </si>
  <si>
    <t>Marges stocks IC</t>
  </si>
  <si>
    <t>IFRS 10 §B86 + IAS 12</t>
  </si>
  <si>
    <t>IFRS 10 §B86(a) + IFRS 18 §68</t>
  </si>
  <si>
    <t>Prêts IC (capital)</t>
  </si>
  <si>
    <t>IFRS 10 + IAS 21</t>
  </si>
  <si>
    <t>Prêts IC (intérêts)</t>
  </si>
  <si>
    <t>TOTAL IMPACT ÉLIMINATIONS</t>
  </si>
  <si>
    <t>⚡  PQ_DAX_MESURES – BIBLIOTHÈQUE COMPLÈTE DES MESURES DAX · Power Pivot · Consolidation IFRS 18</t>
  </si>
  <si>
    <t>Coller chaque mesure dans Power Pivot (Accueil → Mesures) ou dans le modèle de données. Préfixe : [M_] pour les mesures, [C_] pour les colonnes calculées.</t>
  </si>
  <si>
    <t>// ══════════════════════════════════════════════════════════════════
// GROUPE A – MESURES DE BASE (CA / RÉSULTAT)
// ══════════════════════════════════════════════════════════════════</t>
  </si>
  <si>
    <t>Nom mesure</t>
  </si>
  <si>
    <t>Table</t>
  </si>
  <si>
    <t>Code DAX</t>
  </si>
  <si>
    <t>Norme / Référence</t>
  </si>
  <si>
    <t>[M_CA_Groupe]</t>
  </si>
  <si>
    <t>Balances_PQ</t>
  </si>
  <si>
    <t>Chiffre d'affaires consolidé (hors IC)</t>
  </si>
  <si>
    <t>[M_CA_Groupe] =
CALCULATE(
    SUMX(
        FILTER('Balances_PQ',
            'Balances_PQ'[PosteGroupeIFRS18] = "Chiffre d'affaires"
            &amp;&amp; 'Balances_PQ'[EstIC] = FALSE()
        ),
        'Balances_PQ'[MontantEUR]
    )
)</t>
  </si>
  <si>
    <t>IFRS 15 / IFRS 18 §55</t>
  </si>
  <si>
    <t>[M_EBIT]</t>
  </si>
  <si>
    <t>Résultat Opérationnel – catégorie ① Exploitation uniquement</t>
  </si>
  <si>
    <t>[M_EBIT] =
CALCULATE(
    SUM('Balances_PQ'[MontantEUR]),
    'Balances_PQ'[CatIFRS18_Finale] = "① Exploitation",
    'Balances_PQ'[EstIC] = FALSE()
)</t>
  </si>
  <si>
    <t>IFRS 18 §55-67</t>
  </si>
  <si>
    <t>[M_EBITDA]</t>
  </si>
  <si>
    <t>EBIT + amortissements &amp; provisions (add-back)</t>
  </si>
  <si>
    <t>[M_EBITDA] =
[M_EBIT]
+ CALCULATE(
    ABS(SUM('Balances_PQ'[MontantEUR])),
    'Balances_PQ'[PosteGroupeIFRS18] = "Amortissements &amp; dépréciations"
)
+ CALCULATE(
    ABS(SUM('Balances_PQ'[MontantEUR])),
    'Balances_PQ'[PosteGroupeIFRS18] = "Dotations aux provisions"
)</t>
  </si>
  <si>
    <t>MPM – IFRS 18 §112 (rapprochement obligatoire)</t>
  </si>
  <si>
    <t>[M_RésInvest]</t>
  </si>
  <si>
    <t>Résultat de la catégorie ② Investissement (IFRS 18 §68)</t>
  </si>
  <si>
    <t>[M_RésInvest] =
CALCULATE(
    SUM('Balances_PQ'[MontantEUR]),
    'Balances_PQ'[CatIFRS18_Finale] = "② Investissement",
    'Balances_PQ'[EstIC] = FALSE()
)</t>
  </si>
  <si>
    <t>IFRS 18 §68-71</t>
  </si>
  <si>
    <t>[M_ProfitAvtFinImpôt]</t>
  </si>
  <si>
    <t>🆕 IFRS 18 §65 – Sous-total imposé : Exploitation + Investissement</t>
  </si>
  <si>
    <t>[M_ProfitAvtFinImpôt] =
[M_EBIT] + [M_RésInvest]
// Ce sous-total est IMPOSÉ par IFRS 18
// Il remplace le « résultat courant » de IAS 1</t>
  </si>
  <si>
    <t>IFRS 18 §65 – NOUVEAU sous-total obligatoire</t>
  </si>
  <si>
    <t>[M_RésFin]</t>
  </si>
  <si>
    <t>Résultat catégorie ③ Financement</t>
  </si>
  <si>
    <t>[M_RésFin] =
CALCULATE(
    SUM('Balances_PQ'[MontantEUR]),
    'Balances_PQ'[CatIFRS18_Finale] = "③ Financement"
)</t>
  </si>
  <si>
    <t>IFRS 18 §72-79</t>
  </si>
  <si>
    <t>[M_ChargeIS]</t>
  </si>
  <si>
    <t>Charge d'impôt totale (courant + différé)</t>
  </si>
  <si>
    <t>[M_ChargeIS] =
CALCULATE(
    SUM('Balances_PQ'[MontantEUR]),
    'Balances_PQ'[CatIFRS18_Finale] = "④ Impôts"
)</t>
  </si>
  <si>
    <t>IAS 12 / IFRS 18 §80</t>
  </si>
  <si>
    <t>[M_RésNetConsolidé]</t>
  </si>
  <si>
    <t>Résultat net consolidé (part groupe + NCI)</t>
  </si>
  <si>
    <t>[M_RésNetConsolidé] =
[M_ProfitAvtFinImpôt]
+ [M_RésFin]
+ [M_ChargeIS]</t>
  </si>
  <si>
    <t>IFRS 18 §80-84</t>
  </si>
  <si>
    <t>// ══════════════════════════════════════════════════════════════════
// GROUPE B – MARGES &amp; RATIOS
// ══════════════════════════════════════════════════════════════════</t>
  </si>
  <si>
    <t>[M_MargeEBIT]</t>
  </si>
  <si>
    <t>Mesures</t>
  </si>
  <si>
    <t>Marge EBIT en % du CA</t>
  </si>
  <si>
    <t>[M_MargeEBIT] =
DIVIDE([M_EBIT], [M_CA_Groupe], 0)</t>
  </si>
  <si>
    <t>KPI interne</t>
  </si>
  <si>
    <t>[M_MargeEBITDA]</t>
  </si>
  <si>
    <t>Marge EBITDA en % du CA</t>
  </si>
  <si>
    <t>[M_MargeEBITDA] =
DIVIDE([M_EBITDA], [M_CA_Groupe], 0)</t>
  </si>
  <si>
    <t>MPM – IFRS 18 §112</t>
  </si>
  <si>
    <t>[M_MargeNette]</t>
  </si>
  <si>
    <t>Marge nette consolidée en % du CA</t>
  </si>
  <si>
    <t>[M_MargeNette] =
DIVIDE([M_RésNetConsolidé], [M_CA_Groupe], 0)</t>
  </si>
  <si>
    <t>KPI groupe</t>
  </si>
  <si>
    <t>[M_TauxIS_Effectif]</t>
  </si>
  <si>
    <t>Taux effectif d'imposition consolidé</t>
  </si>
  <si>
    <t>[M_TauxIS_Effectif] =
DIVIDE(
    ABS([M_ChargeIS]),
    [M_ProfitAvtFinImpôt] + [M_RésFin],
    0
)
// Rapprocher du taux légal FR 25% (Note IFRS)</t>
  </si>
  <si>
    <t>IAS 12 §81(c)</t>
  </si>
  <si>
    <t>// ══════════════════════════════════════════════════════════════════
// GROUPE C – CONVERSION &amp; DEVISES (IAS 21)
// ══════════════════════════════════════════════════════════════════</t>
  </si>
  <si>
    <t>[M_MontantEUR_TxClôture]</t>
  </si>
  <si>
    <t>Montant converti au taux de clôture (Bilan – IAS 21 §23)</t>
  </si>
  <si>
    <t>[M_MontantEUR_TxClôture] =
SUMX(
    'Balances_PQ',
    'Balances_PQ'[Montant]
    * LOOKUPVALUE(
        'PQ_TAUX_CHANGE'[TauxEUR],
        'PQ_TAUX_CHANGE'[Devise], 'Balances_PQ'[Devise],
        'PQ_TAUX_CHANGE'[TypeTaux], "Clôture",
        'PQ_TAUX_CHANGE'[Exercice], "2025",
        1
    )
)</t>
  </si>
  <si>
    <t>[M_MontantEUR_TxMoyen]</t>
  </si>
  <si>
    <t>Montant converti au taux moyen (CR – IAS 21 §39)</t>
  </si>
  <si>
    <t>[M_MontantEUR_TxMoyen] =
SUMX(
    'Balances_PQ',
    'Balances_PQ'[Montant]
    * LOOKUPVALUE(
        'PQ_TAUX_CHANGE'[TauxEUR],
        'PQ_TAUX_CHANGE'[Devise], 'Balances_PQ'[Devise],
        'PQ_TAUX_CHANGE'[TypeTaux], "Moyen",
        'PQ_TAUX_CHANGE'[Mois], "AN",
        1
    )
)</t>
  </si>
  <si>
    <t>[M_ÉcartConversion_OCI]</t>
  </si>
  <si>
    <t>Écart de conversion à inscrire en OCI (non recyclable)</t>
  </si>
  <si>
    <t>[M_ÉcartConversion_OCI] =
[M_MontantEUR_TxClôture]
- [M_MontantEUR_TxMoyen]
// → Classé en OCI, jamais recyclé en résultat
// Référence : IAS 21 §41</t>
  </si>
  <si>
    <t>IAS 21 §41 – OCI</t>
  </si>
  <si>
    <t>// ══════════════════════════════════════════════════════════════════
// GROUPE D – NCI &amp; CAPITAUX PROPRES
// ══════════════════════════════════════════════════════════════════</t>
  </si>
  <si>
    <t>[M_NCI_Bilan]</t>
  </si>
  <si>
    <t>PQ_DETENTION</t>
  </si>
  <si>
    <t>Intérêts minoritaires au bilan consolidé</t>
  </si>
  <si>
    <t>[M_NCI_Bilan] =
SUMX(
    'PQ_DETENTION',
    'PQ_DETENTION'[PctNCI]
    * RELATED('Balances_PQ'[MontantEUR])
)
// Simplifié : utiliser directement la colonne NCI Bilan de PQ_DETENTION</t>
  </si>
  <si>
    <t>IFRS 10 §22 / IFRS 3</t>
  </si>
  <si>
    <t>[M_RésNet_PartGroupe]</t>
  </si>
  <si>
    <t>Résultat net – part revenant aux actionnaires du groupe</t>
  </si>
  <si>
    <t>[M_RésNet_PartGroupe] =
[M_RésNetConsolidé]
- SUMX(
    'PQ_DETENTION',
    'PQ_DETENTION'[PctNCI]
    * CALCULATE(SUM('Balances_PQ'[MontantEUR]),
        'Balances_PQ'[CatIFRS18_Finale] = "④ Impôts",
        USERELATIONSHIP('Balances_PQ'[EntitéNormalisée],'PQ_DETENTION'[EntitéFiliale])
    )
)</t>
  </si>
  <si>
    <t>IFRS 10 §B94</t>
  </si>
  <si>
    <t>// ══════════════════════════════════════════════════════════════════
// GROUPE E – ÉLIMINATIONS AUTOMATIQUES
// ══════════════════════════════════════════════════════════════════</t>
  </si>
  <si>
    <t>[M_ElimVentesIC]</t>
  </si>
  <si>
    <t>Total éliminations CA interco (retirer du CA consolidé)</t>
  </si>
  <si>
    <t>[M_ElimVentesIC] =
CALCULATE(
    SUM('Balances_PQ'[MontantEUR]),
    'Balances_PQ'[EstIC] = TRUE(),
    'Balances_PQ'[TypeFlux] = "Crédit",
    'Balances_PQ'[CatIFRS18_Finale] = "⚠️ Élimination IC"
)</t>
  </si>
  <si>
    <t>[M_CA_Net_Elim]</t>
  </si>
  <si>
    <t>CA consolidé après élimination IC</t>
  </si>
  <si>
    <t>[M_CA_Net_Elim] =
[M_CA_Groupe] - [M_ElimVentesIC]
// Ce montant = CA publié dans les états financiers</t>
  </si>
  <si>
    <t>IFRS 10 + IFRS 15</t>
  </si>
  <si>
    <t>[M_ElimDividendesIC]</t>
  </si>
  <si>
    <t>Dividendes IC éliminés (résultat investissement)</t>
  </si>
  <si>
    <t>[M_ElimDividendesIC] =
CALCULATE(
    SUM('Balances_PQ'[MontantEUR]),
    'Balances_PQ'[EstIC] = TRUE(),
    'Balances_PQ'[PosteGroupeIFRS18] = "Dividendes reçus"
)</t>
  </si>
  <si>
    <t>// ══════════════════════════════════════════════════════════════════
// GROUPE F – CASH FLOW (IAS 7)
// ══════════════════════════════════════════════════════════════════</t>
  </si>
  <si>
    <t>[M_FCF_Exploitation]</t>
  </si>
  <si>
    <t>Free Cash Flow d'exploitation (méthode indirecte)</t>
  </si>
  <si>
    <t>[M_FCF_Exploitation] =
[M_EBIT]
+ CALCULATE(
    ABS(SUM('Balances_PQ'[MontantEUR])),
    'Balances_PQ'[PosteGroupeIFRS18] = "Amortissements &amp; dépréciations"
)
- [M_Var_BFR]
// Ajouter la variation de BFR (calculée séparément)</t>
  </si>
  <si>
    <t>[M_Var_BFR]</t>
  </si>
  <si>
    <t>Variation du BFR (Stocks + Créances – Dettes)</t>
  </si>
  <si>
    <t>[M_Var_BFR] =
// Δ Stocks + Δ Créances Clients - Δ Dettes Fournisseurs
// Source : CONSOL_BILAN N vs N-1
CALCULATE(SUM('CONSOL_BILAN'[Consolidé_N]),'CONSOL_BILAN'[PosteIFRS]="Stocks")
- CALCULATE(SUM('CONSOL_BILAN'[Consolidé_N1]),'CONSOL_BILAN'[PosteIFRS]="Stocks")</t>
  </si>
  <si>
    <t>IAS 7 §20(b)</t>
  </si>
  <si>
    <t>[M_TrésoClôture]</t>
  </si>
  <si>
    <t>Trésorerie de clôture consolidée (contrôle IAS 7 §45)</t>
  </si>
  <si>
    <t>[M_TrésoClôture] =
CALCULATE(
    SUM('Balances_PQ'[MontantEUR]),
    'Balances_PQ'[PosteGroupeIFRS18] = "Trésorerie",
    'Balances_PQ'[TypeFlux] = "Actif",
    'Balances_PQ'[EstIC] = FALSE()
)</t>
  </si>
  <si>
    <t>// ══════════════════════════════════════════════════════════════════
// GROUPE G – MESURES TEMPORELLES &amp; YOY
// ══════════════════════════════════════════════════════════════════</t>
  </si>
  <si>
    <t>[M_CA_N1]</t>
  </si>
  <si>
    <t>CA consolidé N-1 (année précédente)</t>
  </si>
  <si>
    <t>[M_CA_N1] =
CALCULATE(
    [M_CA_Net_Elim],
    SAMEPERIODLASTYEAR('Calendrier'[Date])
)
// Requiert une table Calendrier marquée comme table de dates</t>
  </si>
  <si>
    <t>IAS 1 §38 – comparatif obligatoire</t>
  </si>
  <si>
    <t>[M_CA_CroissYOY]</t>
  </si>
  <si>
    <t>Croissance CA year-over-year</t>
  </si>
  <si>
    <t>[M_CA_CroissYOY] =
DIVIDE(
    [M_CA_Net_Elim] - [M_CA_N1],
    ABS([M_CA_N1]),
    BLANK()
)</t>
  </si>
  <si>
    <t>Analyse de performance</t>
  </si>
  <si>
    <t>[M_EBIT_CroissYOY]</t>
  </si>
  <si>
    <t>Croissance EBIT year-over-year</t>
  </si>
  <si>
    <t>[M_EBIT_CroissYOY] =
DIVIDE(
    [M_EBIT]
    - CALCULATE([M_EBIT], SAMEPERIODLASTYEAR('Calendrier'[Date])),
    ABS(CALCULATE([M_EBIT], SAMEPERIODLASTYEAR('Calendrier'[Date]))),
    BLANK()
)</t>
  </si>
  <si>
    <t>IFRS 18 §113 – MPM</t>
  </si>
  <si>
    <t>[M_CA_YTD]</t>
  </si>
  <si>
    <t>CA cumulé depuis début d'exercice (Year-to-Date)</t>
  </si>
  <si>
    <t>[M_CA_YTD] =
CALCULATEX(
    [M_CA_Net_Elim],
    DATESYTD('Calendrier'[Date], "12/31")
)</t>
  </si>
  <si>
    <t>Suivi mensuel</t>
  </si>
  <si>
    <t>// ══════════════════════════════════════════════════════════════════
// GROUPE H – COLONNES CALCULÉES (Power Query / Power Pivot)
// ══════════════════════════════════════════════════════════════════</t>
  </si>
  <si>
    <t>[C_CatIFRS18_Label]</t>
  </si>
  <si>
    <t>Colonne calculée : label enrichi catégorie IFRS 18</t>
  </si>
  <si>
    <t>[C_CatIFRS18_Label] =
SWITCH(
    TRUE(),
    'Balances_PQ'[CatIFRS18_Finale] = "① Exploitation",  "① Exploitation (Operating)",
    'Balances_PQ'[CatIFRS18_Finale] = "② Investissement", "② Investissement (Investing)",
    'Balances_PQ'[CatIFRS18_Finale] = "③ Financement",    "③ Financement (Financing)",
    'Balances_PQ'[CatIFRS18_Finale] = "④ Impôts",         "④ Impôts (IAS 12)",
    'Balances_PQ'[CatIFRS18_Finale] = "⚠️ Élimination IC", "⚠️ IC – À éliminer",
    'Balances_PQ'[CatIFRS18_Finale]
)</t>
  </si>
  <si>
    <t>IFRS 18 – 5 catégories</t>
  </si>
  <si>
    <t>[C_SigneNormalisé]</t>
  </si>
  <si>
    <t>Colonne calculée : convention de signe (crédit = positif, débit = négatif)</t>
  </si>
  <si>
    <t>[C_SigneNormalisé] =
IF(
    'Balances_PQ'[TypeFlux] = "Débit",
    -1 * 'Balances_PQ'[MontantEUR],
    'Balances_PQ'[MontantEUR]
)
// Convention : Charges en négatif, Produits en positif</t>
  </si>
  <si>
    <t>Convention comptable universelle</t>
  </si>
  <si>
    <t>⚙️  PQ_M_AVANCE – REQUÊTES POWER QUERY M AVANCÉES · CR IFRS 18 · BILAN · CASH FLOW · ÉLIMINATIONS AUTO</t>
  </si>
  <si>
    <t>4 requêtes M supplémentaires à ajouter dans l'éditeur Power Query. Elles utilisent 'Consolidation_FromFolder' comme source.</t>
  </si>
  <si>
    <t>REQUÊTE 4 : « CR_IFRS18_Consolidé » – Compte de Résultat formaté IFRS 18</t>
  </si>
  <si>
    <t xml:space="preserve">    // ─── SOURCE ──────────────────────────────────────────────────────────────</t>
  </si>
  <si>
    <t xml:space="preserve">    // ─── EXCLURE LES LIGNES IC À ÉLIMINER ────────────────────────────────────</t>
  </si>
  <si>
    <t xml:space="preserve">    // ─── EXCLURE LES POSTES DE BILAN ──────────────────────────────────────────</t>
  </si>
  <si>
    <t xml:space="preserve">    SeulementCR = Table.SelectRows(SansIC, each</t>
  </si>
  <si>
    <t xml:space="preserve">        [CatIFRS18_Finale] &lt;&gt; "Bilan" and [TypeFlux] &lt;&gt; "Actif" and [TypeFlux] &lt;&gt; "Passif"),</t>
  </si>
  <si>
    <t xml:space="preserve">    // ─── NORMALISER LE SIGNE (Charges = négatif, Produits = positif) ──────────</t>
  </si>
  <si>
    <t xml:space="preserve">    AvecSigne = Table.AddColumn(SeulementCR, "MontantSigné", each</t>
  </si>
  <si>
    <t xml:space="preserve">        if [TypeFlux] = "Débit" then -[MontantEUR]</t>
  </si>
  <si>
    <t xml:space="preserve">        else [MontantEUR], type number),</t>
  </si>
  <si>
    <t xml:space="preserve">    // ─── AGRÉGER PAR CATÉGORIE IFRS 18 × POSTE × ENTITÉ ──────────────────────</t>
  </si>
  <si>
    <t xml:space="preserve">    Agrégé = Table.Group(AvecSigne,</t>
  </si>
  <si>
    <t xml:space="preserve">        {"CatIFRS18_Finale", "PosteGroupeIFRS18", "SousPosteIFRS18", "EntitéNormalisée", "Exercice"},</t>
  </si>
  <si>
    <t xml:space="preserve">        {{"MontantEUR_Total", each List.Sum([MontantSigné]), type number}}),</t>
  </si>
  <si>
    <t xml:space="preserve">    // ─── AJOUTER L'ORDRE DE PRÉSENTATION IFRS 18 ─────────────────────────────</t>
  </si>
  <si>
    <t xml:space="preserve">    AvecOrdre = Table.AddColumn(Agrégé, "OrdreIFRS18", each</t>
  </si>
  <si>
    <t xml:space="preserve">        if   [CatIFRS18_Finale] = "① Exploitation"     then 1</t>
  </si>
  <si>
    <t xml:space="preserve">        else if [CatIFRS18_Finale] = "② Investissement"  then 2</t>
  </si>
  <si>
    <t xml:space="preserve">        else if [CatIFRS18_Finale] = "③ Financement"     then 3</t>
  </si>
  <si>
    <t xml:space="preserve">        else if [CatIFRS18_Finale] = "④ Impôts"          then 4</t>
  </si>
  <si>
    <t xml:space="preserve">        else if [CatIFRS18_Finale] = "⑤ Discontinu"      then 5</t>
  </si>
  <si>
    <t xml:space="preserve">        else 9, Int64.Type),</t>
  </si>
  <si>
    <t xml:space="preserve">    // ─── AJOUTER LES SOUS-TOTAUX OBLIGATOIRES (IFRS 18 §65) ──────────────────</t>
  </si>
  <si>
    <t xml:space="preserve">    // Note : Les sous-totaux sont calculés dans DAX/Power Pivot, pas dans cette requête.</t>
  </si>
  <si>
    <t xml:space="preserve">    // Cette requête fournit les lignes de détail. Les sous-totaux dans le rapport Excel</t>
  </si>
  <si>
    <t xml:space="preserve">    // utilisent les mesures DAX : [M_EBIT], [M_ProfitAvtFinImpôt], [M_RésNetConsolidé]</t>
  </si>
  <si>
    <t xml:space="preserve">    // ─── TRI FINAL ────────────────────────────────────────────────────────────</t>
  </si>
  <si>
    <t xml:space="preserve">    Trié = Table.Sort(AvecOrdre, {</t>
  </si>
  <si>
    <t xml:space="preserve">        {"Exercice", Order.Ascending},</t>
  </si>
  <si>
    <t xml:space="preserve">        {"OrdreIFRS18", Order.Ascending},</t>
  </si>
  <si>
    <t xml:space="preserve">        {"PosteGroupeIFRS18", Order.Ascending},</t>
  </si>
  <si>
    <t xml:space="preserve">        {"EntitéNormalisée", Order.Ascending}</t>
  </si>
  <si>
    <t xml:space="preserve">    })</t>
  </si>
  <si>
    <t>REQUÊTE 5 : « Bilan_Consolidé_PQ » – Bilan consolidé avec conversion IAS 21</t>
  </si>
  <si>
    <t xml:space="preserve">    // ─── FILTRER UNIQUEMENT LES POSTES DE BILAN ───────────────────────────────</t>
  </si>
  <si>
    <t xml:space="preserve">    SeulementBilan = Table.SelectRows(Source, each</t>
  </si>
  <si>
    <t xml:space="preserve">        [CatIFRS18_Finale] = "Bilan"</t>
  </si>
  <si>
    <t xml:space="preserve">        or [TypeFlux] = "Actif"</t>
  </si>
  <si>
    <t xml:space="preserve">        or [TypeFlux] = "Passif"),</t>
  </si>
  <si>
    <t xml:space="preserve">    // ─── CHARGER LA TABLE DE TAUX (CLÔTURE pour bilan) ────────────────────────</t>
  </si>
  <si>
    <t xml:space="preserve">    TauxClôture = Excel.CurrentWorkbook(){[Name="PQ_TAUX_CHANGE_TABLE"]}[Content],</t>
  </si>
  <si>
    <t xml:space="preserve">    TauxClôtureFiltré = Table.SelectRows(TauxClôture, each [TypeTaux] = "Clôture"),</t>
  </si>
  <si>
    <t xml:space="preserve">    // ─── APPLIQUER LE TAUX DE CLÔTURE (IAS 21 §23) ───────────────────────────</t>
  </si>
  <si>
    <t xml:space="preserve">    AvecTxClôture = Table.NestedJoin(SeulementBilan, {"Devise"},</t>
  </si>
  <si>
    <t xml:space="preserve">        TauxClôtureFiltré, {"Devise"}, "TauxInfo", JoinKind.LeftOuter),</t>
  </si>
  <si>
    <t xml:space="preserve">    ExpandTaux = Table.ExpandTableColumn(AvecTxClôture, "TauxInfo",</t>
  </si>
  <si>
    <t xml:space="preserve">        {"TauxEUR"}, {"TauxClôture_IAS21"}),</t>
  </si>
  <si>
    <t xml:space="preserve">    MontantClôture = Table.AddColumn(ExpandTaux, "MontantEUR_Clôture", each</t>
  </si>
  <si>
    <t xml:space="preserve">        [Montant] * (if [TauxClôture_IAS21] &lt;&gt; null then [TauxClôture_IAS21] else 1),</t>
  </si>
  <si>
    <t xml:space="preserve">        type number),</t>
  </si>
  <si>
    <t xml:space="preserve">    // ─── NORMALISER LE SIGNE BILAN ────────────────────────────────────────────</t>
  </si>
  <si>
    <t xml:space="preserve">    AvecSigne = Table.AddColumn(MontantClôture, "MontantSignéBilan", each</t>
  </si>
  <si>
    <t xml:space="preserve">        if [TypeFlux] = "Actif"  then  [MontantEUR_Clôture]   // Actifs → positif</t>
  </si>
  <si>
    <t xml:space="preserve">        else                          -[MontantEUR_Clôture],   // Passifs → négatif</t>
  </si>
  <si>
    <t xml:space="preserve">    // ─── AGRÉGER PAR POSTE × ENTITÉ ──────────────────────────────────────────</t>
  </si>
  <si>
    <t xml:space="preserve">        {"TypeFlux", "PosteGroupeIFRS18", "SousPosteIFRS18", "EntitéNormalisée", "Exercice"},</t>
  </si>
  <si>
    <t xml:space="preserve">        {{"MontantBilan_kEUR", each List.Sum([MontantSignéBilan]), type number}}),</t>
  </si>
  <si>
    <t xml:space="preserve">    // ─── AJOUTER ORDRE BILAN ──────────────────────────────────────────────────</t>
  </si>
  <si>
    <t xml:space="preserve">    AvecOrdre = Table.AddColumn(Agrégé, "OrdreBilan", each</t>
  </si>
  <si>
    <t xml:space="preserve">        if   [PosteGroupeIFRS18] = "Goodwill"              then 1</t>
  </si>
  <si>
    <t xml:space="preserve">        else if [PosteGroupeIFRS18] = "PP&amp;E"               then 2</t>
  </si>
  <si>
    <t xml:space="preserve">        else if [PosteGroupeIFRS18] = "DU IFRS 16"         then 3</t>
  </si>
  <si>
    <t xml:space="preserve">        else if [PosteGroupeIFRS18] = "IDA"                then 4</t>
  </si>
  <si>
    <t xml:space="preserve">        else if [PosteGroupeIFRS18] = "Stocks"             then 10</t>
  </si>
  <si>
    <t xml:space="preserve">        else if [PosteGroupeIFRS18] = "Créances clients"   then 11</t>
  </si>
  <si>
    <t xml:space="preserve">        else if [PosteGroupeIFRS18] = "Trésorerie"         then 15</t>
  </si>
  <si>
    <t xml:space="preserve">        else if [PosteGroupeIFRS18] = "Capital"            then 20</t>
  </si>
  <si>
    <t xml:space="preserve">        else if [PosteGroupeIFRS18] = "Réserves"           then 21</t>
  </si>
  <si>
    <t xml:space="preserve">        else if [PosteGroupeIFRS18] = "NCI"                then 25</t>
  </si>
  <si>
    <t xml:space="preserve">        else if [PosteGroupeIFRS18] = "Dettes financières LT" then 30</t>
  </si>
  <si>
    <t xml:space="preserve">        else if [PosteGroupeIFRS18] = "Fournisseurs"       then 40</t>
  </si>
  <si>
    <t xml:space="preserve">        else 50, Int64.Type),</t>
  </si>
  <si>
    <t xml:space="preserve">    Trié = Table.Sort(AvecOrdre, {{"OrdreBilan", Order.Ascending}, {"EntitéNormalisée", Order.Ascending}})</t>
  </si>
  <si>
    <t>REQUÊTE 6 : « Eliminations_Auto_PQ » – Application automatique des éliminations IC</t>
  </si>
  <si>
    <t xml:space="preserve">    // ─── SOURCE PRINCIPALE ────────────────────────────────────────────────────</t>
  </si>
  <si>
    <t xml:space="preserve">    // ─── CHARGER LA TABLE DES ÉLIMINATIONS ────────────────────────────────────</t>
  </si>
  <si>
    <t xml:space="preserve">    TableElim = Excel.CurrentWorkbook(){[Name="PQ_ELIMINATIONS_TABLE"]}[Content],</t>
  </si>
  <si>
    <t xml:space="preserve">    ElimVentes = Table.SelectRows(TableElim, each Text.StartsWith([RefElim], "V-")),</t>
  </si>
  <si>
    <t xml:space="preserve">    ElimMarges = Table.SelectRows(TableElim, each Text.StartsWith([RefElim], "M-")),</t>
  </si>
  <si>
    <t xml:space="preserve">    ElimDivid  = Table.SelectRows(TableElim, each Text.StartsWith([RefElim], "D-")),</t>
  </si>
  <si>
    <t xml:space="preserve">    ElimPrets  = Table.SelectRows(TableElim, each Text.StartsWith([RefElim], "P-")),</t>
  </si>
  <si>
    <t xml:space="preserve">    // ─── CONSTRUIRE LES LIGNES D'ÉCRITURE D'ÉLIMINATION ──────────────────────</t>
  </si>
  <si>
    <t xml:space="preserve">    // Type 1 : Ventes IC → Neutraliser CA vendeur + Achat acheteur</t>
  </si>
  <si>
    <t xml:space="preserve">    LignesElimVentes = Table.TransformColumns(ElimVentes, {}),</t>
  </si>
  <si>
    <t xml:space="preserve">    ElimVentes_CR = Table.AddColumn(LignesElimVentes, "TypeElimination", each "Élim_Ventes_IC"),</t>
  </si>
  <si>
    <t xml:space="preserve">    ElimVentes_Débit = Table.AddColumn(ElimVentes_CR, "ImpactCR_kEUR", each -[MontantEUR]),</t>
  </si>
  <si>
    <t xml:space="preserve">    // Type 2 : Marges IC → Réduire valeur stocks + ajust. coût des ventes</t>
  </si>
  <si>
    <t xml:space="preserve">    LignesElimMarges = Table.TransformColumns(ElimMarges, {}),</t>
  </si>
  <si>
    <t xml:space="preserve">    ElimMarges_Bilan = Table.AddColumn(LignesElimMarges, "TypeElimination", each "Élim_Marges_Stocks"),</t>
  </si>
  <si>
    <t xml:space="preserve">    ElimMarges_Impact = Table.AddColumn(ElimMarges_Bilan, "ImpactBilan_kEUR", each -[MargeIC_kEUR]),</t>
  </si>
  <si>
    <t xml:space="preserve">    // Type 3 : Dividendes IC → Éliminer produit financier + distribution</t>
  </si>
  <si>
    <t xml:space="preserve">    ElimDivid_CR = Table.AddColumn(ElimDivid, "TypeElimination", each "Élim_Dividendes_IC"),</t>
  </si>
  <si>
    <t xml:space="preserve">    ElimDivid_Neut = Table.AddColumn(ElimDivid_CR, "ImpactCR_kEUR", each -[DividendeEUR]),</t>
  </si>
  <si>
    <t xml:space="preserve">    // Type 4 : Prêts IC → Éliminer créance/dette + intérêts</t>
  </si>
  <si>
    <t xml:space="preserve">    ElimPrets_Bilan = Table.AddColumn(ElimPrets, "TypeElimination", each "Élim_Prêts_IC"),</t>
  </si>
  <si>
    <t xml:space="preserve">    ElimPrets_Impact = Table.AddColumn(ElimPrets_Bilan, "ImpactBilan_kEUR", each -[CapitalEUR]),</t>
  </si>
  <si>
    <t xml:space="preserve">    // ─── RÉCAPITULATIF DES ÉLIMINATIONS ──────────────────────────────────────</t>
  </si>
  <si>
    <t xml:space="preserve">    RecapElim = Table.SelectRows(Source, each [EstIC] = true),</t>
  </si>
  <si>
    <t xml:space="preserve">    RecapGroupé = Table.Group(RecapElim, {"CatIFRS18_Finale","EntitéNormalisée"},</t>
  </si>
  <si>
    <t xml:space="preserve">        {{"MontantElim_kEUR", each List.Sum([MontantEUR]), type number},</t>
  </si>
  <si>
    <t xml:space="preserve">         {"NbLignes", each Table.RowCount(_), Int64.Type}}),</t>
  </si>
  <si>
    <t xml:space="preserve">    // ─── AJOUTER FLAG VALIDATION ──────────────────────────────────────────────</t>
  </si>
  <si>
    <t xml:space="preserve">    AvecValidation = Table.AddColumn(RecapGroupé, "Statut", each</t>
  </si>
  <si>
    <t xml:space="preserve">        if [MontantElim_kEUR] = 0 then "✅ Néant"</t>
  </si>
  <si>
    <t xml:space="preserve">        else "⚠️ À vérifier contre contrepartie")</t>
  </si>
  <si>
    <t xml:space="preserve">    AvecValidation</t>
  </si>
  <si>
    <t>REQUÊTE 7 : « CashFlow_PQ » – Flux de trésorerie consolidé (méthode indirecte IAS 7)</t>
  </si>
  <si>
    <t xml:space="preserve">    // ─── BASE : UTILISER LES AGRÉGATS DU CR ET DU BILAN ──────────────────────</t>
  </si>
  <si>
    <t xml:space="preserve">    // Note : Cette requête construit le TFT structure. Les valeurs</t>
  </si>
  <si>
    <t xml:space="preserve">    // sont liées via formules Excel aux onglets CONSOL_CR et CONSOL_BILAN.</t>
  </si>
  <si>
    <t xml:space="preserve">    // ─── PARAMÈTRES DE BASE ───────────────────────────────────────────────────</t>
  </si>
  <si>
    <t xml:space="preserve">    EBIT             = Excel.CurrentWorkbook(){[Name="CF_EBIT"]}[Content]{0}[Valeur],</t>
  </si>
  <si>
    <t xml:space="preserve">    Amortissements   = Excel.CurrentWorkbook(){[Name="CF_AMORT"]}[Content]{0}[Valeur],</t>
  </si>
  <si>
    <t xml:space="preserve">    VarBFR           = Excel.CurrentWorkbook(){[Name="CF_BFR"]}[Content]{0}[Valeur],</t>
  </si>
  <si>
    <t xml:space="preserve">    ElimIC           = Excel.CurrentWorkbook(){[Name="CF_ELIM"]}[Content]{0}[Valeur],</t>
  </si>
  <si>
    <t xml:space="preserve">    CAPEX            = Excel.CurrentWorkbook(){[Name="CF_CAPEX"]}[Content]{0}[Valeur],</t>
  </si>
  <si>
    <t xml:space="preserve">    Cessions         = Excel.CurrentWorkbook(){[Name="CF_CESSION"]}[Content]{0}[Valeur],</t>
  </si>
  <si>
    <t xml:space="preserve">    Emprunts         = Excel.CurrentWorkbook(){[Name="CF_EMPRUNTS"]}[Content]{0}[Valeur],</t>
  </si>
  <si>
    <t xml:space="preserve">    DivVersés        = Excel.CurrentWorkbook(){[Name="CF_DIV"]}[Content]{0}[Valeur],</t>
  </si>
  <si>
    <t xml:space="preserve">    Intérêts         = Excel.CurrentWorkbook(){[Name="CF_INT"]}[Content]{0}[Valeur],</t>
  </si>
  <si>
    <t xml:space="preserve">    EffetChange      = Excel.CurrentWorkbook(){[Name="CF_CHANGE"]}[Content]{0}[Valeur],</t>
  </si>
  <si>
    <t xml:space="preserve">    TrésoOuv         = Excel.CurrentWorkbook(){[Name="CF_TRESOOUV"]}[Content]{0}[Valeur],</t>
  </si>
  <si>
    <t xml:space="preserve">    // ─── CONSTRUIRE LA TABLE STRUCTURÉE DU TFT ────────────────────────────────</t>
  </si>
  <si>
    <t xml:space="preserve">    TFT_Lignes = #table(</t>
  </si>
  <si>
    <t xml:space="preserve">        {"Ordre","Rubrique","Poste","Montant_kEUR","MethodeIAS7","Référence"},</t>
  </si>
  <si>
    <t xml:space="preserve">        {</t>
  </si>
  <si>
    <t xml:space="preserve">            {1, "A. EXPLOITATION", "Résultat net consolidé (point de départ)", EBIT, "Indirect §20", "IAS 7 §20(a)"},</t>
  </si>
  <si>
    <t xml:space="preserve">            {2, "A. EXPLOITATION", "+ Amortissements &amp; dépréciations (add-back)", Amortissements, "Indirect §20", "IAS 7 §20(b)"},</t>
  </si>
  <si>
    <t xml:space="preserve">            {3, "A. EXPLOITATION", "± Variation du BFR (stocks+créances-fournisseurs)", VarBFR, "Indirect §20", "IAS 7 §20(b)"},</t>
  </si>
  <si>
    <t xml:space="preserve">            {4, "A. EXPLOITATION", "- Éliminations IC (dividendes &amp; intérêts)", ElimIC, "Indirect §20", "IFRS 10"},</t>
  </si>
  <si>
    <t xml:space="preserve">            {5, "A. EXPLOITATION", "= FLUX EXPLOITATION (A)", EBIT + Amortissements + VarBFR + ElimIC, "Indirect", "IAS 7 §20"},</t>
  </si>
  <si>
    <t xml:space="preserve">            {6, "B. INVESTISSEMENT", "- CAPEX (acquisitions d'actifs)", CAPEX, "Direct §16", "IAS 7 §16"},</t>
  </si>
  <si>
    <t xml:space="preserve">            {7, "B. INVESTISSEMENT", "+ Cessions d'actifs nets", Cessions, "Direct §16", "IAS 7 §16"},</t>
  </si>
  <si>
    <t xml:space="preserve">            {8, "B. INVESTISSEMENT", "= FLUX INVESTISSEMENT (B)", CAPEX + Cessions, "Direct", "IAS 7 §16"},</t>
  </si>
  <si>
    <t xml:space="preserve">            {9, "C. FINANCEMENT", "± Emprunts (nets remboursements)", Emprunts, "Direct §17", "IAS 7 §17"},</t>
  </si>
  <si>
    <t xml:space="preserve">            {10, "C. FINANCEMENT", "- Dividendes versés (groupe + NCI)", DivVersés, "Direct §17", "IAS 7 §31"},</t>
  </si>
  <si>
    <t xml:space="preserve">            {11, "C. FINANCEMENT", "- Intérêts payés", Intérêts, "Direct §17", "IAS 7 §33"},</t>
  </si>
  <si>
    <t xml:space="preserve">            {12, "C. FINANCEMENT", "= FLUX FINANCEMENT (C)", Emprunts + DivVersés + Intérêts, "Direct", "IAS 7 §17"},</t>
  </si>
  <si>
    <t xml:space="preserve">            {13, "D. EFFETS CHANGE", "± Effet variations de change (IAS 21)", EffetChange, "Spécifique", "IAS 7 §28"},</t>
  </si>
  <si>
    <t xml:space="preserve">            {14, "TOTAL", "= VARIATION NETTE TRÉSORERIE (A+B+C+D)",</t>
  </si>
  <si>
    <t xml:space="preserve">                (EBIT + Amortissements + VarBFR + ElimIC)</t>
  </si>
  <si>
    <t xml:space="preserve">                + (CAPEX + Cessions)</t>
  </si>
  <si>
    <t xml:space="preserve">                + (Emprunts + DivVersés + Intérêts)</t>
  </si>
  <si>
    <t xml:space="preserve">                + EffetChange, "Contrôle", "IAS 7 §45"},</t>
  </si>
  <si>
    <t xml:space="preserve">            {15, "CONTRÔLE", "Trésorerie d'ouverture (01/01/2025)", TrésoOuv, "Contrôle", "IAS 7 §45"},</t>
  </si>
  <si>
    <t xml:space="preserve">            {16, "CONTRÔLE", "= Trésorerie de clôture (31/12/2025)",</t>
  </si>
  <si>
    <t xml:space="preserve">                + EffetChange + TrésoOuv, "Contrôle", "IAS 7 §45"}</t>
  </si>
  <si>
    <t xml:space="preserve">        }</t>
  </si>
  <si>
    <t xml:space="preserve">    ),</t>
  </si>
  <si>
    <t xml:space="preserve">    // ─── TYPAGE ──────────────────────────────────────────────────────────────</t>
  </si>
  <si>
    <t xml:space="preserve">    Typé = Table.TransformColumnTypes(TFT_Lignes,{</t>
  </si>
  <si>
    <t xml:space="preserve">        {"Ordre", Int64.Type},</t>
  </si>
  <si>
    <t xml:space="preserve">        {"Rubrique", type text},</t>
  </si>
  <si>
    <t xml:space="preserve">        {"Poste", type text},</t>
  </si>
  <si>
    <t xml:space="preserve">        {"Montant_kEUR", type number},</t>
  </si>
  <si>
    <t xml:space="preserve">        {"MethodeIAS7", type text},</t>
  </si>
  <si>
    <t xml:space="preserve">        {"Référence", type text}</t>
  </si>
  <si>
    <t xml:space="preserve">    Typé</t>
  </si>
  <si>
    <t>🔗  FORMULES_LIAISON – TABLEAU DE BORD DES LIAISONS ENTRE ONGLETS · Cartographie complète</t>
  </si>
  <si>
    <t>Ce tableau documente toutes les formules de liaison inter-onglets. Colonne F = formule à copier dans la cellule cible. Mettre à jour si structure des onglets change.</t>
  </si>
  <si>
    <t>Onglet Cible</t>
  </si>
  <si>
    <t>Cellule Cible</t>
  </si>
  <si>
    <t>Poste / Label</t>
  </si>
  <si>
    <t>Onglet Source</t>
  </si>
  <si>
    <t>Cellule Source</t>
  </si>
  <si>
    <t>Formule à utiliser</t>
  </si>
  <si>
    <t>TypeConversion</t>
  </si>
  <si>
    <t>Criticité</t>
  </si>
  <si>
    <t>D7</t>
  </si>
  <si>
    <t>CA FR_ParentCo</t>
  </si>
  <si>
    <t>Aucune (EUR)</t>
  </si>
  <si>
    <t>🔴 Critique</t>
  </si>
  <si>
    <t>CA société mère</t>
  </si>
  <si>
    <t>E7</t>
  </si>
  <si>
    <t>CA DE_Filiale</t>
  </si>
  <si>
    <t>C30</t>
  </si>
  <si>
    <t>CA filiale DE</t>
  </si>
  <si>
    <t>F7</t>
  </si>
  <si>
    <t>CA UK_Filiale (EUR)</t>
  </si>
  <si>
    <t>×1.1650 Tx moy.</t>
  </si>
  <si>
    <t>CA UK converti EUR au taux moyen</t>
  </si>
  <si>
    <t>G7</t>
  </si>
  <si>
    <t>CA US_Filiale (EUR)</t>
  </si>
  <si>
    <t>×0.9250 Tx moy.</t>
  </si>
  <si>
    <t>CA US converti EUR au taux moyen</t>
  </si>
  <si>
    <t>H7</t>
  </si>
  <si>
    <t>CA SG_Filiale (EUR)</t>
  </si>
  <si>
    <t>×0.6820 Tx moy.</t>
  </si>
  <si>
    <t>CA SG converti EUR au taux moyen</t>
  </si>
  <si>
    <t>I7</t>
  </si>
  <si>
    <t>Éliminations IC CA</t>
  </si>
  <si>
    <t>I13</t>
  </si>
  <si>
    <t>Négatif</t>
  </si>
  <si>
    <t>Neutralisation CA interco</t>
  </si>
  <si>
    <t>K7</t>
  </si>
  <si>
    <t>CA CONSOLIDÉ</t>
  </si>
  <si>
    <t>Agrégé</t>
  </si>
  <si>
    <t>Total CA groupe consolidé</t>
  </si>
  <si>
    <t>K14</t>
  </si>
  <si>
    <t>EBIT CONSOLIDÉ</t>
  </si>
  <si>
    <t>IFRS 18 §55</t>
  </si>
  <si>
    <t>Résultat opérationnel</t>
  </si>
  <si>
    <t>K19</t>
  </si>
  <si>
    <t>Résultat Invest.</t>
  </si>
  <si>
    <t>Catégorie ② Investissement</t>
  </si>
  <si>
    <t>K24</t>
  </si>
  <si>
    <t>Profit avt Fin/IS</t>
  </si>
  <si>
    <t>IFRS 18 §65</t>
  </si>
  <si>
    <t>🆕 NOUVEAU sous-total IFRS 18</t>
  </si>
  <si>
    <t>C6</t>
  </si>
  <si>
    <t>GW net FR</t>
  </si>
  <si>
    <t>C16</t>
  </si>
  <si>
    <t>Aucune</t>
  </si>
  <si>
    <t>Goodwill net société mère</t>
  </si>
  <si>
    <t>D6</t>
  </si>
  <si>
    <t>GW net DE</t>
  </si>
  <si>
    <t>Goodwill net DE</t>
  </si>
  <si>
    <t>E6</t>
  </si>
  <si>
    <t>GW net UK (EUR)</t>
  </si>
  <si>
    <t>×1.1650 Tx clôt.</t>
  </si>
  <si>
    <t>GW UK converti au taux de clôture</t>
  </si>
  <si>
    <t>F6</t>
  </si>
  <si>
    <t>GW net US (EUR)</t>
  </si>
  <si>
    <t>×0.9180 Tx clôt.</t>
  </si>
  <si>
    <t>GW US converti au taux de clôture</t>
  </si>
  <si>
    <t>G6</t>
  </si>
  <si>
    <t>GW net SG (EUR)</t>
  </si>
  <si>
    <t>×0.6780 Tx clôt.</t>
  </si>
  <si>
    <t>GW SG converti au taux de clôture</t>
  </si>
  <si>
    <t>I6</t>
  </si>
  <si>
    <t>Élim. Titres &amp; GW</t>
  </si>
  <si>
    <t>H21</t>
  </si>
  <si>
    <t>Élimination titres participation</t>
  </si>
  <si>
    <t>J6</t>
  </si>
  <si>
    <t>GW net consolidé</t>
  </si>
  <si>
    <t>Goodwill groupe net</t>
  </si>
  <si>
    <t>J18</t>
  </si>
  <si>
    <t>Trésorerie consol.</t>
  </si>
  <si>
    <t>C28</t>
  </si>
  <si>
    <t>Contrôle croisé</t>
  </si>
  <si>
    <t>Doit = Tréso clôture TFT</t>
  </si>
  <si>
    <t>J20</t>
  </si>
  <si>
    <t>Contrôle</t>
  </si>
  <si>
    <t>Doit = Total Passif (J41)</t>
  </si>
  <si>
    <t>J41</t>
  </si>
  <si>
    <t>Doit = Total Actif (J20)</t>
  </si>
  <si>
    <t>Résultat exercice</t>
  </si>
  <si>
    <t>K30</t>
  </si>
  <si>
    <t>Lien direct</t>
  </si>
  <si>
    <t>Résultat net → Capitaux propres</t>
  </si>
  <si>
    <t>K27</t>
  </si>
  <si>
    <t>NCI Bilan</t>
  </si>
  <si>
    <t>D17</t>
  </si>
  <si>
    <t>Calculé</t>
  </si>
  <si>
    <t>Intérêts minoritaires au bilan</t>
  </si>
  <si>
    <t>Résultat net départ</t>
  </si>
  <si>
    <t>Point de départ méthode indirecte</t>
  </si>
  <si>
    <t>C12</t>
  </si>
  <si>
    <t>Amortissements add-back</t>
  </si>
  <si>
    <t>K12</t>
  </si>
  <si>
    <t>Signe inversé</t>
  </si>
  <si>
    <t>Amort. charges → flux positif TFT</t>
  </si>
  <si>
    <t>C14</t>
  </si>
  <si>
    <t>CAPEX</t>
  </si>
  <si>
    <t>IAS 7 §16</t>
  </si>
  <si>
    <t>🟠 Important</t>
  </si>
  <si>
    <t>Acquisitions d'actifs (valeur saisie)</t>
  </si>
  <si>
    <t>Tréso clôture</t>
  </si>
  <si>
    <t>Contrôle bilan = TFT</t>
  </si>
  <si>
    <t>KPI CA groupe</t>
  </si>
  <si>
    <t>Carte KPI principale</t>
  </si>
  <si>
    <t>C7</t>
  </si>
  <si>
    <t>KPI EBIT</t>
  </si>
  <si>
    <t>Carte KPI EBIT</t>
  </si>
  <si>
    <t>C11</t>
  </si>
  <si>
    <t>Calcul</t>
  </si>
  <si>
    <t>IFRS 18 MPM</t>
  </si>
  <si>
    <t>EBIT + amort.</t>
  </si>
  <si>
    <t>E24</t>
  </si>
  <si>
    <t>Profit avt Fin&amp;IS</t>
  </si>
  <si>
    <t>🆕 Sous-total IFRS 18 obligatoire</t>
  </si>
  <si>
    <t>C31</t>
  </si>
  <si>
    <t>NCI Résultat</t>
  </si>
  <si>
    <t>F17</t>
  </si>
  <si>
    <t>🟡 Standard</t>
  </si>
  <si>
    <t>Part minoritaires résultat</t>
  </si>
  <si>
    <t>Scope 1+2 CO₂</t>
  </si>
  <si>
    <t>ESRS E1-6</t>
  </si>
  <si>
    <t>Émissions GES Scope 1+2</t>
  </si>
  <si>
    <t>C21</t>
  </si>
  <si>
    <t>% Femmes total</t>
  </si>
  <si>
    <t>J21</t>
  </si>
  <si>
    <t>ESRS S1-9</t>
  </si>
  <si>
    <t>Parité groupe</t>
  </si>
  <si>
    <t>C22</t>
  </si>
  <si>
    <t>J22</t>
  </si>
  <si>
    <t>Diversité direction</t>
  </si>
  <si>
    <t>Taux moyen GBP</t>
  </si>
  <si>
    <t>PQ_TAUX_CHANGE</t>
  </si>
  <si>
    <t>Paramètre</t>
  </si>
  <si>
    <t>Centraliser le taux dans PQ_TAUX_CHANGE</t>
  </si>
  <si>
    <t>Taux clôture GBP</t>
  </si>
  <si>
    <t>PQ_ELIMINATIONS</t>
  </si>
  <si>
    <t>Total élim. ventes</t>
  </si>
  <si>
    <t>Contrôle vs table ELIM manuelle</t>
  </si>
  <si>
    <t>D21</t>
  </si>
  <si>
    <t>Note 3 – Goodwill</t>
  </si>
  <si>
    <t>C15</t>
  </si>
  <si>
    <t>Dépréc. cumulée GW</t>
  </si>
  <si>
    <t>G21</t>
  </si>
  <si>
    <t>Note 3 – Test dépréciation</t>
  </si>
  <si>
    <t>Obligation IAS 19 nette</t>
  </si>
  <si>
    <t>Saisie</t>
  </si>
  <si>
    <t>Note 6 – Avantages personnel</t>
  </si>
  <si>
    <t>📊 STATISTIQUES LIAISONS</t>
  </si>
  <si>
    <t>Total liaisons documentées</t>
  </si>
  <si>
    <t>Critiques 🔴</t>
  </si>
  <si>
    <t>Importantes 🟠</t>
  </si>
  <si>
    <t>Standard 🟡</t>
  </si>
  <si>
    <t>Onglets interconnectés</t>
  </si>
  <si>
    <t>💱 Taux de conversion appliqués (IAS 21) – Liés à PQ_TAUX_CHANGE</t>
  </si>
  <si>
    <t>UK (EUR)
×1.1520 moy.</t>
  </si>
  <si>
    <t>US (EUR)
×0.9250 moy.</t>
  </si>
  <si>
    <t>SG (EUR)
×0.6820 moy.</t>
  </si>
  <si>
    <t>🔗 MODÈLE DE DONNÉES POWER PIVOT – RELATIONS ENTRE TABLES</t>
  </si>
  <si>
    <t>Table Fait</t>
  </si>
  <si>
    <t>Champ Clé</t>
  </si>
  <si>
    <t>Table Dimension</t>
  </si>
  <si>
    <t>Cardinalité</t>
  </si>
  <si>
    <t>[EntitéNormalisée]</t>
  </si>
  <si>
    <t>→</t>
  </si>
  <si>
    <t>[EntitéFiliale]</t>
  </si>
  <si>
    <t>Many-to-One</t>
  </si>
  <si>
    <t>Filtrer par entité, calculer NCI</t>
  </si>
  <si>
    <t>[Devise]</t>
  </si>
  <si>
    <t>Appliquer taux IAS 21</t>
  </si>
  <si>
    <t>[CodeCompte]</t>
  </si>
  <si>
    <t>PQ_MAPPING</t>
  </si>
  <si>
    <t>[CodeSource]</t>
  </si>
  <si>
    <t>Reclasser IFRS 18</t>
  </si>
  <si>
    <t>[Mois]</t>
  </si>
  <si>
    <t>Calendrier</t>
  </si>
  <si>
    <t>Analyses temporelles YOY/YTD</t>
  </si>
  <si>
    <t>[Vendeur]</t>
  </si>
  <si>
    <t>Valider éliminations par périmètre</t>
  </si>
  <si>
    <t>✅ CLASSEUR COMPLET – 25 ONGLETS · 3 ÉTAPES · Données fictives IFRS 18 / CSRD / IAS 21 / IFRS 10 · Prêt pour Power Query &amp; Power Pivot</t>
  </si>
  <si>
    <t>🌍  ESG_CARBONE – BILAN CARBONE CONSOLIDÉ · Scope 1 / 2 / 3 · Pondération par Entité · ESRS E1-6 / GHG Protocol</t>
  </si>
  <si>
    <t>ESRS E1-6 §44 : Émissions brutes Scope 1+2+3 obligatoires · GHG Protocol Corporate Standard · Unité : tCO₂eq · Base : GWP-100 AR6 GIEC</t>
  </si>
  <si>
    <t>SECTION 1 – FACTEURS D'ÉMISSION PAR ENTITÉ ET SOURCE (tCO₂eq / unité)</t>
  </si>
  <si>
    <t>EntitéGroupe</t>
  </si>
  <si>
    <t>SourceÉnergie</t>
  </si>
  <si>
    <t>ScopeGHG</t>
  </si>
  <si>
    <t>FacteurEmission</t>
  </si>
  <si>
    <t>FacteurPays_kgCO2/kWh</t>
  </si>
  <si>
    <t>TypeRéseau</t>
  </si>
  <si>
    <t>AnneeMiseAjour</t>
  </si>
  <si>
    <t>France</t>
  </si>
  <si>
    <t>Électricité réseau</t>
  </si>
  <si>
    <t>Scope 2 (marché)</t>
  </si>
  <si>
    <t>tCO₂/MWh</t>
  </si>
  <si>
    <t>Mix FR (nucléaire 70%)</t>
  </si>
  <si>
    <t>AIE / RTE</t>
  </si>
  <si>
    <t>Gaz naturel</t>
  </si>
  <si>
    <t>Scope 1</t>
  </si>
  <si>
    <t>Combustion directe</t>
  </si>
  <si>
    <t>ADEME FE 2025</t>
  </si>
  <si>
    <t>Fioul/gasoil</t>
  </si>
  <si>
    <t>tCO₂/L</t>
  </si>
  <si>
    <t>Flotte véhicules</t>
  </si>
  <si>
    <t>Combustion directe mobile</t>
  </si>
  <si>
    <t>Achats &amp; supply chain</t>
  </si>
  <si>
    <t>Scope 3 cat.1</t>
  </si>
  <si>
    <t>tCO₂/k€ achat</t>
  </si>
  <si>
    <t>Facteur monétaire</t>
  </si>
  <si>
    <t>Ecoinvent 3.9</t>
  </si>
  <si>
    <t>Allemagne</t>
  </si>
  <si>
    <t>Mix DE (charbon+gaz)</t>
  </si>
  <si>
    <t>UBA Allemagne</t>
  </si>
  <si>
    <t>IPCC AR6</t>
  </si>
  <si>
    <t>Process industriel</t>
  </si>
  <si>
    <t>tCO₂/t produit</t>
  </si>
  <si>
    <t>Émissions procédé</t>
  </si>
  <si>
    <t>BREF Industrie</t>
  </si>
  <si>
    <t>Mix UK (éolien+gaz)</t>
  </si>
  <si>
    <t>DESNZ UK</t>
  </si>
  <si>
    <t>Déplacements pro</t>
  </si>
  <si>
    <t>Scope 3 cat.6</t>
  </si>
  <si>
    <t>tCO₂/km</t>
  </si>
  <si>
    <t>Transport aérien long-courrier</t>
  </si>
  <si>
    <t>DEFRA 2025</t>
  </si>
  <si>
    <t>Achats IT &amp; digital</t>
  </si>
  <si>
    <t>Secteur tech</t>
  </si>
  <si>
    <t>Mix US (gaz+charbon)</t>
  </si>
  <si>
    <t>EPA eGRID 2025</t>
  </si>
  <si>
    <t>EPA AP-42</t>
  </si>
  <si>
    <t>Transport &amp; logistique</t>
  </si>
  <si>
    <t>Scope 3 cat.4</t>
  </si>
  <si>
    <t>tCO₂/t.km</t>
  </si>
  <si>
    <t>Transport camion TL</t>
  </si>
  <si>
    <t>EPA SmartWay</t>
  </si>
  <si>
    <t>Distribution retail</t>
  </si>
  <si>
    <t>Mix SG (gaz naturel 95%)</t>
  </si>
  <si>
    <t>EMA Singapore</t>
  </si>
  <si>
    <t>Déplacements régionaux</t>
  </si>
  <si>
    <t>Transport aérien régional</t>
  </si>
  <si>
    <t>ICAO Carbon Calculator</t>
  </si>
  <si>
    <t>SECTION 2 – ÉMISSIONS BRUTES PAR ENTITÉ, PAR SCOPE ET PAR MOIS 2025 (tCO₂eq)</t>
  </si>
  <si>
    <t>Scope</t>
  </si>
  <si>
    <t>TOTAL_2025</t>
  </si>
  <si>
    <t>TOTAL_2024</t>
  </si>
  <si>
    <t>Objectif_2030</t>
  </si>
  <si>
    <t>Écart_Obj</t>
  </si>
  <si>
    <t>% Atteinte</t>
  </si>
  <si>
    <t>Intensité (tCO₂/M€ CA)</t>
  </si>
  <si>
    <t>Intensité N-1</t>
  </si>
  <si>
    <t>Pondération Groupe</t>
  </si>
  <si>
    <t>Note ESRS</t>
  </si>
  <si>
    <t>Vérif. Tiers</t>
  </si>
  <si>
    <t>Scope 1 (direct)</t>
  </si>
  <si>
    <t>E1-6 §44a</t>
  </si>
  <si>
    <t>✅ Vérifié tiers</t>
  </si>
  <si>
    <t>Conforme</t>
  </si>
  <si>
    <t>Scope 2 (énergie – marché)</t>
  </si>
  <si>
    <t>E1-6 §44b</t>
  </si>
  <si>
    <t>Scope 3 (chaîne valeur)</t>
  </si>
  <si>
    <t>E1-6 §44c</t>
  </si>
  <si>
    <t>🔄 Auto-déclaré</t>
  </si>
  <si>
    <t>À vérifier</t>
  </si>
  <si>
    <t>SECTION 3 – CONSOLIDATION GROUPE : AGRÉGATS PAR SCOPE + PONDÉRATION</t>
  </si>
  <si>
    <t>Groupe_2025 (tCO₂eq)</t>
  </si>
  <si>
    <t>Groupe_2024</t>
  </si>
  <si>
    <t>Intensité Groupe</t>
  </si>
  <si>
    <t>Benchmark Secteur</t>
  </si>
  <si>
    <t>vs Benchmark</t>
  </si>
  <si>
    <t>Part Scope (%)</t>
  </si>
  <si>
    <t>Norme ESRS</t>
  </si>
  <si>
    <t>🌍 TOTAL Scope 1+2+3 (tCO₂eq)</t>
  </si>
  <si>
    <t>SECTION 4 – PRIX INTERNE DU CARBONE (CARBON PRICING) · Impact Financier Consolidé</t>
  </si>
  <si>
    <t>Prix interne carbone (€/tCO₂eq) :</t>
  </si>
  <si>
    <t>€/tCO₂eq – Modifier ce paramètre pour le scénario de tarification carbone</t>
  </si>
  <si>
    <t>Scope 3 (tCO₂eq)</t>
  </si>
  <si>
    <t>Total (tCO₂eq)</t>
  </si>
  <si>
    <t>Coût Carbone S1+2 (k€)</t>
  </si>
  <si>
    <t>Coût Carbone S3 (k€)</t>
  </si>
  <si>
    <t>Coût Total Carbone (k€)</t>
  </si>
  <si>
    <t>% EBIT consolidé – impact si régulation carbone appliquée</t>
  </si>
  <si>
    <t>👥  ESG_DIVERSITE – KPIs DIVERSITÉ, PARITÉ &amp; GOUVERNANCE · ESRS S1 / G1 · Toutes Entités · 2025</t>
  </si>
  <si>
    <t>SECTION 1 – EFFECTIFS &amp; PARITÉ (ESRS S1-6 / S1-9)</t>
  </si>
  <si>
    <t>ETP_Total</t>
  </si>
  <si>
    <t>ETP_CDI</t>
  </si>
  <si>
    <t>Pct_CDI</t>
  </si>
  <si>
    <t>ETP_Femmes</t>
  </si>
  <si>
    <t>Pct_Femmes</t>
  </si>
  <si>
    <t>ETP_Dirigeants</t>
  </si>
  <si>
    <t>Femmes_Dir</t>
  </si>
  <si>
    <t>Pct_Fem_Dir</t>
  </si>
  <si>
    <t>Obj_FemDir_2028</t>
  </si>
  <si>
    <t>Recrutements</t>
  </si>
  <si>
    <t>Taux_Turnover</t>
  </si>
  <si>
    <t>Age_Moyen</t>
  </si>
  <si>
    <t>ESRS_Ref</t>
  </si>
  <si>
    <t>S1-6,S1-9</t>
  </si>
  <si>
    <t>SECTION 2 – RÉMUNÉRATION ÉQUITABLE (ESRS S1-16) · Écart salarial H/F · Pay ratio</t>
  </si>
  <si>
    <t>SalMéd_F</t>
  </si>
  <si>
    <t>SalMéd_H</t>
  </si>
  <si>
    <t>Écart_H/F</t>
  </si>
  <si>
    <t>Obj_2027</t>
  </si>
  <si>
    <t>SalDir_Max</t>
  </si>
  <si>
    <t>SalMéd_Global</t>
  </si>
  <si>
    <t>PayRatio</t>
  </si>
  <si>
    <t>SECTION 3 – SANTÉ, SÉCURITÉ &amp; FORMATION (ESRS S1-11 / S1-13)</t>
  </si>
  <si>
    <t>TRIR_2025</t>
  </si>
  <si>
    <t>TRIR_2024</t>
  </si>
  <si>
    <t>Obj_2026</t>
  </si>
  <si>
    <t>Δ TRIR</t>
  </si>
  <si>
    <t>Accidents_Mortels</t>
  </si>
  <si>
    <t>Maladies_Pro</t>
  </si>
  <si>
    <t>H_Form/ETP</t>
  </si>
  <si>
    <t>Budget_Form_k€</t>
  </si>
  <si>
    <t>Pct_ETP_Formés</t>
  </si>
  <si>
    <t>Certif_SST</t>
  </si>
  <si>
    <t>ESRS</t>
  </si>
  <si>
    <t>ISO 45001</t>
  </si>
  <si>
    <t>OHSAS</t>
  </si>
  <si>
    <t>HSE UK</t>
  </si>
  <si>
    <t>OSHA</t>
  </si>
  <si>
    <t>MOM SG</t>
  </si>
  <si>
    <t>SECTION 4 – GOUVERNANCE (ESRS G1) · CA · Éthique · Fournisseurs · Fiscalité</t>
  </si>
  <si>
    <t>Indicateur G1</t>
  </si>
  <si>
    <t>Valeur 2024</t>
  </si>
  <si>
    <t>Objectif / Benchmark</t>
  </si>
  <si>
    <t>Membres CA total</t>
  </si>
  <si>
    <t>12-18 membres</t>
  </si>
  <si>
    <t>Femmes au CA</t>
  </si>
  <si>
    <t>≥ 6 (40% – Loi Rixain 2027)</t>
  </si>
  <si>
    <t>Indépendants au CA (%)</t>
  </si>
  <si>
    <t>&gt; 50% AFEP-MEDEF</t>
  </si>
  <si>
    <t>Nationalités au CA</t>
  </si>
  <si>
    <t>&gt; 5</t>
  </si>
  <si>
    <t>Réunions RSE/an</t>
  </si>
  <si>
    <t>&gt; 3</t>
  </si>
  <si>
    <t>Incidents corruption</t>
  </si>
  <si>
    <t>0 (tolérance zéro)</t>
  </si>
  <si>
    <t>Alertes whistleblowing</t>
  </si>
  <si>
    <t>100% traitées</t>
  </si>
  <si>
    <t>Délai moyen traitement (j)</t>
  </si>
  <si>
    <t>&lt; 30 jours</t>
  </si>
  <si>
    <t>80% en 2026</t>
  </si>
  <si>
    <t>Rapport ESG publié</t>
  </si>
  <si>
    <t>✅ Oui</t>
  </si>
  <si>
    <t>Obligatoire CSRD</t>
  </si>
  <si>
    <t>Assurance externe ESG</t>
  </si>
  <si>
    <t>✅ Limitée</t>
  </si>
  <si>
    <t>❌ Non</t>
  </si>
  <si>
    <t>Raisonnable en 2026</t>
  </si>
  <si>
    <t>ETR (lié CONSOL_CR)</t>
  </si>
  <si>
    <t>≈ 25% taux légal</t>
  </si>
  <si>
    <t>🗺️  ESG_MAPPING – TABLE DE CORRESPONDANCE ESRS → REPORTING CONSOLIDÉ · KPIs ESG × États Financiers</t>
  </si>
  <si>
    <t>IDIndicateur</t>
  </si>
  <si>
    <t>PilierESG</t>
  </si>
  <si>
    <t>StandardESRS</t>
  </si>
  <si>
    <t>Paragraphe</t>
  </si>
  <si>
    <t>IndicateurLabel</t>
  </si>
  <si>
    <t>TypeDonnée</t>
  </si>
  <si>
    <t>OngletSource</t>
  </si>
  <si>
    <t>CelluleSource</t>
  </si>
  <si>
    <t>OngletCible</t>
  </si>
  <si>
    <t>CelluleCible</t>
  </si>
  <si>
    <t>FormulaLiaison</t>
  </si>
  <si>
    <t>CatIFRS18_Lié</t>
  </si>
  <si>
    <t>Ce tableau est la clé de liaison entre données ESG brutes et reporting financier consolidé. Utilisé par Power Query et les mesures DAX pour agréger ESG × IFRS 18.</t>
  </si>
  <si>
    <t>ESG-E-001</t>
  </si>
  <si>
    <t>ESRS E1</t>
  </si>
  <si>
    <t>§44a</t>
  </si>
  <si>
    <t>Scope 1 brut (tCO₂eq) – Groupe</t>
  </si>
  <si>
    <t>Quantitatif</t>
  </si>
  <si>
    <t>ESG_CARBONE</t>
  </si>
  <si>
    <t>B(s3+2)</t>
  </si>
  <si>
    <t>② Investissement / Risque physique</t>
  </si>
  <si>
    <t>ESG-E-002</t>
  </si>
  <si>
    <t>§44b</t>
  </si>
  <si>
    <t>Scope 2 marché (tCO₂eq) – Groupe</t>
  </si>
  <si>
    <t>B(s3+3)</t>
  </si>
  <si>
    <t>C13</t>
  </si>
  <si>
    <t>② Investissement / Risque transition</t>
  </si>
  <si>
    <t>ESG-E-003</t>
  </si>
  <si>
    <t>§44c</t>
  </si>
  <si>
    <t>Scope 3 total (tCO₂eq) – Groupe</t>
  </si>
  <si>
    <t>B(s3+4)</t>
  </si>
  <si>
    <t>Chaîne de valeur amont/aval</t>
  </si>
  <si>
    <t>ESG-E-004</t>
  </si>
  <si>
    <t>Intensité carbone (tCO₂ / M€ CA)</t>
  </si>
  <si>
    <t>Ratio</t>
  </si>
  <si>
    <t>H(s3+5)</t>
  </si>
  <si>
    <t>H25</t>
  </si>
  <si>
    <t>① Exploitation – efficacité opération.</t>
  </si>
  <si>
    <t>ESG-E-005</t>
  </si>
  <si>
    <t>§19</t>
  </si>
  <si>
    <t>Prix interne carbone (€/tCO₂)</t>
  </si>
  <si>
    <t>B(s4+1)</t>
  </si>
  <si>
    <t>ESG_DASHBOARD_LINK</t>
  </si>
  <si>
    <t>C5</t>
  </si>
  <si>
    <t>Paramètre – cellule jaune ESG_CARBONE</t>
  </si>
  <si>
    <t>Hypothèse MPM IFRS 18 §112</t>
  </si>
  <si>
    <t>ESG-E-006</t>
  </si>
  <si>
    <t>§64</t>
  </si>
  <si>
    <t>Coût carbone total groupe (k€)</t>
  </si>
  <si>
    <t>Monétaire</t>
  </si>
  <si>
    <t>G(s4+tot)</t>
  </si>
  <si>
    <t>C42</t>
  </si>
  <si>
    <t>Impact ① Exploitation (scénario)</t>
  </si>
  <si>
    <t>ESG-E-007</t>
  </si>
  <si>
    <t>§65</t>
  </si>
  <si>
    <t>% EBIT exposé au risque carbone</t>
  </si>
  <si>
    <t>H(s4+tot)</t>
  </si>
  <si>
    <t>D42</t>
  </si>
  <si>
    <t>MPM IFRS 18 §112 – rapproch. obligat.</t>
  </si>
  <si>
    <t>ESG-E-008</t>
  </si>
  <si>
    <t>ESRS E2</t>
  </si>
  <si>
    <t>§26</t>
  </si>
  <si>
    <t>Part énergie renouvelable groupe (%)</t>
  </si>
  <si>
    <t>Pourcentage</t>
  </si>
  <si>
    <t>J11</t>
  </si>
  <si>
    <t>C18</t>
  </si>
  <si>
    <t>Non lié IFRS 18 direct</t>
  </si>
  <si>
    <t>ESG-E-009</t>
  </si>
  <si>
    <t>§28</t>
  </si>
  <si>
    <t>Déchets valorisés groupe (%)</t>
  </si>
  <si>
    <t>J14</t>
  </si>
  <si>
    <t>C19</t>
  </si>
  <si>
    <t>ESG-E-010</t>
  </si>
  <si>
    <t>Objectif réduction Scope 1+2 2030</t>
  </si>
  <si>
    <t>Objectif</t>
  </si>
  <si>
    <t>E(s3+2)</t>
  </si>
  <si>
    <t>C8</t>
  </si>
  <si>
    <t>Objectif tableau §3</t>
  </si>
  <si>
    <t>Ambition climatique</t>
  </si>
  <si>
    <t>ESG-S-001</t>
  </si>
  <si>
    <t>ESRS S1</t>
  </si>
  <si>
    <t>§50</t>
  </si>
  <si>
    <t>Effectifs totaux groupe (ETP)</t>
  </si>
  <si>
    <t>ESG_DIVERSITE</t>
  </si>
  <si>
    <t>B10</t>
  </si>
  <si>
    <t>C23</t>
  </si>
  <si>
    <t>Lié Charges Personnel ① Exploit.</t>
  </si>
  <si>
    <t>ESG-S-002</t>
  </si>
  <si>
    <t>% Femmes effectif total</t>
  </si>
  <si>
    <t>F10</t>
  </si>
  <si>
    <t>C24</t>
  </si>
  <si>
    <t>KPI Diversité</t>
  </si>
  <si>
    <t>ESG-S-003</t>
  </si>
  <si>
    <t>I10</t>
  </si>
  <si>
    <t>C25</t>
  </si>
  <si>
    <t>KPI Diversité Direction</t>
  </si>
  <si>
    <t>ESG-S-004</t>
  </si>
  <si>
    <t>§88</t>
  </si>
  <si>
    <t>TRIR consolidé groupe</t>
  </si>
  <si>
    <t>J23</t>
  </si>
  <si>
    <t>C26</t>
  </si>
  <si>
    <t>KPI Santé &amp; Sécurité</t>
  </si>
  <si>
    <t>ESG-S-005</t>
  </si>
  <si>
    <t>§91</t>
  </si>
  <si>
    <t>Heures formation / ETP / an</t>
  </si>
  <si>
    <t>J24</t>
  </si>
  <si>
    <t>C27</t>
  </si>
  <si>
    <t>Lié charges formation ① Exploit.</t>
  </si>
  <si>
    <t>ESG-S-006</t>
  </si>
  <si>
    <t>§97</t>
  </si>
  <si>
    <t>Écart salarial H/F groupe (%)</t>
  </si>
  <si>
    <t>E17</t>
  </si>
  <si>
    <t>ESG-S-007</t>
  </si>
  <si>
    <t>§98</t>
  </si>
  <si>
    <t>Pay ratio Dirigeants / Médian</t>
  </si>
  <si>
    <t>Multiple</t>
  </si>
  <si>
    <t>J17</t>
  </si>
  <si>
    <t>C29</t>
  </si>
  <si>
    <t>Gouvernance rémunération</t>
  </si>
  <si>
    <t>ESG-S-008</t>
  </si>
  <si>
    <t>Coûts personnel consolidés (k€)</t>
  </si>
  <si>
    <t>K11</t>
  </si>
  <si>
    <t>E35</t>
  </si>
  <si>
    <t>① Exploitation – Charges personnel</t>
  </si>
  <si>
    <t>ESG-S-009</t>
  </si>
  <si>
    <t>Budget formation groupe (k€)</t>
  </si>
  <si>
    <t>I35</t>
  </si>
  <si>
    <t>① Exploitation – Investissement RH</t>
  </si>
  <si>
    <t>ESG-G-001</t>
  </si>
  <si>
    <t>ESRS G1</t>
  </si>
  <si>
    <t>§29</t>
  </si>
  <si>
    <t>B40</t>
  </si>
  <si>
    <t>C33</t>
  </si>
  <si>
    <t>KPI Gouvernance</t>
  </si>
  <si>
    <t>ESG-G-002</t>
  </si>
  <si>
    <t>% Indépendants au CA</t>
  </si>
  <si>
    <t>B41</t>
  </si>
  <si>
    <t>C34</t>
  </si>
  <si>
    <t>ESG-G-003</t>
  </si>
  <si>
    <t>§35</t>
  </si>
  <si>
    <t>Incidents anti-corruption (nb)</t>
  </si>
  <si>
    <t>Entier</t>
  </si>
  <si>
    <t>B44</t>
  </si>
  <si>
    <t>C35</t>
  </si>
  <si>
    <t>Risque Gouvernance</t>
  </si>
  <si>
    <t>ESG-G-004</t>
  </si>
  <si>
    <t>Fournisseurs évalués ESG (%)</t>
  </si>
  <si>
    <t>B47</t>
  </si>
  <si>
    <t>C36</t>
  </si>
  <si>
    <t>Chaîne de valeur – Scope 3 cat.1</t>
  </si>
  <si>
    <t>ESG-G-005</t>
  </si>
  <si>
    <t>§43</t>
  </si>
  <si>
    <t>C41</t>
  </si>
  <si>
    <t>C43</t>
  </si>
  <si>
    <t>④ Impôts IFRS 18 / IAS 12</t>
  </si>
  <si>
    <t>ESG-F-001</t>
  </si>
  <si>
    <t>F – Croisé ESG×Fin.</t>
  </si>
  <si>
    <t>CA groupe – dénominateur intensité carbone</t>
  </si>
  <si>
    <t>① Exploitation – dénominateur ratio</t>
  </si>
  <si>
    <t>ESG-F-002</t>
  </si>
  <si>
    <t>EBIT groupe – base calcul exposition carbone</t>
  </si>
  <si>
    <t>① Exploitation – exposition risque</t>
  </si>
  <si>
    <t>ESG-F-003</t>
  </si>
  <si>
    <t>§112</t>
  </si>
  <si>
    <t>EBITDA (MPM) + lien efficacité carbon.</t>
  </si>
  <si>
    <t>MPM – rapprochement § 112 obligat.</t>
  </si>
  <si>
    <t>ESG-F-004</t>
  </si>
  <si>
    <t>Provision risques climatiques (k€)</t>
  </si>
  <si>
    <t>J32</t>
  </si>
  <si>
    <t>Passif non courant – IAS 37</t>
  </si>
  <si>
    <t>ESG-F-005</t>
  </si>
  <si>
    <t>% CAPEX vert / CAPEX total</t>
  </si>
  <si>
    <t>② Investissement – taxonomie UE</t>
  </si>
  <si>
    <t>🌿⚡  ESG_DAX – MESURES DAX ESG COMPLÈTES · Power Pivot · ESRS E1 / S1 / G1 · Liaisons IFRS 18</t>
  </si>
  <si>
    <t>Coller dans Power Pivot (Mesures) · Référencer les tables : ESG_CARBONE_TABLE, ESG_DIVERSITE_TABLE, ESG_MAPPING_TABLE · Préfixe : [MESG_] = mesure ESG</t>
  </si>
  <si>
    <t>// ════════════════════════════════════════════════════════════
// GROUPE E1 – ÉMISSIONS GES (SCOPE 1 / 2 / 3)
// ════════════════════════════════════════════════════════════</t>
  </si>
  <si>
    <t>Nom Mesure</t>
  </si>
  <si>
    <t>[MESG_Scope1_Groupe]</t>
  </si>
  <si>
    <t>ESG Tables</t>
  </si>
  <si>
    <t>Émissions Scope 1 totales groupe (tCO₂eq)</t>
  </si>
  <si>
    <t>[MESG_Scope1_Groupe] =
CALCULATE(
    SUM('ESG_CARBONE_TABLE'[TOTAL_2025]),
    'ESG_CARBONE_TABLE'[Scope] = "Scope 1 (direct)"
)</t>
  </si>
  <si>
    <t>ESRS E1-6 §44a · GHG Protocol</t>
  </si>
  <si>
    <t>[MESG_Scope2_Groupe]</t>
  </si>
  <si>
    <t>Émissions Scope 2 marché groupe (tCO₂eq)</t>
  </si>
  <si>
    <t>[MESG_Scope2_Groupe] =
CALCULATE(
    SUM('ESG_CARBONE_TABLE'[TOTAL_2025]),
    'ESG_CARBONE_TABLE'[Scope] = "Scope 2 (énergie – marché)"
)</t>
  </si>
  <si>
    <t>ESRS E1-6 §44b · GHG Protocol</t>
  </si>
  <si>
    <t>[MESG_Scope3_Groupe]</t>
  </si>
  <si>
    <t>Émissions Scope 3 totales groupe (tCO₂eq)</t>
  </si>
  <si>
    <t>[MESG_Scope3_Groupe] =
CALCULATE(
    SUM('ESG_CARBONE_TABLE'[TOTAL_2025]),
    'ESG_CARBONE_TABLE'[Scope] = "Scope 3 (chaîne valeur)"
)</t>
  </si>
  <si>
    <t>ESRS E1-6 §44c · GHG Protocol</t>
  </si>
  <si>
    <t>[MESG_Scope12_Groupe]</t>
  </si>
  <si>
    <t>Scope 1+2 combiné (base objectifs SBTi)</t>
  </si>
  <si>
    <t>[MESG_Scope12_Groupe] =
[MESG_Scope1_Groupe] + [MESG_Scope2_Groupe]
// Base de calcul pour les objectifs à court terme SBTi
// Cible 2030 : -50% vs base 2020</t>
  </si>
  <si>
    <t>ESRS E1-4 §30 · SBTi</t>
  </si>
  <si>
    <t>[MESG_Total_GES_Groupe]</t>
  </si>
  <si>
    <t>Total Scope 1+2+3 (tCO₂eq)</t>
  </si>
  <si>
    <t>[MESG_Total_GES_Groupe] =
[MESG_Scope1_Groupe]
+ [MESG_Scope2_Groupe]
+ [MESG_Scope3_Groupe]</t>
  </si>
  <si>
    <t>ESRS E1-6 §44</t>
  </si>
  <si>
    <t>[MESG_Intensité_Carbone]</t>
  </si>
  <si>
    <t>Intensité carbone (tCO₂eq / M€ CA) – lien CONSOL_CR</t>
  </si>
  <si>
    <t>[MESG_Intensité_Carbone] =
DIVIDE(
    [MESG_Scope12_Groupe],
    [M_CA_Net_Elim] / 1000000,  // Convertir k€ → M€
    BLANK()
)
// Numérateur : Scope 1+2 (tCO₂eq)
// Dénominateur : CA consolidé en M€ (mesure DAX financière)</t>
  </si>
  <si>
    <t>ESRS E1-6 §55 · Ratio d'intensité</t>
  </si>
  <si>
    <t>[MESG_Scope1_Pondéré]</t>
  </si>
  <si>
    <t>Scope 1 pondéré par poids CA de l'entité dans le groupe</t>
  </si>
  <si>
    <t>[MESG_Scope1_Pondéré] =
SUMX(
    VALUES('ESG_CARBONE_TABLE'[Entité]),
    VAR EntitéScope1 =
        CALCULATE(SUM('ESG_CARBONE_TABLE'[TOTAL_2025]),
            'ESG_CARBONE_TABLE'[Scope] = "Scope 1 (direct)")
    VAR PoidsCA =
        CALCULATE(SUM('Balances_PQ'[MontantEUR]),
            'Balances_PQ'[EntitéNormalisée] = EARLIER('ESG_CARBONE_TABLE'[Entité]),
            'Balances_PQ'[CatIFRS18_Finale] = "① Exploitation")
        / [M_CA_Net_Elim]
    RETURN EntitéScope1 * PoidsCA
)
// Pondération par contribution CA → focus sur entités à fort impact</t>
  </si>
  <si>
    <t>Analyse d'impact proportionnel</t>
  </si>
  <si>
    <t>[MESG_Réduction_GES_YOY]</t>
  </si>
  <si>
    <t>Réduction % des émissions Scope 1+2 vs N-1</t>
  </si>
  <si>
    <t>[MESG_Réduction_GES_YOY] =
DIVIDE(
    [MESG_Scope12_Groupe]
    - CALCULATE([MESG_Scope12_Groupe],
        FILTER('ESG_CARBONE_TABLE', 'ESG_CARBONE_TABLE'[TOTAL_2024] &gt; 0)),
    CALCULATE(SUM('ESG_CARBONE_TABLE'[TOTAL_2024]),
        'ESG_CARBONE_TABLE'[Scope] &lt;&gt; "Scope 3 (chaîne valeur)"),
    BLANK()
)
// Valeur négative = réduction (bonne performance)</t>
  </si>
  <si>
    <t>ESRS E1-4 §30 · Objectif SBTi</t>
  </si>
  <si>
    <t>[MESG_Progression_Objectif_2030]</t>
  </si>
  <si>
    <t>% de progression vers objectif Scope 1+2 en 2030</t>
  </si>
  <si>
    <t>[MESG_Progression_Objectif_2030] =
VAR Objectif2030 = 81500  // Scope 1+2 cible 2030 (tCO₂eq)
VAR Base2020 = 168000     // Émissions base 2020 (tCO₂eq)
VAR ActuelN = [MESG_Scope12_Groupe]
RETURN
DIVIDE(
    Base2020 - ActuelN,
    Base2020 - Objectif2030,
    BLANK()
)
// 0% = aucun progrès, 100% = objectif atteint</t>
  </si>
  <si>
    <t>ESRS E1-4 §30</t>
  </si>
  <si>
    <t>// ════════════════════════════════════════════════════════════
// GROUPE E2 – ÉNERGIE &amp; RESSOURCES
// ════════════════════════════════════════════════════════════</t>
  </si>
  <si>
    <t>[MESG_Part_EnR_Groupe]</t>
  </si>
  <si>
    <t>Part d'énergie renouvelable dans le mix groupe (%)</t>
  </si>
  <si>
    <t>[MESG_Part_EnR_Groupe] =
AVERAGE('ESG_DATA_TABLE'[Part_EnR_Pct])
// À remplacer par une moyenne pondérée par consommation si données dispo
// Amélioration : SUMX pondéré par [ConsoEnergie_GWh]</t>
  </si>
  <si>
    <t>ESRS E1-5 §43</t>
  </si>
  <si>
    <t>[MESG_Coût_Carbone_Groupe]</t>
  </si>
  <si>
    <t>Coût carbone théorique groupe au prix interne (k€)</t>
  </si>
  <si>
    <t>[MESG_Coût_Carbone_Groupe] =
VAR PrixCarbone = 35  // €/tCO₂ – paramètre à lier à la cellule jaune
RETURN
ROUND([MESG_Total_GES_Groupe] * PrixCarbone / 1000, 0)
// Résultat en k€ · Impact sur EBIT si taxe carbone appliquée</t>
  </si>
  <si>
    <t>ESRS E1 §64 · IFRS 18 §112 (MPM)</t>
  </si>
  <si>
    <t>[MESG_Exposition_EBIT_Carbone]</t>
  </si>
  <si>
    <t>% EBIT exposé au risque de tarification carbone</t>
  </si>
  <si>
    <t>[MESG_Exposition_EBIT_Carbone] =
DIVIDE(
    [MESG_Coût_Carbone_Groupe],
    ABS([M_EBIT]),
    BLANK()
)
// 🆕 Lien direct ESG × IFRS 18 §112 : MPM obligatoire si exposé matériellement</t>
  </si>
  <si>
    <t>IFRS 18 §112 · ESRS E1 §64</t>
  </si>
  <si>
    <t>// ════════════════════════════════════════════════════════════
// GROUPE S1 – SOCIAL : EFFECTIFS &amp; PARITÉ
// ════════════════════════════════════════════════════════════</t>
  </si>
  <si>
    <t>[MESG_ETP_Total_Groupe]</t>
  </si>
  <si>
    <t>Effectifs totaux consolidés (ETP)</t>
  </si>
  <si>
    <t>[MESG_ETP_Total_Groupe] =
SUM('ESG_DIVERSITE_TABLE_S1'[ETP_Total])</t>
  </si>
  <si>
    <t>ESRS S1-6 §50</t>
  </si>
  <si>
    <t>[MESG_Pct_Femmes_Groupe]</t>
  </si>
  <si>
    <t>Part des femmes dans l'effectif total (%)</t>
  </si>
  <si>
    <t>[MESG_Pct_Femmes_Groupe] =
DIVIDE(
    SUM('ESG_DIVERSITE_TABLE_S1'[ETP_Femmes]),
    [MESG_ETP_Total_Groupe],
    BLANK()
)</t>
  </si>
  <si>
    <t>ESRS S1-9 §65</t>
  </si>
  <si>
    <t>[MESG_Pct_Femmes_Dirigeantes]</t>
  </si>
  <si>
    <t>Part des femmes dans les postes de direction (%)</t>
  </si>
  <si>
    <t>[MESG_Pct_Femmes_Dirigeantes] =
DIVIDE(
    SUM('ESG_DIVERSITE_TABLE_S1'[Femmes_Dirigeantes]),
    SUM('ESG_DIVERSITE_TABLE_S1'[ETP_Dirigeants]),
    BLANK()
)</t>
  </si>
  <si>
    <t>ESRS S1-9 §65 · Loi Rixain FR</t>
  </si>
  <si>
    <t>[MESG_Taux_Turnover_Groupe]</t>
  </si>
  <si>
    <t>Taux de turnover consolidé (%)</t>
  </si>
  <si>
    <t>[MESG_Taux_Turnover_Groupe] =
DIVIDE(
    SUM('ESG_DIVERSITE_TABLE_S1'[Recrutements]),
    [MESG_ETP_Total_Groupe],
    BLANK()
)</t>
  </si>
  <si>
    <t>[MESG_Écart_Sal_HF_Moyen]</t>
  </si>
  <si>
    <t>Écart salarial H/F moyen pondéré par effectif</t>
  </si>
  <si>
    <t>[MESG_Écart_Sal_HF_Moyen] =
SUMX(
    'ESG_DIVERSITE_TABLE_S2',
    CALCULATE(
        DIVIDE(
            'ESG_DIVERSITE_TABLE_S2'[SalMéd_F]
            - 'ESG_DIVERSITE_TABLE_S2'[SalMéd_H],
            'ESG_DIVERSITE_TABLE_S2'[SalMéd_H],
            BLANK()
        )
    ) * RELATED('ESG_DIVERSITE_TABLE_S1'[ETP_Total])
) / [MESG_ETP_Total_Groupe]
// Moyenne pondérée par l'effectif de chaque entité</t>
  </si>
  <si>
    <t>ESRS S1-16 §97</t>
  </si>
  <si>
    <t>[MESG_TRIR_Groupe]</t>
  </si>
  <si>
    <t>TRIR consolidé (Total Recordable Injury Rate / M heures)</t>
  </si>
  <si>
    <t>[MESG_TRIR_Groupe] =
DIVIDE(
    SUM('ESG_DIVERSITE_TABLE_S3'[Accidents_Recordables]) * 1000000,
    SUM('ESG_DIVERSITE_TABLE_S3'[Heures_Travaillées]),
    BLANK()
)
// Si données heures non dispo : utiliser AVERAGE pondéré par ETP</t>
  </si>
  <si>
    <t>ESRS S1-11 §88 · OSHA</t>
  </si>
  <si>
    <t>[MESG_HFormation_ETP]</t>
  </si>
  <si>
    <t>Heures de formation par ETP et par an</t>
  </si>
  <si>
    <t>[MESG_HFormation_ETP] =
DIVIDE(
    SUMX('ESG_DIVERSITE_TABLE_S3',
        'ESG_DIVERSITE_TABLE_S3'[H_Form_ETP]
        * RELATED('ESG_DIVERSITE_TABLE_S1'[ETP_Total])
    ),
    [MESG_ETP_Total_Groupe],
    BLANK()
)
// Moyenne pondérée par effectif</t>
  </si>
  <si>
    <t>ESRS S1-13 §91</t>
  </si>
  <si>
    <t>[MESG_ChargesPersonnel_ETP]</t>
  </si>
  <si>
    <t>Charges de personnel par ETP (k€ / ETP) – lien IFRS 18</t>
  </si>
  <si>
    <t>[MESG_ChargesPersonnel_ETP] =
DIVIDE(
    ABS([M_CA_Groupe] * 0.22),  // Proxy : 22% du CA = charges personnel
    // Remplacer par : ABS(CALCULATE(SUM('Balances_PQ'[MontantEUR]),
    //   'Balances_PQ'[PosteGroupeIFRS18]="Charges de personnel")),
    [MESG_ETP_Total_Groupe],
    BLANK()
)
// Indicateur d'efficacité RH · Lié ① Exploitation IFRS 18</t>
  </si>
  <si>
    <t>ESRS S1 · IFRS 18 §55</t>
  </si>
  <si>
    <t>// ════════════════════════════════════════════════════════════
// GROUPE G1 – GOUVERNANCE
// ════════════════════════════════════════════════════════════</t>
  </si>
  <si>
    <t>[MESG_Pct_Femmes_CA]</t>
  </si>
  <si>
    <t>Part des femmes au Conseil d'Administration (%)</t>
  </si>
  <si>
    <t>[MESG_Pct_Femmes_CA] =
DIVIDE(
    MAX('ESG_DIVERSITE_TABLE_G1'[Femmes_CA]),
    MAX('ESG_DIVERSITE_TABLE_G1'[Membres_CA]),
    BLANK()
)
// Objectif réglementaire FR : 40% dès 2027 (Loi Rixain)</t>
  </si>
  <si>
    <t>ESRS G1-1 §29</t>
  </si>
  <si>
    <t>[MESG_Pct_Fournisseurs_ESG]</t>
  </si>
  <si>
    <t>% fournisseurs évalués ESG (par volume achats)</t>
  </si>
  <si>
    <t>[MESG_Pct_Fournisseurs_ESG] =
MAX('ESG_DIVERSITE_TABLE_G1'[Fournisseurs_Évalués_Pct])</t>
  </si>
  <si>
    <t>ESRS G1-2 §35</t>
  </si>
  <si>
    <t>[MESG_ETR_vs_Légal]</t>
  </si>
  <si>
    <t>Écart ETR effectif vs taux légal nominal FR (25%)</t>
  </si>
  <si>
    <t>[MESG_ETR_vs_Légal] =
[M_TauxIS_Effectif] - 0.25
// Négatif = optimisation fiscale
// Positif = surcharge (crédits d'impôt, hybrides)
// ESRS G1 : divulgation exigée si écart &gt; 5pts</t>
  </si>
  <si>
    <t>ESRS G1 §43 · IAS 12 §81(c)</t>
  </si>
  <si>
    <t>// ════════════════════════════════════════════════════════════
// GROUPE MESG_CROSS – MESURES CROISÉES ESG × FINANCIER
// ════════════════════════════════════════════════════════════</t>
  </si>
  <si>
    <t>[MESG_Score_E_Synthèse]</t>
  </si>
  <si>
    <t>Score Environnement synthétique (0-100) – pondération 5 KPIs</t>
  </si>
  <si>
    <t>[MESG_Score_E_Synthèse] =
VAR Pts_Scope12 =
    MIN(1, 1 - DIVIDE(
        [MESG_Scope12_Groupe] - 81500,
        168000 - 81500, 0)) * 30  // 30 pts max (poids fort)
VAR Pts_EnR =
    [MESG_Part_EnR_Groupe] * 20  // 20 pts max
VAR Pts_Intensité =
    MAX(0, MIN(1, 1 - DIVIDE(
        [MESG_Intensité_Carbone] - 60, 140 - 60, 0))) * 25  // 25 pts
VAR Pts_Déchets =
    AVERAGE('ESG_DATA_TABLE'[Pct_Valorisation_Déchets]) * 15  // 15 pts
VAR Pts_Eau = 10  // 10 pts fixe (à enrichir avec données eau)
RETURN ROUND(Pts_Scope12 + Pts_EnR + Pts_Intensité + Pts_Déchets + Pts_Eau, 1)</t>
  </si>
  <si>
    <t>Score propriétaire – Benchmarkable CSRD</t>
  </si>
  <si>
    <t>[MESG_Score_S_Synthèse]</t>
  </si>
  <si>
    <t>Score Social synthétique (0-100) – pondération 5 KPIs</t>
  </si>
  <si>
    <t>[MESG_Score_S_Synthèse] =
VAR Pts_Parité =
    MIN(1, [MESG_Pct_Femmes_Groupe] / 0.50) * 20
VAR Pts_ParitéDir =
    MIN(1, [MESG_Pct_Femmes_Dirigeantes] / 0.45) * 20
VAR Pts_TRIR =
    MAX(0, MIN(1, 1 - DIVIDE([MESG_TRIR_Groupe] - 1, 5 - 1, 0))) * 25
VAR Pts_Formation =
    MIN(1, [MESG_HFormation_ETP] / 60) * 20
VAR Pts_ÉcartSal =
    MAX(0, MIN(1, 1 - ABS([MESG_Écart_Sal_HF_Moyen]) / 0.20)) * 15
RETURN ROUND(Pts_Parité + Pts_ParitéDir + Pts_TRIR + Pts_Formation + Pts_ÉcartSal, 1)</t>
  </si>
  <si>
    <t>Score propriétaire – ESRS S1</t>
  </si>
  <si>
    <t>[MESG_Score_G_Synthèse]</t>
  </si>
  <si>
    <t>Score Gouvernance synthétique (0-100)</t>
  </si>
  <si>
    <t>[MESG_Score_G_Synthèse] =
VAR Pts_ParitéCA =
    MIN(1, [MESG_Pct_Femmes_CA] / 0.40) * 30
VAR Pts_Indép =
    MIN(1, MAX('ESG_DIVERSITE_TABLE_G1'[Pct_Indépendants]) / 0.60) * 20
VAR Pts_Corruption =
    IF(MAX('ESG_DIVERSITE_TABLE_G1'[Incidents_Corruption]) = 0, 25, 10)
VAR Pts_Fournisseurs =
    MIN(1, [MESG_Pct_Fournisseurs_ESG] / 0.80) * 15
VAR Pts_ETR =
    IF(ABS([MESG_ETR_vs_Légal]) &lt; 0.05, 10, 5)
RETURN ROUND(Pts_ParitéCA + Pts_Indép + Pts_Corruption + Pts_Fournisseurs + Pts_ETR, 1)</t>
  </si>
  <si>
    <t>Score propriétaire – ESRS G1</t>
  </si>
  <si>
    <t>[MESG_Score_ESG_Global]</t>
  </si>
  <si>
    <t>Score ESG global pondéré (E:40% · S:35% · G:25%)</t>
  </si>
  <si>
    <t>[MESG_Score_ESG_Global] =
[MESG_Score_E_Synthèse] * 0.40
+ [MESG_Score_S_Synthèse] * 0.35
+ [MESG_Score_G_Synthèse] * 0.25
// Pondérations CSRD : E &gt; S &gt; G (matérialité double)
// Recalibrer les poids selon secteur (ESRS SSRF)</t>
  </si>
  <si>
    <t>ESRS SSRF · Double matérialité</t>
  </si>
  <si>
    <t>[MESG_ESG_vs_Benchmark]</t>
  </si>
  <si>
    <t>Score ESG vs benchmark sectoriel (65/100)</t>
  </si>
  <si>
    <t>[MESG_ESG_vs_Benchmark] =
VAR Benchmark = 65  // Score sectoriel moyen – à mettre à jour
RETURN [MESG_Score_ESG_Global] - Benchmark
// Positif = meilleur que le secteur
// Négatif = sous la moyenne sectorielle</t>
  </si>
  <si>
    <t>Positionnement CSRD</t>
  </si>
  <si>
    <t>[MESG_CAPEX_Vert_Pct]</t>
  </si>
  <si>
    <t>% CAPEX alloués à la transition environnementale</t>
  </si>
  <si>
    <t>[MESG_CAPEX_Vert_Pct] =
// Renseigner CAPEXVert_kEUR dans la table des projets d'investissement
// Proxy = part investissements énergie renouvelable + efficiency
DIVIDE(
    CALCULATE(
        ABS(SUM('Balances_PQ'[MontantEUR])),
        'Balances_PQ'[PosteGroupeIFRS18] = "PP&amp;E",
        'Balances_PQ'[NormeRef] = "Taxonomie UE"  // Tagger les investissements
    ),
    ABS([M_FCF_Exploitation]),
    BLANK()
)</t>
  </si>
  <si>
    <t>ESRS E1 · Taxonomie UE art. 8</t>
  </si>
  <si>
    <t>// ════════════════════════════════════════════════════════════
// GROUPE MESG_TABLE – TABLE DE SYNTHÈSE POUR DASHBOARDS
// ════════════════════════════════════════════════════════════</t>
  </si>
  <si>
    <t>[MESG_KPI_Table_E]</t>
  </si>
  <si>
    <t>Table virtuelle KPIs Environnement pour visuels Power BI / Excel</t>
  </si>
  <si>
    <t>// Utilisez SUMMARIZECOLUMNS pour créer une table de KPIs ESG
// Exemple dans Power BI :
//   KPI_ESG_E =
//   ROW("Scope12", [MESG_Scope12_Groupe],
//       "Intensité", [MESG_Intensité_Carbone],
//       "Part_EnR", [MESG_Part_EnR_Groupe],
//       "Score_E", [MESG_Score_E_Synthèse])
//
// Dans Excel Power Pivot, utiliser CUBEVALUE() pour extraire chaque mesure</t>
  </si>
  <si>
    <t>Power BI / Tableau / Excel Cube</t>
  </si>
  <si>
    <t>Pilier</t>
  </si>
  <si>
    <t>Score_2025</t>
  </si>
  <si>
    <t>Score_2024</t>
  </si>
  <si>
    <t>Benchmark</t>
  </si>
  <si>
    <t>Tendance</t>
  </si>
  <si>
    <t>ESRS E1/E2</t>
  </si>
  <si>
    <t>Tous ESRS</t>
  </si>
  <si>
    <t>Delta</t>
  </si>
  <si>
    <t>tCO2eq</t>
  </si>
  <si>
    <t>Total Scope 1+2+3</t>
  </si>
  <si>
    <t>tCO2/M€</t>
  </si>
  <si>
    <t>Etape</t>
  </si>
  <si>
    <t>Outil</t>
  </si>
  <si>
    <t>Detail</t>
  </si>
  <si>
    <t>Poids</t>
  </si>
  <si>
    <t>ESG Global</t>
  </si>
  <si>
    <t>Val_2025</t>
  </si>
  <si>
    <t>Unite</t>
  </si>
  <si>
    <t>Val_2024</t>
  </si>
  <si>
    <t>Obj_2030</t>
  </si>
  <si>
    <t>Dashboard_Cible</t>
  </si>
  <si>
    <t>Cellule_Cible</t>
  </si>
  <si>
    <t>SECTION 1 – SCORES ESG SYNTHETIQUES (E / S / G / Global)</t>
  </si>
  <si>
    <t>SECTION 2 – KPIs CARBONE CONSOLIDES (alimentation DASHBOARD_FIN et DASHBOARD_ESG)</t>
  </si>
  <si>
    <t>Progres</t>
  </si>
  <si>
    <t>B34 jaune</t>
  </si>
  <si>
    <t>ESG_DASHBOARD_LINK – PONT ESG × FINANCIER · Données pour DASHBOARD_FIN &amp; DASHBOARD_ESG</t>
  </si>
  <si>
    <t>Agrège KPIs ESG pondérés + liaisons états financiers. Source des visuels ESG sur DASHBOARD_FIN. Voir ESG_DAX pour les 30 mesures Power Pivot.</t>
  </si>
  <si>
    <t>Score_Pond</t>
  </si>
  <si>
    <t>Score pondère</t>
  </si>
  <si>
    <t>Scope 1 brut tCO2eq</t>
  </si>
  <si>
    <t>E1-6 para44a</t>
  </si>
  <si>
    <t>Scope 2 marche tCO2eq</t>
  </si>
  <si>
    <t>E1-6 para44b</t>
  </si>
  <si>
    <t>Scope 3 total tCO2eq</t>
  </si>
  <si>
    <t>E1-6 para44c</t>
  </si>
  <si>
    <t>Calcule</t>
  </si>
  <si>
    <t>E1-6 para44</t>
  </si>
  <si>
    <t>Intensite carbone tCO2/M€</t>
  </si>
  <si>
    <t>E1-6 para55</t>
  </si>
  <si>
    <t>EUR/t</t>
  </si>
  <si>
    <t>Parametre</t>
  </si>
  <si>
    <t>E1 para64</t>
  </si>
  <si>
    <t>Cout carbone theorique k€</t>
  </si>
  <si>
    <t>pct</t>
  </si>
  <si>
    <t>E1-4 para30</t>
  </si>
  <si>
    <t>SECTION 3 – GUIDE IMPLEMENTATION POWER PIVOT et CUBEVALUE (10 etapes)</t>
  </si>
  <si>
    <t>vs_Bch</t>
  </si>
  <si>
    <t>Environnement E</t>
  </si>
  <si>
    <t>haut 6.3pts</t>
  </si>
  <si>
    <t>Proche objectif</t>
  </si>
  <si>
    <t>Social S</t>
  </si>
  <si>
    <t>haut 3.6pts</t>
  </si>
  <si>
    <t>Gouvernance G</t>
  </si>
  <si>
    <t>59 pct</t>
  </si>
  <si>
    <t>89 pct</t>
  </si>
  <si>
    <t>95 pct</t>
  </si>
  <si>
    <t>Prix carbone interne EUR/t</t>
  </si>
  <si>
    <t>Obj reduction S1+2 pct</t>
  </si>
  <si>
    <t>SBTi valide</t>
  </si>
  <si>
    <t>cible moins 50 pct</t>
  </si>
  <si>
    <t>Activer Power Pivot</t>
  </si>
  <si>
    <t>Fichier Options Compléments COM</t>
  </si>
  <si>
    <t>Cocher Microsoft Power Pivot pour Excel</t>
  </si>
  <si>
    <t>Ajouter tables ESG</t>
  </si>
  <si>
    <t>Power Pivot Gérer Ajouter au modele</t>
  </si>
  <si>
    <t>ESG_CARBONE A:R, ESG_DIVERSITE A:O, ESG_MAPPING A:L</t>
  </si>
  <si>
    <t>Renommer les tables</t>
  </si>
  <si>
    <t>Power Pivot clic droit onglet Renommer</t>
  </si>
  <si>
    <t>ESG_CARBONE_TABLE, ESG_DIVERSITE_TABLE_S1, ESG_DIVERSITE_TABLE_G1</t>
  </si>
  <si>
    <t>Creer les relations</t>
  </si>
  <si>
    <t>Power Pivot Vue Diagramme tracer les liens</t>
  </si>
  <si>
    <t>ESG_CARBONE_TABLE[Entite] lie a Balances_PQ[EntiteNormalisee]</t>
  </si>
  <si>
    <t>Copier mesures DAX ESG</t>
  </si>
  <si>
    <t>Onglet ESG_DAX colonne D copier vers Power Pivot</t>
  </si>
  <si>
    <t>9 mesures E1, 8 mesures S1, 3 mesures G1, 6 mesures Cross = 30 total</t>
  </si>
  <si>
    <t>Verifier mesures IFRS 18</t>
  </si>
  <si>
    <t>Power Pivot onglet mesures verifier</t>
  </si>
  <si>
    <t>M_CA_Net_Elim, M_EBIT, M_FCF_Exploitation doivent exister</t>
  </si>
  <si>
    <t>Inserer CUBEVALUE dans dashboards</t>
  </si>
  <si>
    <t>DASHBOARD_FIN H25 et DASHBOARD_ESG C12 a C15</t>
  </si>
  <si>
    <t>Syntaxe: utiliser CUBEVALUE avec ThisWorkbookDataModel et nom de mesure MESG_</t>
  </si>
  <si>
    <t>Parametre prix carbone</t>
  </si>
  <si>
    <t>ESG_CARBONE cellule jaune B34 Section 4</t>
  </si>
  <si>
    <t>Valeurs test: 35 actuel, 75 cible 2030, 120 scenario maximal</t>
  </si>
  <si>
    <t>Actualiser toutes les donnees</t>
  </si>
  <si>
    <t>Données Actualiser tout</t>
  </si>
  <si>
    <t>Ordre: SRC_FR/DE/UK/US/SG puis BALANCES_PQ puis Power Pivot</t>
  </si>
  <si>
    <t>Valider coherence ESG et Financier</t>
  </si>
  <si>
    <t>Cellule B20 de cet onglet</t>
  </si>
  <si>
    <t>Impact carbone sur EBIT doit etre entre 0 et 50 pct. Si superieur 20 pct: MPM IFRS 18 para 112 requis.</t>
  </si>
  <si>
    <t>MODULE ESG – LIAISONS CARBONE / DIVERSITE / GOUVERNANCE (13 nouvelles)</t>
  </si>
  <si>
    <t>Origine</t>
  </si>
  <si>
    <t>Cell_Origine</t>
  </si>
  <si>
    <t>Formule</t>
  </si>
  <si>
    <t>Destination</t>
  </si>
  <si>
    <t>Cell_Dest</t>
  </si>
  <si>
    <t>Type_Conv</t>
  </si>
  <si>
    <t>Criticite</t>
  </si>
  <si>
    <t>Notes_ESG</t>
  </si>
  <si>
    <t>Liaison_Sens</t>
  </si>
  <si>
    <t>B54</t>
  </si>
  <si>
    <t>MODULE ESG – NOUVELLES LIAISONS CARBONE / DIVERSITE / GOUVERNANCE</t>
  </si>
  <si>
    <t>Num</t>
  </si>
  <si>
    <t>CellOrig</t>
  </si>
  <si>
    <t>Formule_Liaison</t>
  </si>
  <si>
    <t>CellDest</t>
  </si>
  <si>
    <t>Module</t>
  </si>
  <si>
    <t>Sens</t>
  </si>
  <si>
    <t>G (s3)</t>
  </si>
  <si>
    <t>Scope 1 groupe somme 5 entités</t>
  </si>
  <si>
    <t>SUM</t>
  </si>
  <si>
    <t>ESRS E1-6 §44a</t>
  </si>
  <si>
    <t>Rouge Critique</t>
  </si>
  <si>
    <t>ESG</t>
  </si>
  <si>
    <t>ESG-&gt;Dashboard</t>
  </si>
  <si>
    <t>Refresh PQ requis</t>
  </si>
  <si>
    <t>Scope 2 groupe somme 5 entités</t>
  </si>
  <si>
    <t>ESRS E1-6 §44b</t>
  </si>
  <si>
    <t>Scope 3 groupe somme 5 entités</t>
  </si>
  <si>
    <t>ESRS E1-6 §44c</t>
  </si>
  <si>
    <t>H57</t>
  </si>
  <si>
    <t>Intensite: Scope12 / (CA/1000)</t>
  </si>
  <si>
    <t>RATIO</t>
  </si>
  <si>
    <t>ESRS E1-6 §55</t>
  </si>
  <si>
    <t>ESG-&gt;DashFin</t>
  </si>
  <si>
    <t>Lié CONSOL_CR!K7</t>
  </si>
  <si>
    <t>G71</t>
  </si>
  <si>
    <t>Cout carbone: S123 * PrixInterne/1000</t>
  </si>
  <si>
    <t>CALC</t>
  </si>
  <si>
    <t>IFRS 18 §112 MPM</t>
  </si>
  <si>
    <t>MPM obligatoire si &gt;20% EBIT</t>
  </si>
  <si>
    <t>H71</t>
  </si>
  <si>
    <t>% EBIT: CoutCarbone / EBIT consolidé</t>
  </si>
  <si>
    <t>Déclencheur MPM si &gt;20%</t>
  </si>
  <si>
    <t>% Femmes: ETP_Femmes / ETP_Total</t>
  </si>
  <si>
    <t>Orange Imp.</t>
  </si>
  <si>
    <t>Cible 50%</t>
  </si>
  <si>
    <t>% Dir.Fem: FemmesDir / TotalDir</t>
  </si>
  <si>
    <t>Loi Rixain: 40% en 2027</t>
  </si>
  <si>
    <t>% Femmes CA: 6/15 CA membres</t>
  </si>
  <si>
    <t>Obligation légale FR</t>
  </si>
  <si>
    <t>B9</t>
  </si>
  <si>
    <t>Score global: E*40%+S*35%+G*25%</t>
  </si>
  <si>
    <t>W_AVG</t>
  </si>
  <si>
    <t>Score ESG pondéré</t>
  </si>
  <si>
    <t>Base CSRD reporting</t>
  </si>
  <si>
    <t>ESG_MAPPING</t>
  </si>
  <si>
    <t>K4:K32</t>
  </si>
  <si>
    <t>29 liaisons ESRS vers IFRS 18 documentées</t>
  </si>
  <si>
    <t>Multi</t>
  </si>
  <si>
    <t>MAPPING</t>
  </si>
  <si>
    <t>ESRS x IFRS 18</t>
  </si>
  <si>
    <t>Ref Table</t>
  </si>
  <si>
    <t>Référentiel croisé</t>
  </si>
  <si>
    <t>ESG_DAX</t>
  </si>
  <si>
    <t>D (col)</t>
  </si>
  <si>
    <t>30 mesures DAX ESG à copier Power Pivot</t>
  </si>
  <si>
    <t>Power Pivot</t>
  </si>
  <si>
    <t>Modele</t>
  </si>
  <si>
    <t>DAX</t>
  </si>
  <si>
    <t>ESRS E1/S1/G1</t>
  </si>
  <si>
    <t>ESG-&gt;PowerPivot</t>
  </si>
  <si>
    <t>Copier groupe par groupe</t>
  </si>
  <si>
    <t>CA groupe denominateur intensite carbone</t>
  </si>
  <si>
    <t>Section3</t>
  </si>
  <si>
    <t>LINK</t>
  </si>
  <si>
    <t>Fin-&gt;ESG</t>
  </si>
  <si>
    <t>Recalcul auto</t>
  </si>
  <si>
    <t>MODULE ESG LÉGER (Phase 4) – 5 nouveaux onglets</t>
  </si>
  <si>
    <t>Bilan Carbone Scope 1/2/3</t>
  </si>
  <si>
    <t>Scope 1/2/3 pondérés · Facteurs émission 5 pays · Prix carbone · Impact EBIT</t>
  </si>
  <si>
    <t>Diversité et Gouvernance</t>
  </si>
  <si>
    <t>ESRS S1/G1</t>
  </si>
  <si>
    <t>Effectifs · Parité · Rémunération · Santé Sécurité · CA · ETR</t>
  </si>
  <si>
    <t>Mapping ESRS x IFRS 18</t>
  </si>
  <si>
    <t>Mapping</t>
  </si>
  <si>
    <t>29 liaisons KPIs ESG vers états financiers consolidés</t>
  </si>
  <si>
    <t>Mesures DAX ESG 30</t>
  </si>
  <si>
    <t>DAX Power Pivot</t>
  </si>
  <si>
    <t>30 mesures DAX copier vers Power Pivot (E/S/G/Cross)</t>
  </si>
  <si>
    <t>Pont ESG x Financier</t>
  </si>
  <si>
    <t>Pont</t>
  </si>
  <si>
    <t>Scores E/S/G/Global · KPIs carbone · Guide 10 etapes</t>
  </si>
  <si>
    <t>📈  KPIs FINANCIERS PRINCIPAUX — IFRS 18 §65 · IAS 21 Converti · Consolidé net d'éliminations</t>
  </si>
  <si>
    <t>💰  CHIFFRE D'AFFAIRES NET</t>
  </si>
  <si>
    <t>⚡  EBITDA</t>
  </si>
  <si>
    <t>📊  RÉSULTAT NET GROUPE</t>
  </si>
  <si>
    <t>💧  FREE CASH FLOW</t>
  </si>
  <si>
    <t>Marge EBITDA</t>
  </si>
  <si>
    <t>Part Groupe 2025 (k€)</t>
  </si>
  <si>
    <t>216 451 k€</t>
  </si>
  <si>
    <t>82 110 k€</t>
  </si>
  <si>
    <t>78 448 k€</t>
  </si>
  <si>
    <t>▲ vs N-1 : +8,2%</t>
  </si>
  <si>
    <t>▼ vs N-1 : -35,0%</t>
  </si>
  <si>
    <t>▼ vs N-1 : -10,1%</t>
  </si>
  <si>
    <t>Positif</t>
  </si>
  <si>
    <t>EBITDA = EBIT + D&amp;A</t>
  </si>
  <si>
    <t>DASHBOARD_START</t>
  </si>
  <si>
    <t>📊  GROUPE MULTINATIONAL · DASHBOARD CONSOLIDÉ IFRS 18 · ESG/CSRD · POWER PIVOT 2025</t>
  </si>
  <si>
    <t>5 entités consolidées · IAS 21 multidevises · IFRS 18 §65 · ESRS E1/S1 · Power Pivot + DAX · Slicers interactifs</t>
  </si>
  <si>
    <t>📅  ANNÉE  ▶  2023 · 2024 · 2025  ◀  [Connecter Slicer → TCD_ANNEE]</t>
  </si>
  <si>
    <t>🎯  SCÉNARIO  ▶  Base · Bull · Bear  ◀  [Slicer → TCD_SCENARIO]</t>
  </si>
  <si>
    <t>🏢  ENTITÉ  ▶  Groupe · FR · DE · UK · US · SG  ◀  [Slicer → TCD_ENTITE]</t>
  </si>
  <si>
    <t>💱  DEVISE  ▶  EUR · GBP · USD · SGD  ◀  [Slicer → TCD_DEVISE]</t>
  </si>
  <si>
    <t>⚙️  Voir onglet PQ_DAX_MESURES pour instructions Power Pivot / DAX complets</t>
  </si>
  <si>
    <t>🌍  CO₂ TOTAL GROUPE (Scope 1+2+3)</t>
  </si>
  <si>
    <t>Consolidé 2025 (k€) · IFRS 15</t>
  </si>
  <si>
    <t>EBIT + D&amp;A · Consolid. 2025 (k€)</t>
  </si>
  <si>
    <t>FCF = Flux Exploit. + Invest. (k€)</t>
  </si>
  <si>
    <t>tCO₂eq · GHG Protocol · ESRS E1-6 §44</t>
  </si>
  <si>
    <t>635 000 tCO₂eq</t>
  </si>
  <si>
    <t>Marge EBIT: 18,8%</t>
  </si>
  <si>
    <t>Marge EBITDA: 26,5%</t>
  </si>
  <si>
    <t>EBIT consolid.: 153 798 k€</t>
  </si>
  <si>
    <t>Marge nette: 10,0%</t>
  </si>
  <si>
    <t>FCF Yield: 9,6%</t>
  </si>
  <si>
    <t>Flux Exploit.: 133 648 k€</t>
  </si>
  <si>
    <t>Intensité: 777 tCO₂/M€ CA</t>
  </si>
  <si>
    <t>Delta k€</t>
  </si>
  <si>
    <t>Delta %</t>
  </si>
  <si>
    <t>Base inv.</t>
  </si>
  <si>
    <t>Total WF</t>
  </si>
  <si>
    <t>①Exploit.</t>
  </si>
  <si>
    <t>▶</t>
  </si>
  <si>
    <t>▲</t>
  </si>
  <si>
    <t>▼</t>
  </si>
  <si>
    <t>EBIT</t>
  </si>
  <si>
    <t>★</t>
  </si>
  <si>
    <t>②Invest.</t>
  </si>
  <si>
    <t>③Finance.</t>
  </si>
  <si>
    <t>Profit av.fin.&amp;impôt</t>
  </si>
  <si>
    <t>Impôts (IAS 12)</t>
  </si>
  <si>
    <t>④Impôts</t>
  </si>
  <si>
    <t>Act.abandonnées</t>
  </si>
  <si>
    <t>⑤Discont.</t>
  </si>
  <si>
    <t>📊  IFRS 18 — WATERFALL COMPTE DE RÉSULTAT (5 Catégories §65)</t>
  </si>
  <si>
    <t>📊  ANALYSE VARIANCES N vs N-1 — Postes IFRS 18</t>
  </si>
  <si>
    <t>N 2025</t>
  </si>
  <si>
    <t>N-1 2024</t>
  </si>
  <si>
    <t>Var.k€</t>
  </si>
  <si>
    <t>Var.%</t>
  </si>
  <si>
    <t>Tag</t>
  </si>
  <si>
    <t>Mg Impact</t>
  </si>
  <si>
    <t>Bull</t>
  </si>
  <si>
    <t>Bear</t>
  </si>
  <si>
    <t>Commentaire Analyse IFRS 18</t>
  </si>
  <si>
    <t>CA net IFRS 15</t>
  </si>
  <si>
    <t>Var.stks+Autres prod.</t>
  </si>
  <si>
    <t>Achats &amp; charges ext.</t>
  </si>
  <si>
    <t>Amort. D&amp;A (IFRS16)</t>
  </si>
  <si>
    <t>EBIT IFRS 18 §65</t>
  </si>
  <si>
    <t>→ TOTAL</t>
  </si>
  <si>
    <t>Divid.+Cessions</t>
  </si>
  <si>
    <t>Int.IFRS16+Emprts</t>
  </si>
  <si>
    <t>RÉSULTAT NET CONSOLID.</t>
  </si>
  <si>
    <t>Léger recul; mix-entité UK+DE favorable</t>
  </si>
  <si>
    <t>Pression coûts matières +3.0%</t>
  </si>
  <si>
    <t>D&amp;A IFRS 16 hausse modérée +4k€</t>
  </si>
  <si>
    <t>Rés. Investissement §68</t>
  </si>
  <si>
    <t>Moins-value cessions -0.7M€</t>
  </si>
  <si>
    <t>Rés. Financement §72</t>
  </si>
  <si>
    <t>Réduction dettes IFRS 16 conforme</t>
  </si>
  <si>
    <t>Profit av.fin.&amp;impôt§65</t>
  </si>
  <si>
    <t>Nouvel KPI obligatoire IFRS 18</t>
  </si>
  <si>
    <t>TX effectif 27.7% vs 25.4% (BEPS)</t>
  </si>
  <si>
    <t>N-1 incluait gain exceptionnel 30M€</t>
  </si>
  <si>
    <t>FCF (Exploit.+Invest.)</t>
  </si>
  <si>
    <t>CAPEX+48M€ stratégique (temporaire)</t>
  </si>
  <si>
    <t>CO₂ Sc1+2 (tCO₂eq)</t>
  </si>
  <si>
    <t>✅ Cible -10%/an largement dépassée</t>
  </si>
  <si>
    <t>📊  BILAN EN CASCADE — ACTIF vs PASSIF · Structure Capitaux (k€)</t>
  </si>
  <si>
    <t>🌍  ÉVOLUTION CARBONE — Scope 1+2+3 · ESRS E1-6 · GHG Protocol (tCO₂eq)</t>
  </si>
  <si>
    <t>Consolid. N (k€)</t>
  </si>
  <si>
    <t>N-1 (k€)</t>
  </si>
  <si>
    <t>% Total Actif</t>
  </si>
  <si>
    <t>Commentaire IAS/IFRS</t>
  </si>
  <si>
    <t>▶  ACTIFS NON COURANTS</t>
  </si>
  <si>
    <t>IAS 16/38/36/IFRS16 – stable</t>
  </si>
  <si>
    <t xml:space="preserve">   Goodwill (IFRS 3)</t>
  </si>
  <si>
    <t>Dépréciation test IAS 36</t>
  </si>
  <si>
    <t xml:space="preserve">   Immob. incorp. &amp; corp.</t>
  </si>
  <si>
    <t>PP&amp;E + RoU IFRS 16 + Autres</t>
  </si>
  <si>
    <t xml:space="preserve">   Impôts différés actifs</t>
  </si>
  <si>
    <t>IAS 12 – actifs récupérables</t>
  </si>
  <si>
    <t>▶  ACTIFS COURANTS</t>
  </si>
  <si>
    <t>BFR = +8.0% vs N-1</t>
  </si>
  <si>
    <t xml:space="preserve">   Stocks &amp; créances</t>
  </si>
  <si>
    <t>IFRS 15 / IAS 2</t>
  </si>
  <si>
    <t xml:space="preserve">   Trésorerie &amp; équiv. (IAS 7)</t>
  </si>
  <si>
    <t>Cash disponible +12k€</t>
  </si>
  <si>
    <t>🔷  TOTAL ACTIF</t>
  </si>
  <si>
    <t>Progression organique</t>
  </si>
  <si>
    <t>▶  CAPITAUX PROPRES CONSOLID.</t>
  </si>
  <si>
    <t>IFRS 10 NCI inclus</t>
  </si>
  <si>
    <t xml:space="preserve">   CP Part Groupe</t>
  </si>
  <si>
    <t xml:space="preserve">   Intérêts Minoritaires NCI</t>
  </si>
  <si>
    <t>IFRS 10 – filiales &lt;100%</t>
  </si>
  <si>
    <t>▶  PASSIFS NON COURANTS</t>
  </si>
  <si>
    <t>Dettes LT + IFRS 16 + IAS 37</t>
  </si>
  <si>
    <t xml:space="preserve">   Emprunts LT + IFRS 16</t>
  </si>
  <si>
    <t>IFRS 9 amortissement coût</t>
  </si>
  <si>
    <t>▶  PASSIFS COURANTS</t>
  </si>
  <si>
    <t>Dettes CT + Fournisseurs</t>
  </si>
  <si>
    <t>🔷  TOTAL PASSIF &amp; CP</t>
  </si>
  <si>
    <t>✅ Équilibre bilanciel</t>
  </si>
  <si>
    <t>Scope 2</t>
  </si>
  <si>
    <t>Scope 3</t>
  </si>
  <si>
    <t>Total 2025</t>
  </si>
  <si>
    <t>Total 2024</t>
  </si>
  <si>
    <t>Obj 2030</t>
  </si>
  <si>
    <t>Intensité</t>
  </si>
  <si>
    <t>✅ Conforme</t>
  </si>
  <si>
    <t>TOTAL Scope 1</t>
  </si>
  <si>
    <t>⚡ Réduction</t>
  </si>
  <si>
    <t>TOTAL Scope 2</t>
  </si>
  <si>
    <t>TOTAL Scope 3</t>
  </si>
  <si>
    <t>🔄 Vérifié</t>
  </si>
  <si>
    <t>🌍 GROUPE TOTAL</t>
  </si>
  <si>
    <t>✅ ESRS E1-6</t>
  </si>
  <si>
    <t>🔍  TABLEAU CROISÉ DYNAMIQUE — DRILL-DOWN jusqu'aux ÉCRITURES INDIVIDUELLES · Source: BALANCES_PQ + SRC_*</t>
  </si>
  <si>
    <t>Année</t>
  </si>
  <si>
    <t>Scénario</t>
  </si>
  <si>
    <t>Catégorie §65</t>
  </si>
  <si>
    <t>Compte GL</t>
  </si>
  <si>
    <t>Libellé compte</t>
  </si>
  <si>
    <t>Montant Orig.</t>
  </si>
  <si>
    <t>Montant EUR</t>
  </si>
  <si>
    <t>Bull 2025</t>
  </si>
  <si>
    <t>Bear 2025</t>
  </si>
  <si>
    <t>Auditeur</t>
  </si>
  <si>
    <t>Taux IAS21</t>
  </si>
  <si>
    <t>Mont. Consolid.</t>
  </si>
  <si>
    <t>Réf.Écriture</t>
  </si>
  <si>
    <t>Date</t>
  </si>
  <si>
    <t>Scope CO₂</t>
  </si>
  <si>
    <t>Base</t>
  </si>
  <si>
    <t>Ventes produits finis</t>
  </si>
  <si>
    <t>FR-2025-001</t>
  </si>
  <si>
    <t>Deloitte</t>
  </si>
  <si>
    <t>Achats matières premières</t>
  </si>
  <si>
    <t>FR-2025-010</t>
  </si>
  <si>
    <t>Salaires &amp; charges soc.</t>
  </si>
  <si>
    <t>FR-2025-020</t>
  </si>
  <si>
    <t>Amort. D&amp;A (IFRS 16)</t>
  </si>
  <si>
    <t>Dotations amortissements</t>
  </si>
  <si>
    <t>FR-2025-030</t>
  </si>
  <si>
    <t>Dividendes filiales IC</t>
  </si>
  <si>
    <t>FR-2025-040</t>
  </si>
  <si>
    <t>IAS 28</t>
  </si>
  <si>
    <t>✅ IC élim.</t>
  </si>
  <si>
    <t>Intérêts emprunts</t>
  </si>
  <si>
    <t>Intérêts financiers</t>
  </si>
  <si>
    <t>FR-2025-050</t>
  </si>
  <si>
    <t>Impôt IS courant</t>
  </si>
  <si>
    <t>IS courant IAS 12</t>
  </si>
  <si>
    <t>FR-2025-060</t>
  </si>
  <si>
    <t>Umsatz Produkte</t>
  </si>
  <si>
    <t>DE-2025-001</t>
  </si>
  <si>
    <t>PwC</t>
  </si>
  <si>
    <t>Materialeinkauf</t>
  </si>
  <si>
    <t>DE-2025-010</t>
  </si>
  <si>
    <t>DE-2025-020</t>
  </si>
  <si>
    <t>Zinsaufwand</t>
  </si>
  <si>
    <t>DE-2025-050</t>
  </si>
  <si>
    <t>Revenue GBP (x1.152)</t>
  </si>
  <si>
    <t>UK-2025-001</t>
  </si>
  <si>
    <t>IFRS 15/IAS 21</t>
  </si>
  <si>
    <t>KPMG</t>
  </si>
  <si>
    <t>Cost of Goods Sold</t>
  </si>
  <si>
    <t>UK-2025-010</t>
  </si>
  <si>
    <t>Staff costs GBP</t>
  </si>
  <si>
    <t>UK-2025-020</t>
  </si>
  <si>
    <t>IAS 19/21</t>
  </si>
  <si>
    <t>Revenue USD (x0.925)</t>
  </si>
  <si>
    <t>US-2025-001</t>
  </si>
  <si>
    <t>EY</t>
  </si>
  <si>
    <t>COGS USD→EUR</t>
  </si>
  <si>
    <t>US-2025-010</t>
  </si>
  <si>
    <t>Payroll USD→EUR</t>
  </si>
  <si>
    <t>US-2025-020</t>
  </si>
  <si>
    <t>US-2025-050</t>
  </si>
  <si>
    <t>IFRS 9/21</t>
  </si>
  <si>
    <t>Revenue SGD (x0.682)</t>
  </si>
  <si>
    <t>SG-2025-001</t>
  </si>
  <si>
    <t>Mazars</t>
  </si>
  <si>
    <t>Cost of sales SGD</t>
  </si>
  <si>
    <t>SG-2025-010</t>
  </si>
  <si>
    <t>Staff costs SGD</t>
  </si>
  <si>
    <t>SG-2025-020</t>
  </si>
  <si>
    <t>ÉLIM_IC</t>
  </si>
  <si>
    <t>Élim. CA interco.</t>
  </si>
  <si>
    <t>Élim.ventes interco.</t>
  </si>
  <si>
    <t>ELIM-2025-001</t>
  </si>
  <si>
    <t>CAC Groupe</t>
  </si>
  <si>
    <t>✅ Éliminé</t>
  </si>
  <si>
    <t>Élim. Dividendes IC</t>
  </si>
  <si>
    <t>Élim.dividendes IC</t>
  </si>
  <si>
    <t>ELIM-2025-002</t>
  </si>
  <si>
    <t>Élim. Achats IC</t>
  </si>
  <si>
    <t>Élim.achats IC</t>
  </si>
  <si>
    <t>ELIM-2025-003</t>
  </si>
  <si>
    <t>CA net (Scénario Bull)</t>
  </si>
  <si>
    <t>Ventes +7% scénario Bull</t>
  </si>
  <si>
    <t>FR-BULL-001</t>
  </si>
  <si>
    <t>📋 Projection</t>
  </si>
  <si>
    <t>CA net (Scénario Bear)</t>
  </si>
  <si>
    <t>Ventes -10% scénario Bear</t>
  </si>
  <si>
    <t>FR-BEAR-001</t>
  </si>
  <si>
    <t>Ventes produits finis N-1</t>
  </si>
  <si>
    <t>FR-2024-001</t>
  </si>
  <si>
    <t>31/12/2024</t>
  </si>
  <si>
    <t>✅ Archivé</t>
  </si>
  <si>
    <t>Umsatz Produkte N-1</t>
  </si>
  <si>
    <t>DE-2024-001</t>
  </si>
  <si>
    <t>Revenue GBP (x1.148)</t>
  </si>
  <si>
    <t>UK-2024-001</t>
  </si>
  <si>
    <t>Revenue USD (x0.930)</t>
  </si>
  <si>
    <t>US-2024-001</t>
  </si>
  <si>
    <t>Revenue SGD N-1</t>
  </si>
  <si>
    <t>SG-2024-001</t>
  </si>
  <si>
    <t>✅  TOTAUX CONSOLIDÉS (filtrer par Scénario/Entité/Année via les en-têtes de colonne ↑)</t>
  </si>
  <si>
    <t>📋  INSTRUCTIONS POWER PIVOT / SLICERS / DAX — GUIDE DE CONFIGURATION</t>
  </si>
  <si>
    <t>ÉTAPE 1</t>
  </si>
  <si>
    <t>CRÉER LES TABLEAUX CROISÉS DYNAMIQUES POWER PIVOT :</t>
  </si>
  <si>
    <t>→ TCD1</t>
  </si>
  <si>
    <t>Source: Tableau TCD_ECRITURES (B42:X73) · Placer en nouvelle feuille · Activer 'Ajouter au modèle de données'</t>
  </si>
  <si>
    <t>→ TCD2</t>
  </si>
  <si>
    <t>Champs LIGNES : Entité &gt; Catégorie IFRS 18 &gt; Poste IFRS 18 &gt; Compte GL | Champs VALEURS : SUM(Montant EUR), SUM(tCO₂eq)</t>
  </si>
  <si>
    <t>→ TCD3</t>
  </si>
  <si>
    <t>Champs COLONNES : Scénario | Champs FILTRES DE RAPPORT : Année, Devise</t>
  </si>
  <si>
    <t>→ TCD4</t>
  </si>
  <si>
    <t>Pour drill-down : Cliquer sur '+' devant chaque ligne pour déplier jusqu'aux écritures individuelles (Réf.Écriture)</t>
  </si>
  <si>
    <t>ÉTAPE 2</t>
  </si>
  <si>
    <t>CONNECTER LES SLICERS POWER PIVOT :</t>
  </si>
  <si>
    <t>→ Slicer 1</t>
  </si>
  <si>
    <t>Insertion &gt; Segment (Slicer) &gt; Source: TCD_ECRITURES &gt; Champ: Année | Connecter à TOUS les TCDs</t>
  </si>
  <si>
    <t>→ Slicer 2</t>
  </si>
  <si>
    <t>Insertion &gt; Segment &gt; Champ: Scénario (Base/Bull/Bear) | Connecter à tous les TCDs</t>
  </si>
  <si>
    <t>→ Slicer 3</t>
  </si>
  <si>
    <t>Insertion &gt; Segment &gt; Champ: Entité (FR/DE/UK/US/SG/Groupe) | Connecter à tous les TCDs</t>
  </si>
  <si>
    <t>→ Slicer 4</t>
  </si>
  <si>
    <t>Insertion &gt; Segment &gt; Champ: Devise (EUR/GBP/USD/SGD) | Connecter à tous les TCDs</t>
  </si>
  <si>
    <t>→ Lien</t>
  </si>
  <si>
    <t>Clic droit sur slicer &gt; Connexions de rapport &gt; Cocher TOUS les TCDs et graphiques liés</t>
  </si>
  <si>
    <t>ÉTAPE 3</t>
  </si>
  <si>
    <t>CRÉER LES GRAPHIQUES DYNAMIQUES (PivotCharts) :</t>
  </si>
  <si>
    <t>→ Waterfall</t>
  </si>
  <si>
    <t>Sélect. colonnes Poste+Positif+Négatif+Total (B10:K22) &gt; Insertion &gt; Graphique Cascade (Excel 2016+)</t>
  </si>
  <si>
    <t>→ Barres</t>
  </si>
  <si>
    <t>Sélect. Entité+CA (B28:C34) &gt; Insertion &gt; Histogramme groupé | Titre: 'CA par entité 2025 k€'</t>
  </si>
  <si>
    <t>→ Beignet</t>
  </si>
  <si>
    <t>Sélect. Entité+%CA (B28:B34, F28:F34) &gt; Insertion &gt; Graphique en anneau | Titre: 'Part de CA'</t>
  </si>
  <si>
    <t>→ Carbone</t>
  </si>
  <si>
    <t>Sélect. M24:T33 (données carbone) &gt; Insertion &gt; Histogramme empilé Scope 1+2+3 | Titre: 'Émissions CO₂'</t>
  </si>
  <si>
    <t>→ Ligne</t>
  </si>
  <si>
    <t>Sélect. Entité+Total2025+Total2024+Obj2030 (M25:M33, Q25:Q33, T25:T33) &gt; Ligne avec marqueurs</t>
  </si>
  <si>
    <t>ÉTAPE 4</t>
  </si>
  <si>
    <t>MESURES DAX SUPPLÉMENTAIRES (Power Pivot &gt; Mesures &gt; Nouvelle mesure) :</t>
  </si>
  <si>
    <t>DAX 1</t>
  </si>
  <si>
    <t>CA_Consolide := CALCULATE(SUM(TCD_ECRITURES[Montant EUR]), TCD_ECRITURES[Catégorie §65]="① Exploitation", TCD_ECRITURES[Poste IFRS 18]="CA net IFRS 15")</t>
  </si>
  <si>
    <t>DAX 2</t>
  </si>
  <si>
    <t>EBITDA := [EBIT_Consolide] + CALCULATE(ABS(SUM(TCD_ECRITURES[Montant EUR])), TCD_ECRITURES[Poste IFRS 18]="Amort. D&amp;A (IFRS 16)")</t>
  </si>
  <si>
    <t>DAX 3</t>
  </si>
  <si>
    <t>Marge_EBITDA := DIVIDE([EBITDA], [CA_Consolide], 0)  // Format: 0.0%</t>
  </si>
  <si>
    <t>DAX 4</t>
  </si>
  <si>
    <t>ResultatNet_Groupe := CALCULATE(SUM(TCD_ECRITURES[Montant EUR]), TCD_ECRITURES[Poste IFRS 18]="Résultat Net Consolid.")</t>
  </si>
  <si>
    <t>DAX 5</t>
  </si>
  <si>
    <t>FCF := CALCULATE(SUM(TCD_ECRITURES[Montant EUR]), TCD_ECRITURES[Catégorie §65] IN {"① Exploitation","② Investissement"})</t>
  </si>
  <si>
    <t>DAX 6</t>
  </si>
  <si>
    <t>CO2_Total := SUM(TCD_ECRITURES[tCO₂eq])  // Scope 1+2+3 consolidé</t>
  </si>
  <si>
    <t>DAX 7</t>
  </si>
  <si>
    <t>Var_vs_N1 := DIVIDE([CA_Consolide] - CALCULATE([CA_Consolide], SAMEPERIODLASTYEAR(Dates[Date])), CALCULATE([CA_Consolide], SAMEPERIODLASTYEAR(Dates[Date])), 0)</t>
  </si>
  <si>
    <t>DAX 8</t>
  </si>
  <si>
    <t>KPI_CA := IF([CA_Consolide]&gt;800000, "🟢 Au-dessus objectif", IF([CA_Consolide]&gt;750000, "🟡 Dans la cible", "🔴 En dessous"))</t>
  </si>
  <si>
    <t>DAX 9</t>
  </si>
  <si>
    <t>Intensite_CO2 := DIVIDE([CO2_Total]*1000, [CA_Consolide], 0)  // tCO₂ par M€ de CA</t>
  </si>
  <si>
    <t>DAX 10</t>
  </si>
  <si>
    <t>Profit_avant_fin_impot := [EBIT_Consolide] + [Res_Investissement]  // NOUVEL KPI IFRS 18 §65</t>
  </si>
  <si>
    <t>ÉTAPE 5</t>
  </si>
  <si>
    <t>FORMATAGE CONDITIONNEL DES KPIs :</t>
  </si>
  <si>
    <t>→ KPI CA</t>
  </si>
  <si>
    <t>Règle : =N2025&gt;N2024 → Vert | =N2025&lt;N2024*0.95 → Rouge | Icônes de tendance dans cellule KPI</t>
  </si>
  <si>
    <t>→ KPI CO2</t>
  </si>
  <si>
    <t>Règle : &lt;Objectif 2030 → Vert | Entre obj.2030 et 2x objectif → Orange | &gt;2x objectif → Rouge</t>
  </si>
  <si>
    <t>→ TCD</t>
  </si>
  <si>
    <t>Format. cond. sur colonne 'Var.k€' : barres de données bleu/rouge selon positif/négatif</t>
  </si>
  <si>
    <t>ÉTAPE 6</t>
  </si>
  <si>
    <t>CONNEXION AUX SOURCES POWER QUERY (PQ) :</t>
  </si>
  <si>
    <t>→ PQ1</t>
  </si>
  <si>
    <t>Sources: BALANCES_PQ, SRC_FR, SRC_DE, SRC_UK, SRC_US, SRC_SG → Charger dans modèle de données</t>
  </si>
  <si>
    <t>→ PQ2</t>
  </si>
  <si>
    <t>Créer relations: BALANCES_PQ[Entité] → SRC_*[Entité] | PQ_TAUX_CHANGE[Devise] → TCD[Devise]</t>
  </si>
  <si>
    <t>→ PQ3</t>
  </si>
  <si>
    <t>Relations: PQ_DETENTION[Entité] pour contrôle % participation | PQ_ELIMINATIONS pour automatiser élims IC</t>
  </si>
  <si>
    <t>→ Actualiser</t>
  </si>
  <si>
    <t>Données &gt; Actualiser tout → Tous les TCDs, graphiques et KPIs se mettent à jour automatiquement</t>
  </si>
  <si>
    <t>Étiquettes de lignes</t>
  </si>
  <si>
    <t>Total général</t>
  </si>
  <si>
    <t>Étiquettes de colonnes</t>
  </si>
  <si>
    <t>Somme de Montant EUR</t>
  </si>
  <si>
    <t>Total Somme de Montant EUR</t>
  </si>
  <si>
    <t>Total Somme de tCO₂eq</t>
  </si>
  <si>
    <t>Somme de tCO₂eq</t>
  </si>
  <si>
    <t>🔍  TCD DRILL-DOWN — Cliquer sur ▶ pour déplier : Entité &gt; Catégorie IFRS 18 &gt; Poste &gt; Compte GL &gt; Écriture individuelle</t>
  </si>
  <si>
    <t>📊  TABLEAU KPI MULTI-SCÉNARIOS — Comparaison Base / Bull / Bear / N-1</t>
  </si>
  <si>
    <t>Base 2025</t>
  </si>
  <si>
    <t>Bull/Base</t>
  </si>
  <si>
    <t>Bear/Base</t>
  </si>
  <si>
    <t>vs N-1</t>
  </si>
  <si>
    <t>CA net (k€)</t>
  </si>
  <si>
    <t>EBITDA (k€)</t>
  </si>
  <si>
    <t>Rés.Net (k€)</t>
  </si>
  <si>
    <t>FCF (k€)</t>
  </si>
  <si>
    <t>+70bp</t>
  </si>
  <si>
    <t>0bp</t>
  </si>
  <si>
    <t>-100bp</t>
  </si>
  <si>
    <t>TX effectif IS</t>
  </si>
  <si>
    <t>-20bp</t>
  </si>
  <si>
    <t>+40bp</t>
  </si>
  <si>
    <t>+230bp</t>
  </si>
  <si>
    <t>CO₂ S1+2 (tCO₂)</t>
  </si>
  <si>
    <t>CO₂ S3 (tCO₂)</t>
  </si>
  <si>
    <t>Format</t>
  </si>
  <si>
    <t>CA_Consolide</t>
  </si>
  <si>
    <t>#,##0</t>
  </si>
  <si>
    <t>MESURES DAX POWER PIVOT — Guide complet</t>
  </si>
  <si>
    <t>Formule DAX</t>
  </si>
  <si>
    <t>CALCULATE(SUM([Montant EUR]),[Poste IFRS 18]="CA net IFRS 15")</t>
  </si>
  <si>
    <t>CA IFRS 15 filtre slicer</t>
  </si>
  <si>
    <t>CALCULATE(SUM([Montant EUR]),[Cat §65]="TOTAL")</t>
  </si>
  <si>
    <t>[EBIT]+CALCULATE(ABS(SUM([Montant EUR])),[Poste]="Amort.")</t>
  </si>
  <si>
    <t>Marge_EBITDA</t>
  </si>
  <si>
    <t>DIVIDE([EBITDA],[CA_Consolide],0)</t>
  </si>
  <si>
    <t>Marge EBITDA %</t>
  </si>
  <si>
    <t>Profit_avt_fin_impot</t>
  </si>
  <si>
    <t>[EBIT]+CALCULATE(SUM([Montant EUR]),[Cat §65]="Invest.")</t>
  </si>
  <si>
    <t>KPI obligatoire IFRS 18 §65 - NOUVEAU</t>
  </si>
  <si>
    <t>ResultatNet</t>
  </si>
  <si>
    <t>CALCULATE(SUM([Montant EUR]),[Poste]="RESULTAT NET")</t>
  </si>
  <si>
    <t>RN IFRS 10</t>
  </si>
  <si>
    <t>FCF</t>
  </si>
  <si>
    <t>CALCULATE(SUM([Montant EUR]),[Cat §65] IN {"Exploit.","Invest."})</t>
  </si>
  <si>
    <t>Free Cash Flow</t>
  </si>
  <si>
    <t>CO2_Total</t>
  </si>
  <si>
    <t>SUM([tCO2eq])</t>
  </si>
  <si>
    <t>Scope 1+2+3 ESRS E1-6</t>
  </si>
  <si>
    <t>Intensite_CO2</t>
  </si>
  <si>
    <t>DIVIDE([CO2_Total]*1000,[CA_Consolide],0)</t>
  </si>
  <si>
    <t>tCO2 par M€ CA</t>
  </si>
  <si>
    <t>Var_CA_N1</t>
  </si>
  <si>
    <t>DIVIDE([CA]-CALCULATE([CA],[Annee]=2024),CALCULATE([CA],[Annee]=2024),0)</t>
  </si>
  <si>
    <t>Variation CA vs N-1</t>
  </si>
  <si>
    <t>TX_Effectif_IS</t>
  </si>
  <si>
    <t>DIVIDE(ABS(CALCULATE(SUM([EUR]),[Cat]="Impots")),[Profit_avt],0)</t>
  </si>
  <si>
    <t>Taux IS effectif IAS 12</t>
  </si>
  <si>
    <t>CA_Bull</t>
  </si>
  <si>
    <t>CALCULATE([CA_Consolide],[Scenario]="Bull")</t>
  </si>
  <si>
    <t>CA scenario Bull +7%</t>
  </si>
  <si>
    <t>CA_Bear</t>
  </si>
  <si>
    <t>CALCULATE([CA_Consolide],[Scenario]="Bear")</t>
  </si>
  <si>
    <t>CA scenario Bear -10%</t>
  </si>
  <si>
    <t>Elim_IC</t>
  </si>
  <si>
    <t>CALCULATE(SUM([Elim. IC]),[Entite]="ELIM_IC")</t>
  </si>
  <si>
    <t>Eliminations IC IFRS 10</t>
  </si>
  <si>
    <t>Levier_Proxy</t>
  </si>
  <si>
    <t>DIVIDE(ABS(CALCULATE(SUM([EUR]),[Poste]="Int.emprunt")),[EBITDA],0)*(-10)</t>
  </si>
  <si>
    <t>Proxy levier NDE/EBITDA</t>
  </si>
  <si>
    <t>0.0x</t>
  </si>
  <si>
    <t>CO2_vs_Obj2030</t>
  </si>
  <si>
    <t>DIVIDE([CO2_Total],381500,0)-1</t>
  </si>
  <si>
    <t>Ecart vs objectif 2030</t>
  </si>
  <si>
    <t>KPI_Status</t>
  </si>
  <si>
    <t>IF([CA_Consolide]&gt;850000,"OK",IF([CA_Consolide]&gt;780000,"CIBLE","ALERTE"))</t>
  </si>
  <si>
    <t>Statut KPI tri-couleur</t>
  </si>
  <si>
    <t>@</t>
  </si>
  <si>
    <t>✅  DASHBOARD COMPLET · IFRS 18 §65 · IAS 21 · IFRS 10/16 · ESRS E1-6 · Power Pivot DAX · Groupe Multinational 2025 · Upload pour Étape 6 →</t>
  </si>
  <si>
    <t xml:space="preserve"> </t>
  </si>
  <si>
    <t>📚  MÉTHODOLOGIE &amp; PÉDAGOGIE – GUIDE COMPLET DU SIMULATEUR IFRS 18 / CONSOLIDATION / ESG</t>
  </si>
  <si>
    <t>Simulateur de Consolidation · Groupe Multinational · 5 Entités · IFRS 18 | IAS 21 | IFRS 3 | ESG/CSRD · Exercice 2025–2026</t>
  </si>
  <si>
    <t>📋  TABLE DES MATIÈRES</t>
  </si>
  <si>
    <t xml:space="preserve">  Réf.</t>
  </si>
  <si>
    <t>Section</t>
  </si>
  <si>
    <t>Ligne de départ</t>
  </si>
  <si>
    <t>Description rapide</t>
  </si>
  <si>
    <t xml:space="preserve">  §1</t>
  </si>
  <si>
    <t>IFRS 18 – Présentation des États Financiers</t>
  </si>
  <si>
    <t>~Ligne 15</t>
  </si>
  <si>
    <t>Nouveau standard 2027 – 5 catégories P&amp;L obligatoires</t>
  </si>
  <si>
    <t xml:space="preserve">  §2</t>
  </si>
  <si>
    <t>IAS 21 – Effets des variations des taux de change</t>
  </si>
  <si>
    <t>~Ligne 50</t>
  </si>
  <si>
    <t>Conversion des filiales étrangères en EUR</t>
  </si>
  <si>
    <t xml:space="preserve">  §3</t>
  </si>
  <si>
    <t>IFRS 3 – Regroupements d'entreprises</t>
  </si>
  <si>
    <t>~Ligne 80</t>
  </si>
  <si>
    <t>Goodwill, PPA, Intérêts minoritaires</t>
  </si>
  <si>
    <t xml:space="preserve">  §4</t>
  </si>
  <si>
    <t>Éliminations intercompagnies</t>
  </si>
  <si>
    <t>~Ligne 110</t>
  </si>
  <si>
    <t>IC transactions, dividendes, prêts intragroupe</t>
  </si>
  <si>
    <t xml:space="preserve">  §5</t>
  </si>
  <si>
    <t>Méthode de consolidation – Workflow complet</t>
  </si>
  <si>
    <t>~Ligne 140</t>
  </si>
  <si>
    <t>Ordre et logique du processus de consolidation</t>
  </si>
  <si>
    <t xml:space="preserve">  §6</t>
  </si>
  <si>
    <t>Power Query – Architecture &amp; logique M</t>
  </si>
  <si>
    <t>~Ligne 165</t>
  </si>
  <si>
    <t>Automatisation et modélisation des flux de données</t>
  </si>
  <si>
    <t xml:space="preserve">  §7</t>
  </si>
  <si>
    <t>ESG / CSRD – Cadre réglementaire ESRS</t>
  </si>
  <si>
    <t>~Ligne 190</t>
  </si>
  <si>
    <t>ESRS E1/S1/G1 – Scope 1-2-3 CO2</t>
  </si>
  <si>
    <t xml:space="preserve">  §8</t>
  </si>
  <si>
    <t>Glossaire CCA</t>
  </si>
  <si>
    <t>~Ligne 215</t>
  </si>
  <si>
    <t>60+ termes de consolidation définis</t>
  </si>
  <si>
    <t xml:space="preserve">  §9</t>
  </si>
  <si>
    <t>Schémas &amp; Flux (texte structuré)</t>
  </si>
  <si>
    <t>~Ligne 270</t>
  </si>
  <si>
    <t>Workflow visuel de consolidation</t>
  </si>
  <si>
    <t xml:space="preserve">  §10</t>
  </si>
  <si>
    <t>Audit Trail – Traçabilité des calculs</t>
  </si>
  <si>
    <t>~Ligne 315</t>
  </si>
  <si>
    <t>Références croisées et contrôles qualité</t>
  </si>
  <si>
    <t>Contenu obligatoire</t>
  </si>
  <si>
    <t>§45-55</t>
  </si>
  <si>
    <t>§56-68</t>
  </si>
  <si>
    <t>§69-72</t>
  </si>
  <si>
    <t>§73-80</t>
  </si>
  <si>
    <t>§81-85</t>
  </si>
  <si>
    <t>📌  MANAGEMENT PERFORMANCE MEASURES (MPM) – Nouveauté clé IFRS 18</t>
  </si>
  <si>
    <t>Obligation :</t>
  </si>
  <si>
    <t>Impact Groupe :</t>
  </si>
  <si>
    <t>Référence :</t>
  </si>
  <si>
    <t>IFRS 18 §B1-B12 (Guide d'application) + IASB Exposure Draft avril 2019 → Standard final avril 2024</t>
  </si>
  <si>
    <t>§1  IFRS 18 – PRÉSENTATION DES ÉTATS FINANCIERS  (en vigueur 2027, préparation 2025-2026)</t>
  </si>
  <si>
    <t>IFRS 18 remplace IAS 1 – Il impose une structure OBLIGATOIRE du P&amp;L en 5 catégories, interdit les catégories propriétaires, et exige la réconciliation des Management Performance Measures (MPM) en annexe. Application obligatoire 1er janv. 2027 (comparatif 2026).</t>
  </si>
  <si>
    <t>§ Référence</t>
  </si>
  <si>
    <t>Exemples dans le Groupe</t>
  </si>
  <si>
    <t>vs IAS 1 ancien</t>
  </si>
  <si>
    <t>Revenus IFRS 15, coûts directs, charges d'exploitation, DAP actifs opérationnels</t>
  </si>
  <si>
    <t>CA, Achats, Salaires, DAP PP&amp;E — 5 entités du groupe</t>
  </si>
  <si>
    <t>Résultat courant (non défini normativement)</t>
  </si>
  <si>
    <t>Produits/charges d'actifs NON utilisés dans l'exploitation principale. Rendements financiers.</t>
  </si>
  <si>
    <t>Dividendes IC reçus, plus-values cessions, produits placements CT</t>
  </si>
  <si>
    <t>Résultat financier (mélangé avec financement)</t>
  </si>
  <si>
    <t>Coûts de financement des passifs financiers : intérêts emprunts bancaires + intérêts dettes locatives IFRS 16</t>
  </si>
  <si>
    <t>Charges intérêts LT, intérêts baux IFRS 16 — toutes entités</t>
  </si>
  <si>
    <t>Résultat financier (non séparé de investing)</t>
  </si>
  <si>
    <t>IS courant (IAS 12) + impôts différés. TOUJOURS présenté séparément. Ne peut pas être noyé dans une autre catégorie.</t>
  </si>
  <si>
    <t>Charge IS courant + variation DTA/DTL par entité</t>
  </si>
  <si>
    <t>Ligne IS dans résultat courant (similaire)</t>
  </si>
  <si>
    <t>Résultat net post-IS des activités abandonnées IFRS 5. UNE SEULE ligne nette dans le P&amp;L.</t>
  </si>
  <si>
    <t>Non applicable ex. 2025 – prévu pour extensions futures</t>
  </si>
  <si>
    <t>Résultat net séparé (similaire mais non codifié)</t>
  </si>
  <si>
    <t>Définition MPM :</t>
  </si>
  <si>
    <t>Tout sous-total de résultat communiqué EXTERNEMENT par la direction et NON requis par IFRS 18 (ex: EBITDA ajusté, résultat opérationnel courant, résultat récurrent, résultat sous-jacent)</t>
  </si>
  <si>
    <t>Divulgation OBLIGATOIRE en annexe avec réconciliation ligne-à-ligne vers le sous-total IFRS 18 le plus proche (§B1-B12). Interdit de mettre les MPM en face avant du P&amp;L.</t>
  </si>
  <si>
    <t>L'EBITDA Groupe des dashboards DOIT être réconcilié vers Résultat opérationnel §47. Onglet NOTES_IFRS lignes 15-22.</t>
  </si>
  <si>
    <t>Onglets liés :</t>
  </si>
  <si>
    <t>IFRS18_MAPPING colonnes F:J → NOTES_IFRS B15:B22 → CONSOL_CR lignes sous-totaux</t>
  </si>
  <si>
    <t>📊  SCHÉMA P&amp;L IFRS 18 – SOUS-TOTAUX OBLIGATOIRES (§47-48)</t>
  </si>
  <si>
    <t>Catégories ①</t>
  </si>
  <si>
    <t>Produits d'exploitation (IFRS 15 + autres)</t>
  </si>
  <si>
    <t>xxx €</t>
  </si>
  <si>
    <t>– Charges d'exploitation, salaires, DAP</t>
  </si>
  <si>
    <t>(xxx €)</t>
  </si>
  <si>
    <t>SOUS-TOTAL ①</t>
  </si>
  <si>
    <t>═══ RÉSULTAT D'EXPLOITATION ═══</t>
  </si>
  <si>
    <t>⬅ OBLIGATOIRE §47</t>
  </si>
  <si>
    <t>Catégories ②</t>
  </si>
  <si>
    <t>+ Produits d'investissement (dividendes, plus-values)</t>
  </si>
  <si>
    <t>+xxx €</t>
  </si>
  <si>
    <t>SOUS-TOTAL ①+②</t>
  </si>
  <si>
    <t>═══ RÉSULTAT AVANT FINANCEMENT &amp; IMPÔTS ═══</t>
  </si>
  <si>
    <t>⬅ NOUVEAU §48</t>
  </si>
  <si>
    <t>Catégories ③</t>
  </si>
  <si>
    <t>– Charges de financement (intérêts, IFRS 16)</t>
  </si>
  <si>
    <t>SOUS-TOTAL ①+②+③</t>
  </si>
  <si>
    <t>═══ RÉSULTAT AVANT IMPÔTS ═══</t>
  </si>
  <si>
    <t>⬅ Classique</t>
  </si>
  <si>
    <t>Catégories ④</t>
  </si>
  <si>
    <t>– Charge d'impôt (IS courant + différé)</t>
  </si>
  <si>
    <t>═══ RÉSULTAT DES ACTIVITÉS POURSUIVIES ═══</t>
  </si>
  <si>
    <t>Catégories ⑤</t>
  </si>
  <si>
    <t>+ Résultat activités abandonnées (net IS)</t>
  </si>
  <si>
    <t>±xxx €</t>
  </si>
  <si>
    <t>═══ RÉSULTAT NET CONSOLIDÉ ═══</t>
  </si>
  <si>
    <t>⬅ BOTTOM LINE</t>
  </si>
  <si>
    <t>§2  IAS 21 – EFFETS DES VARIATIONS DES TAUX DE CHANGE (Conversion des filiales étrangères)</t>
  </si>
  <si>
    <t>IAS 21 régit la conversion des états financiers d'une entité étrangère dans la devise de présentation du groupe (EUR). Le principe central: actifs/passifs au taux de CLÔTURE, produits/charges au taux MOYEN, capitaux propres au taux HISTORIQUE. Les écarts de conversion vont en OCI (non recyclable en P&amp;L).</t>
  </si>
  <si>
    <t>Poste du bilan/P&amp;L</t>
  </si>
  <si>
    <t>Taux applicable</t>
  </si>
  <si>
    <t>§ IAS 21</t>
  </si>
  <si>
    <t>Justification normative</t>
  </si>
  <si>
    <t>Application dans le fichier</t>
  </si>
  <si>
    <t>Actifs non courants (PP&amp;E, GW)</t>
  </si>
  <si>
    <t>CLÔTURE §23</t>
  </si>
  <si>
    <t>Refléter la valeur actuelle en devise de présentation</t>
  </si>
  <si>
    <t>PQ_TAUX_CHANGE → TypeTaux=Clôture</t>
  </si>
  <si>
    <t>Passifs financiers (dettes LT, CT)</t>
  </si>
  <si>
    <t>Synchronisation bilan : actifs &amp; passifs au même taux</t>
  </si>
  <si>
    <t>PQ_TAUX_CHANGE → col. TauxEUR</t>
  </si>
  <si>
    <t>Créances, dettes d'exploitation</t>
  </si>
  <si>
    <t>Même principe – éléments monétaires au taux de clôture</t>
  </si>
  <si>
    <t>BALANCES_PQ → col. TauxCloture</t>
  </si>
  <si>
    <t>Chiffre d'affaires &amp; charges P&amp;L</t>
  </si>
  <si>
    <t>MOYEN §39</t>
  </si>
  <si>
    <t>Approximation des taux historiques quotidiens sur l'exercice</t>
  </si>
  <si>
    <t>PQ_TAUX_CHANGE → TypeTaux=Moyen,Mois=AN</t>
  </si>
  <si>
    <t>Capitaux propres (hors résultat)</t>
  </si>
  <si>
    <t>HISTORIQUE §39</t>
  </si>
  <si>
    <t>Maintenir les apports en capital à leur valeur d'origine</t>
  </si>
  <si>
    <t>PQ_TAUX_CHANGE → TypeTaux=Historique</t>
  </si>
  <si>
    <t>Écart de conversion (résultant)</t>
  </si>
  <si>
    <t>→ OCI §41</t>
  </si>
  <si>
    <t>§41</t>
  </si>
  <si>
    <t>Différence non recyclable : taux clôture vs taux historique CP</t>
  </si>
  <si>
    <t>Onglet CONSOL_BILAN → ligne Écart de conv.</t>
  </si>
  <si>
    <t>💱  SYNTHÈSE DES DEVISES DU GROUPE &amp; TAUX EXERCICE 2025</t>
  </si>
  <si>
    <t>Devise locale</t>
  </si>
  <si>
    <t>Taux Clôture (EUR)</t>
  </si>
  <si>
    <t>Taux Moyen annuel</t>
  </si>
  <si>
    <t>Taux Historique</t>
  </si>
  <si>
    <t>Écart de conversion estimé</t>
  </si>
  <si>
    <t>1.000 (devise présen.)</t>
  </si>
  <si>
    <t>Néant – devise de présentation</t>
  </si>
  <si>
    <t>1.000 (zone euro)</t>
  </si>
  <si>
    <t>Néant – même devise</t>
  </si>
  <si>
    <t>1.165 GBP/EUR</t>
  </si>
  <si>
    <t>1.155 (moyen 2025)</t>
  </si>
  <si>
    <t>1.120 (acq. mars 2020)</t>
  </si>
  <si>
    <t>OCI positif (GBP apprécié)</t>
  </si>
  <si>
    <t>0.918 USD/EUR</t>
  </si>
  <si>
    <t>0.925 (moyen 2025)</t>
  </si>
  <si>
    <t>0.845 (acq. 2021)</t>
  </si>
  <si>
    <t>OCI positif (USD revalorisation CP)</t>
  </si>
  <si>
    <t>0.678 SGD/EUR</t>
  </si>
  <si>
    <t>0.682 (moyen 2025)</t>
  </si>
  <si>
    <t>0.650 (acq. 2022)</t>
  </si>
  <si>
    <t>OCI positif (SGD légère appréc.)</t>
  </si>
  <si>
    <t>§3  IFRS 3 – REGROUPEMENTS D'ENTREPRISES (Goodwill, PPA, Intérêts Minoritaires)</t>
  </si>
  <si>
    <t>IFRS 3 définit la méthode de l'acquisition (method of acquisition). Le Goodwill = Prix acquisition – Juste valeur de l'actif net identifiable (PPA). Les intérêts minoritaires (NCI) représentent la quote-part des actionnaires non-contrôlants dans les fonds propres et le résultat.</t>
  </si>
  <si>
    <t>% Détenu</t>
  </si>
  <si>
    <t>Actif net JV</t>
  </si>
  <si>
    <t>Dépréc. GW cum.</t>
  </si>
  <si>
    <t>DE_Filiale (Allemagne)</t>
  </si>
  <si>
    <t>85 000 k€</t>
  </si>
  <si>
    <t>62 000 k€</t>
  </si>
  <si>
    <t>23 000 k€</t>
  </si>
  <si>
    <t>3 500 k€</t>
  </si>
  <si>
    <t>19 500 k€</t>
  </si>
  <si>
    <t>UK_Filiale (Royaume-Uni)</t>
  </si>
  <si>
    <t>72 000 k€</t>
  </si>
  <si>
    <t>48 500 k€</t>
  </si>
  <si>
    <t>23 500 k€</t>
  </si>
  <si>
    <t>4 200 k€</t>
  </si>
  <si>
    <t>19 300 k€</t>
  </si>
  <si>
    <t>US_Filiale (États-Unis)</t>
  </si>
  <si>
    <t>95 000 k€</t>
  </si>
  <si>
    <t>71 000 k€</t>
  </si>
  <si>
    <t>24 000 k€</t>
  </si>
  <si>
    <t>5 800 k€</t>
  </si>
  <si>
    <t>18 200 k€</t>
  </si>
  <si>
    <t>SG_Filiale (Singapour)</t>
  </si>
  <si>
    <t>38 000 k€</t>
  </si>
  <si>
    <t>28 500 k€</t>
  </si>
  <si>
    <t>9 500 k€</t>
  </si>
  <si>
    <t>1 200 k€</t>
  </si>
  <si>
    <t>8 300 k€</t>
  </si>
  <si>
    <t>290 000 k€</t>
  </si>
  <si>
    <t>210 000 k€</t>
  </si>
  <si>
    <t>80 000 k€</t>
  </si>
  <si>
    <t>14 700 k€</t>
  </si>
  <si>
    <t>65 300 k€</t>
  </si>
  <si>
    <t>📌  INTÉRÊTS MINORITAIRES (NCI) – Traitement IFRS 3</t>
  </si>
  <si>
    <t>NCI Bilan :</t>
  </si>
  <si>
    <t>Quote-part NCI dans actif net consolidé. UK: 20% × AN JV = 9 700k€. US: 25% × AN JV = 17 750k€. SG: 40% × AN JV = 11 400k€.</t>
  </si>
  <si>
    <t>NCI P&amp;L :</t>
  </si>
  <si>
    <t>Quote-part NCI dans résultat net de la filiale. Présenté SÉPARÉMENT sous le résultat net consolidé (IFRS 18 §88).</t>
  </si>
  <si>
    <t>Goodwill méthode :</t>
  </si>
  <si>
    <t>Méthode du Goodwill PARTIEL utilisée (sur la quote-part acquise uniquement). La méthode du Goodwill INTÉGRAL est une option IFRS 3.</t>
  </si>
  <si>
    <t>Test dépréciation :</t>
  </si>
  <si>
    <t>IAS 36 – Test goodwill annuel obligatoire par UGT. Dépréciations non réversibles. Onglet ELIM lignes 14-18.</t>
  </si>
  <si>
    <t>§4  ÉLIMINATIONS INTERCOMPAGNIES – Principes &amp; Mécanismes</t>
  </si>
  <si>
    <t>Les États Financiers Consolidés présentent le Groupe comme UNE SEULE entité économique. Toutes les transactions INTERNES au groupe doivent être éliminées pour éviter les doubles comptages. 3 catégories d'éliminations: (1) Créances/Dettes IC, (2) Résultats IC internes, (3) Titres de participation vs capitaux propres.</t>
  </si>
  <si>
    <t>Type d'élimination</t>
  </si>
  <si>
    <t>Référence IC</t>
  </si>
  <si>
    <t>Montant (k€ EUR)</t>
  </si>
  <si>
    <t>Écriture d'élimination</t>
  </si>
  <si>
    <t>Onglet source</t>
  </si>
  <si>
    <t>Ventes IC marchandises FR→DE</t>
  </si>
  <si>
    <t>18 500 k€</t>
  </si>
  <si>
    <t>DR Ventes IC / CR Achats IC → impact P&amp;L nul</t>
  </si>
  <si>
    <t>ELIM §1 ligne 6</t>
  </si>
  <si>
    <t>Ventes IC marchandises FR→UK</t>
  </si>
  <si>
    <t>14 446 k€</t>
  </si>
  <si>
    <t>DR Ventes IC / CR Achats IC (converties en EUR)</t>
  </si>
  <si>
    <t>ELIM §1 ligne 7</t>
  </si>
  <si>
    <t>Management fees FR→US</t>
  </si>
  <si>
    <t>7 803 k€</t>
  </si>
  <si>
    <t>DR Produits services IC / CR Charges services IC</t>
  </si>
  <si>
    <t>ELIM §1 ligne 8</t>
  </si>
  <si>
    <t>Prêt interco FR→SG</t>
  </si>
  <si>
    <t>3 526 k€</t>
  </si>
  <si>
    <t>DR Créance fin. IC / CR Dette fin. IC → nul au bilan</t>
  </si>
  <si>
    <t>ELIM §1 ligne 9</t>
  </si>
  <si>
    <t>Dividendes IC DE→FR</t>
  </si>
  <si>
    <t>DR Produits fin. IC / CR Dividendes versés IC → nul P&amp;L</t>
  </si>
  <si>
    <t>ELIM §1 ligne 10</t>
  </si>
  <si>
    <t>Dividendes IC UK→FR</t>
  </si>
  <si>
    <t>3 262 k€</t>
  </si>
  <si>
    <t>Idem (⚠ à vérifier – taux GBP)</t>
  </si>
  <si>
    <t>ELIM §1 ligne 11</t>
  </si>
  <si>
    <t>Provision risque IC FR→SG</t>
  </si>
  <si>
    <t>1 500 k€</t>
  </si>
  <si>
    <t>DR Provision actif IC / CR Risque passif IC</t>
  </si>
  <si>
    <t>ELIM §1 ligne 12</t>
  </si>
  <si>
    <t>Titres de participation →CP</t>
  </si>
  <si>
    <t>IFRS 3 §32</t>
  </si>
  <si>
    <t>Voir §3 ci-dessus</t>
  </si>
  <si>
    <t>DR Capital filiale / CR Titres participation → Goodwill résiduel</t>
  </si>
  <si>
    <t>ELIM §2 lignes 15-18</t>
  </si>
  <si>
    <t>§5  WORKFLOW DE CONSOLIDATION – PROCESSUS COMPLET EN 7 ÉTAPES</t>
  </si>
  <si>
    <t>Nom &amp; Icône</t>
  </si>
  <si>
    <t>Onglets concernés</t>
  </si>
  <si>
    <t>Description détaillée</t>
  </si>
  <si>
    <t>📥 Import &amp; Paramétrage</t>
  </si>
  <si>
    <t>Onglets SRC_FR/DE/UK/US/SG + PQ_TAUX_CHANGE</t>
  </si>
  <si>
    <t>Charger les balances locales en devise locale. Saisir taux de clôture, moyen, historique. Validation des totaux.</t>
  </si>
  <si>
    <t>🔄 Power Query – Normalisation</t>
  </si>
  <si>
    <t>PQ_MAPPING + BALANCES_PQ</t>
  </si>
  <si>
    <t>Power Query normalise les balances, applique les taux IAS 21, aligne les plans de comptes sur le référentiel Groupe.</t>
  </si>
  <si>
    <t>🔢 Agrégation des entités</t>
  </si>
  <si>
    <t>BALANCES_PQ + FORMULES_LIAISON</t>
  </si>
  <si>
    <t>Cumul des balances converties en EUR pour les 5 entités. Vérification: Total Actifs = Total Passifs pour chaque entité.</t>
  </si>
  <si>
    <t>✂️ Éliminations IC</t>
  </si>
  <si>
    <t>ELIM + PQ_ELIMINATIONS</t>
  </si>
  <si>
    <t>Application des 7 écritures d'élimination. Contrôle: Créances IC groupe = Dettes IC groupe (écart = 0 ou différence de change).</t>
  </si>
  <si>
    <t>📊 États financiers consolidés</t>
  </si>
  <si>
    <t>CONSOL_BILAN + CONSOL_CR + CONSOL_TRESORERIE</t>
  </si>
  <si>
    <t>Calcul automatique des états consolidés. Contrôle de la balance, du résultat net, de la trésorerie nette.</t>
  </si>
  <si>
    <t>🗺️ Reclassement IFRS 18</t>
  </si>
  <si>
    <t>IFRS18_MAPPING + NOTES_IFRS</t>
  </si>
  <si>
    <t>Affectation de chaque poste du P&amp;L aux 5 catégories IFRS 18. Calcul des sous-totaux obligatoires §47-48.</t>
  </si>
  <si>
    <t>ÉTAPE 7</t>
  </si>
  <si>
    <t>📈 Dashboards &amp; Reporting</t>
  </si>
  <si>
    <t>DASHBOARD_FIN + DASHBOARD_ESG + CSRD_RAPPORT</t>
  </si>
  <si>
    <t>Lecture des KPIs, graphiques dynamiques, rapport de durabilité CSRD. Partage avec la direction.</t>
  </si>
  <si>
    <t>§6  POWER QUERY – ARCHITECTURE &amp; LOGIQUE M (Automatisation de la consolidation)</t>
  </si>
  <si>
    <t>Power Query (langage M) automatise la chaîne ETL de consolidation: Extract (sources locales SRC_*), Transform (normalisation, conversion devise, mapping comptes), Load (BALANCES_PQ consolidé). Chaque requête est documentée dans PQ_CODE. Le rafraîchissement global = 1 clic bouton ToutRafraichir.</t>
  </si>
  <si>
    <t>Requête PQ</t>
  </si>
  <si>
    <t>Source → Destination</t>
  </si>
  <si>
    <t>Logique M principale</t>
  </si>
  <si>
    <t>PQ_Balances_FR</t>
  </si>
  <si>
    <t>Import &amp; normalisation FR</t>
  </si>
  <si>
    <t>SRC_FR → BALANCES_PQ</t>
  </si>
  <si>
    <t>Table.SelectRows, Table.TransformColumnTypes, jointure taux IAS 21</t>
  </si>
  <si>
    <t>PQ_Balances_DE/UK/US/SG</t>
  </si>
  <si>
    <t>Import 4 filiales étrangères</t>
  </si>
  <si>
    <t>SRC_DE/UK/US/SG → BALANCES_PQ</t>
  </si>
  <si>
    <t>Même logique + multiplication ColMontant × TauxEUR selon TypeTaux</t>
  </si>
  <si>
    <t>Correspondance plans de comptes</t>
  </si>
  <si>
    <t>IFRS18_MAPPING → BALANCES_PQ</t>
  </si>
  <si>
    <t>Table.Join sur CodeCompte pour ajouter catégorie IFRS 18 et libellé consolidé</t>
  </si>
  <si>
    <t>Calcul des éliminations IC</t>
  </si>
  <si>
    <t>ELIM → table d'éliminations nettes</t>
  </si>
  <si>
    <t>Agrégation par TypeIC + EntiteVendeuse/Acheteuse → montants à soustraire</t>
  </si>
  <si>
    <t>Table de référence des taux</t>
  </si>
  <si>
    <t>Saisie manuelle → toutes requêtes</t>
  </si>
  <si>
    <t>Table pivot: Devise × TypeTaux → TauxEUR (utilisé par jointure dans toutes requêtes)</t>
  </si>
  <si>
    <t>Table des % de détention</t>
  </si>
  <si>
    <t>ELIM §2 → calcul NCI</t>
  </si>
  <si>
    <t>Pourcentages par filiale → calcul quote-part NCI bilan &amp; P&amp;L</t>
  </si>
  <si>
    <t>§7  ESG / CSRD – CADRE RÉGLEMENTAIRE &amp; ESRS (European Sustainability Reporting Standards)</t>
  </si>
  <si>
    <t>La CSRD (Corporate Sustainability Reporting Directive) impose aux grandes entreprises européennes un rapport de durabilité selon les ESRS. Applicable depuis 2025 pour les entreprises &gt; 500 salariés ou cotées. Ce simulateur couvre les piliers E (Environnement), S (Social), G (Gouvernance) selon les ESRS EFRAG.</t>
  </si>
  <si>
    <t>Pilier CSRD</t>
  </si>
  <si>
    <t>Standard ESRS</t>
  </si>
  <si>
    <t>KPIs couverts dans le fichier</t>
  </si>
  <si>
    <t>Seuil / Objectif 2030</t>
  </si>
  <si>
    <t>🌍 E – Environnement</t>
  </si>
  <si>
    <t>ESRS E1 (Climat)
ESRS E2 (Pollution)
ESRS E4 (Biodiversité)</t>
  </si>
  <si>
    <t>CO₂ Scope 1 (direct), Scope 2 (énergie), Scope 3 (chaîne valeur)
Énergie renouvelable (% total), Consommation énergétique (MWh)
Déchets produits, taux recyclage, eau prélevée</t>
  </si>
  <si>
    <t>ESG_CARBONE
ESG_DATA
DASHBOARD_ESG</t>
  </si>
  <si>
    <t>Réduction 45% CO₂ vs 2019
(Accord de Paris 2015)</t>
  </si>
  <si>
    <t>👥 S – Social</t>
  </si>
  <si>
    <t>ESRS S1 (Employés)
ESRS S2 (Chaîne valeur)</t>
  </si>
  <si>
    <t>Effectifs totaux par entité, turnover, CDI vs CDD
Parité H/F (% femmes cadres, CA, Dir.)
Accidents travail (LTIFR), heures formation/salarié</t>
  </si>
  <si>
    <t>ESG_DIVERSITE
ESG_DATA
DASHBOARD_ESG</t>
  </si>
  <si>
    <t>Parité 40% femmes CA
(Directive 2022/2381)</t>
  </si>
  <si>
    <t>⚖️ G – Gouvernance</t>
  </si>
  <si>
    <t>ESRS G1 (Éthique)
ESRS G1 (Conduite affaires)</t>
  </si>
  <si>
    <t>Diversité Conseil d'Administration (H/F, nationalités)
Politique anti-corruption, alertes (whistleblowing)
Rémunérations dirigeants vs médiane salariés</t>
  </si>
  <si>
    <t>ESG_DATA
CSRD_RAPPORT</t>
  </si>
  <si>
    <t>Transparence rémunérations
(Say on Pay)</t>
  </si>
  <si>
    <t>📌  SCOPES CO₂ (GHG Protocol) – Définitions</t>
  </si>
  <si>
    <t>Scope 1 :</t>
  </si>
  <si>
    <t>ÉMISSIONS DIRECTES – combustion sur sites propres, flotte véhicules groupe (ex: usines, chaudières). Contrôle direct.</t>
  </si>
  <si>
    <t>Scope 2 :</t>
  </si>
  <si>
    <t>ÉMISSIONS INDIRECTES ÉNERGIE – électricité et chaleur achetées. Dépend du mix énergétique national. Onglet ESG_CARBONE.</t>
  </si>
  <si>
    <t>Scope 3 :</t>
  </si>
  <si>
    <t>ÉMISSIONS INDIRECTES CHAÎNE DE VALEUR – achats fournisseurs (amont) + utilisation produits clients (aval). Le plus difficile à mesurer (~70-90% empreinte totale).</t>
  </si>
  <si>
    <t>Intensité carbone :</t>
  </si>
  <si>
    <t>CO₂e / k€ de revenus. Indicateur de décorrélation croissance / empreinte. KPI clé Dashboard ESG.</t>
  </si>
  <si>
    <t>§8  GLOSSAIRE CCA – CONSOLIDATION DES COMPTES ANNUELS (60+ termes)</t>
  </si>
  <si>
    <t>Terme / Acronyme</t>
  </si>
  <si>
    <t>Définition complète</t>
  </si>
  <si>
    <t>Référence normative</t>
  </si>
  <si>
    <t>Actif net (Net Assets)</t>
  </si>
  <si>
    <t>Total des actifs d'une entité moins ses passifs (= capitaux propres). Base de calcul du Goodwill lors d'une acquisition (IFRS 3).</t>
  </si>
  <si>
    <t>IFRS 3 §32; IAS 27</t>
  </si>
  <si>
    <t>Actifs d'impôts différés (DTA)</t>
  </si>
  <si>
    <t>Montants d'IS récupérables dans les exercices futurs grâce à des différences temporaires déductibles ou des pertes reportées.</t>
  </si>
  <si>
    <t>IAS 12 §24-26</t>
  </si>
  <si>
    <t>Agrégation (line-by-line)</t>
  </si>
  <si>
    <t>Méthode de consolidation intégrale: cumul ligne par ligne de 100% des actifs, passifs, produits et charges d'une filiale contrôlée.</t>
  </si>
  <si>
    <t>IFRS 10 §B86</t>
  </si>
  <si>
    <t>Balance de consolidation</t>
  </si>
  <si>
    <t>Tableau récapitulatif des soldes de chaque entité après conversion en devise de présentation, avant éliminations IC.</t>
  </si>
  <si>
    <t>Ce fichier: BALANCES_PQ</t>
  </si>
  <si>
    <t>Capitaux propres part du groupe (Equity attributable)</t>
  </si>
  <si>
    <t>Quote-part des fonds propres consolidés appartenant aux actionnaires de la société mère. Exclut les NCI.</t>
  </si>
  <si>
    <t>IAS 1 §54(r); IFRS 10</t>
  </si>
  <si>
    <t>L'une des 5 classes obligatoires du P&amp;L IFRS 18: Exploitation, Investissement, Financement, Impôts, Discontinu.</t>
  </si>
  <si>
    <t>IFRS 18 §45-85</t>
  </si>
  <si>
    <t>Consolidation intégrale</t>
  </si>
  <si>
    <t>Méthode de consolidation où 100% des actifs/passifs/produits/charges d'une filiale contrôlée (&gt;50% votes) sont repris.</t>
  </si>
  <si>
    <t>IFRS 10 §19</t>
  </si>
  <si>
    <t>Contrôle (Control)</t>
  </si>
  <si>
    <t>Pouvoir sur une entité, exposition aux rendements variables, et capacité d'influer sur ces rendements. Critère d'inclusion dans le périmètre.</t>
  </si>
  <si>
    <t>IFRS 10 §7</t>
  </si>
  <si>
    <t>Conversion (Translation)</t>
  </si>
  <si>
    <t>Processus de transformation des états financiers d'une entité étrangère dans la devise de présentation du groupe, selon IAS 21.</t>
  </si>
  <si>
    <t>IAS 21 §38-47</t>
  </si>
  <si>
    <t>DAP (Dotations Amortissements Provisions)</t>
  </si>
  <si>
    <t>Charges non décaissables réintégrées dans le résultat pour calculer le cash-flow opérationnel. Catégorie ① IFRS 18.</t>
  </si>
  <si>
    <t>IAS 16 §73; IAS 38</t>
  </si>
  <si>
    <t>Devise de présentation</t>
  </si>
  <si>
    <t>Devise dans laquelle les états financiers consolidés sont établis. EUR pour ce groupe.</t>
  </si>
  <si>
    <t>IAS 21 §8,17</t>
  </si>
  <si>
    <t>Devise fonctionnelle</t>
  </si>
  <si>
    <t>Devise de l'environnement économique principal dans lequel une entité opère (USD pour US_Filiale, GBP pour UK_Filiale…).</t>
  </si>
  <si>
    <t>IAS 21 §8-10</t>
  </si>
  <si>
    <t>Différences temporaires</t>
  </si>
  <si>
    <t>Décalages entre la valeur comptable d'un actif/passif et sa base fiscale. Génèrent des impôts différés (DTA ou DTL).</t>
  </si>
  <si>
    <t>IAS 12 §15-24</t>
  </si>
  <si>
    <t>Double comptage</t>
  </si>
  <si>
    <t>Risque principal en consolidation: compter deux fois une transaction interne au groupe. Éliminé par les écritures IC.</t>
  </si>
  <si>
    <t>Écart d'acquisition (Goodwill)</t>
  </si>
  <si>
    <t>Surplus payé par l'acquéreur au-delà de la juste valeur de l'actif net identifiable. Reflète les synergies, la marque, la clientèle.</t>
  </si>
  <si>
    <t>IFRS 3 §32; IAS 36 §90</t>
  </si>
  <si>
    <t>Écart de conversion (Translation Adjustment)</t>
  </si>
  <si>
    <t>Différence résultant de la conversion des états financiers étrangers, comptabilisée en OCI (Other Comprehensive Income).</t>
  </si>
  <si>
    <t>IAS 21 §41</t>
  </si>
  <si>
    <t>EBITDA (Earnings Before Interest, Taxes, D&amp;A)</t>
  </si>
  <si>
    <t>Résultat avant intérêts, impôts, amortissements. MPM (Management Performance Measure) à réconcilier sous IFRS 18.</t>
  </si>
  <si>
    <t>IFRS 18 §B1-B12 (MPM)</t>
  </si>
  <si>
    <t>Elimination IC (Intercompany Elimination)</t>
  </si>
  <si>
    <t>Annulation des créances/dettes et produits/charges entre entités du groupe pour présenter des états consolidés.</t>
  </si>
  <si>
    <t>ESRS (European Sustainability Reporting Standards)</t>
  </si>
  <si>
    <t>Standards de reporting ESG définis par l'EFRAG pour application de la CSRD. Comprend E1-E5, S1-S4, G1.</t>
  </si>
  <si>
    <t>Directive 2022/2464/UE</t>
  </si>
  <si>
    <t>Filiale (Subsidiary)</t>
  </si>
  <si>
    <t>Entité sur laquelle la société mère exerce le contrôle (IFRS 10 §7). Consolidée par intégration intégrale.</t>
  </si>
  <si>
    <t>IFRS 10 §7, §19</t>
  </si>
  <si>
    <t>Flux de trésorerie (Cash Flow)</t>
  </si>
  <si>
    <t>Mouvements réels d'entrées et sorties de cash. Présenté en 3 catégories: opérationnel, investissement, financement (IAS 7).</t>
  </si>
  <si>
    <t>IAS 7; CONSOL_TRESORERIE</t>
  </si>
  <si>
    <t>GHG Protocol (Greenhouse Gas Protocol)</t>
  </si>
  <si>
    <t>Standard international de quantification des émissions GES en Scopes 1, 2 et 3. Base du reporting CO₂ CSRD.</t>
  </si>
  <si>
    <t>ESRS E1; GHG Protocol 2004</t>
  </si>
  <si>
    <t>Groupe (Reporting Entity)</t>
  </si>
  <si>
    <t>Ensemble formé par la société mère et toutes ses filiales. Les états consolidés représentent le groupe comme une seule entité.</t>
  </si>
  <si>
    <t>IFRS 10 §4</t>
  </si>
  <si>
    <t>IAS 12 (Income Taxes)</t>
  </si>
  <si>
    <t>Norme comptabilisation IS courant et différé. Oblige à reconnaître DTA et DTL sur différences temporaires.</t>
  </si>
  <si>
    <t>IAS 12 §15-47</t>
  </si>
  <si>
    <t>IAS 16 (PP&amp;E)</t>
  </si>
  <si>
    <t>Norme immobilisations corporelles: coût, amortissement, réévaluation, dépréciation (IAS 36).</t>
  </si>
  <si>
    <t>IAS 16; IAS 36</t>
  </si>
  <si>
    <t>IAS 21 (Effects of Changes in FX)</t>
  </si>
  <si>
    <t>Norme conversion des opérations en monnaie étrangère et des états financiers d'entités étrangères.</t>
  </si>
  <si>
    <t>IAS 21 §8-50</t>
  </si>
  <si>
    <t>IAS 36 (Impairment)</t>
  </si>
  <si>
    <t>Test de dépréciation des actifs (dont Goodwill). Valeur recouvrable = max(juste valeur nette, valeur d'utilité).</t>
  </si>
  <si>
    <t>IAS 36 §90, §104</t>
  </si>
  <si>
    <t>IAS 7 (Cash Flow Statements)</t>
  </si>
  <si>
    <t>Norme tableaux de flux de trésorerie. 3 sections: exploitation, investissement, financement. Méthode indirecte ou directe.</t>
  </si>
  <si>
    <t>IAS 7 §10-17</t>
  </si>
  <si>
    <t>IFRS 10 (Consolidated FS)</t>
  </si>
  <si>
    <t>Norme consolidation: définit le contrôle, le périmètre, la méthode d'intégration intégrale.</t>
  </si>
  <si>
    <t>IFRS 10 §4-19</t>
  </si>
  <si>
    <t>IFRS 15 (Revenue)</t>
  </si>
  <si>
    <t>Norme reconnaissance du CA en 5 étapes: contrat, obligations, prix, allocation, satisfaction obligation.</t>
  </si>
  <si>
    <t>IFRS 15 §9-38</t>
  </si>
  <si>
    <t>IFRS 16 (Leases)</t>
  </si>
  <si>
    <t>Norme contrats de location: reconnaître actif d'utilisation (ROU) et dette locative au bilan. Charges: DAP + intérêts.</t>
  </si>
  <si>
    <t>IFRS 16 §22-50</t>
  </si>
  <si>
    <t>IFRS 18 (Presentation FS)</t>
  </si>
  <si>
    <t>Remplace IAS 1. 5 catégories P&amp;L, sous-totaux obligatoires, MPM en annexe. Applicable 1er janv. 2027.</t>
  </si>
  <si>
    <t>IFRS 18 §45-90</t>
  </si>
  <si>
    <t>IFRS 3 (Business Combinations)</t>
  </si>
  <si>
    <t>Norme regroupements d'entreprises: méthode acquisition, Goodwill, PPA, NCI.</t>
  </si>
  <si>
    <t>IFRS 3 §32-40</t>
  </si>
  <si>
    <t>IFRS 5 (Non-Current Assets Held for Sale)</t>
  </si>
  <si>
    <t>Actifs/passifs destinés à la vente et activités abandonnées. Catégorie ⑤ IFRS 18.</t>
  </si>
  <si>
    <t>IFRS 5 §6-23</t>
  </si>
  <si>
    <t>Impôts différés passifs (DTL)</t>
  </si>
  <si>
    <t>IS à payer dans les exercices futurs résultant de différences temporaires imposables (ex: amortissement accéléré fiscal).</t>
  </si>
  <si>
    <t>IAS 12 §15</t>
  </si>
  <si>
    <t>Intégration globale</t>
  </si>
  <si>
    <t>Synonyme de consolidation intégrale (IFRS 10). 100% des éléments + élimination des IC + séparation NCI.</t>
  </si>
  <si>
    <t>Quote-part des actionnaires ne contrôlant pas dans les fonds propres et le résultat d'une filiale non détenue à 100%.</t>
  </si>
  <si>
    <t>IFRS 10 §22-24; IAS 1 §54</t>
  </si>
  <si>
    <t>Juste valeur (Fair Value)</t>
  </si>
  <si>
    <t>Prix qui serait reçu à la vente d'un actif ou payé pour le transfert d'un passif dans une transaction normale. Utilisée dans PPA.</t>
  </si>
  <si>
    <t>IFRS 13; IFRS 3 §18</t>
  </si>
  <si>
    <t>KPI (Key Performance Indicator)</t>
  </si>
  <si>
    <t>Indicateur clé de performance. Financier (EBITDA, ROE, levier) ou ESG (CO₂, parité, LTIFR) dans ce simulateur.</t>
  </si>
  <si>
    <t>Dashboards DASHBOARD_FIN/ESG</t>
  </si>
  <si>
    <t>Liasse de consolidation</t>
  </si>
  <si>
    <t>Ensemble des états financiers locaux retraités et soumis par chaque entité pour la consolidation groupe.</t>
  </si>
  <si>
    <t>Ce fichier: onglets FR/DE/UK/US/SG</t>
  </si>
  <si>
    <t>Management Performance Measure (MPM)</t>
  </si>
  <si>
    <t>Sous-total de résultat non standardisé communiqué en externe (ex: EBITDA). IFRS 18 exige réconciliation en annexe.</t>
  </si>
  <si>
    <t>IFRS 18 §B1-B12</t>
  </si>
  <si>
    <t>Méthode de l'acquisition</t>
  </si>
  <si>
    <t>Unique méthode autorisée par IFRS 3: identifier acquéreur, date d'acquisition, mesurer actif net JV, calculer Goodwill.</t>
  </si>
  <si>
    <t>IFRS 3 §4-5</t>
  </si>
  <si>
    <t>Mise en équivalence (Equity Method)</t>
  </si>
  <si>
    <t>Méthode pour les participations dans les entreprises associées (20-50%): quote-part résultat en P&amp;L, valeur bilantielle ajustée.</t>
  </si>
  <si>
    <t>IAS 28 §16-43</t>
  </si>
  <si>
    <t>NCI (Non-Controlling Interests)</t>
  </si>
  <si>
    <t>Voir Intérêts minoritaires.</t>
  </si>
  <si>
    <t>IFRS 10 §22</t>
  </si>
  <si>
    <t>OCI (Other Comprehensive Income)</t>
  </si>
  <si>
    <t>Produits/charges comptabilisés directement en capitaux propres, sans transiter par le P&amp;L (ex: écart de conversion IAS 21).</t>
  </si>
  <si>
    <t>IAS 1 §82A; IAS 21 §41</t>
  </si>
  <si>
    <t>Périmètre de consolidation</t>
  </si>
  <si>
    <t>Ensemble des entités incluses dans les états consolidés. Déterminé par la notion de contrôle (IFRS 10).</t>
  </si>
  <si>
    <t>IFRS 10 §4-7</t>
  </si>
  <si>
    <t>PP&amp;E (Property, Plant &amp; Equipment)</t>
  </si>
  <si>
    <t>Immobilisations corporelles: terrains, constructions, machines, équipements. Amorties sur durée d'utilité (IAS 16).</t>
  </si>
  <si>
    <t>IAS 16 §7</t>
  </si>
  <si>
    <t>PPA (Purchase Price Allocation)</t>
  </si>
  <si>
    <t>Allocation du prix d'acquisition aux actifs identifiables et passifs repris à leur juste valeur (IFRS 3). Révèle marques, clients, brevets.</t>
  </si>
  <si>
    <t>IFRS 3 §18-31</t>
  </si>
  <si>
    <t>Réconciliation (Reconciliation)</t>
  </si>
  <si>
    <t>Rapprochement ligne par ligne entre deux présentations d'un même solde. Obligatoire pour les MPM sous IFRS 18.</t>
  </si>
  <si>
    <t>IFRS 18 §B3-B8</t>
  </si>
  <si>
    <t>Résultat opérationnel (Operating Profit)</t>
  </si>
  <si>
    <t>Sous-total IFRS 18 §47: résultat après catégorie ① exploitation uniquement. Sous-total imposé.</t>
  </si>
  <si>
    <t>IFRS 18 §47</t>
  </si>
  <si>
    <t>ROU Asset (Right-of-Use Asset)</t>
  </si>
  <si>
    <t>Actif d'utilisation reconnu au bilan pour les contrats de location IFRS 16. Amorti sur durée du bail.</t>
  </si>
  <si>
    <t>IFRS 16 §22</t>
  </si>
  <si>
    <t>Scope 1/2/3 CO₂</t>
  </si>
  <si>
    <t>Catégories d'émissions GES: Scope 1 direct, Scope 2 énergie indirecte, Scope 3 chaîne de valeur. Requis CSRD.</t>
  </si>
  <si>
    <t>GHG Protocol; ESRS E1</t>
  </si>
  <si>
    <t>Société mère (Parent Company)</t>
  </si>
  <si>
    <t>Entité qui contrôle une ou plusieurs filiales. Prépare et présente les états financiers consolidés.</t>
  </si>
  <si>
    <t>Taux de clôture (Closing Rate)</t>
  </si>
  <si>
    <t>Taux de change à la date de clôture du bilan. Utilisé pour convertir les actifs/passifs monétaires (IAS 21 §23).</t>
  </si>
  <si>
    <t>Taux historique (Historical Rate)</t>
  </si>
  <si>
    <t>Taux de change à la date d'origine d'une transaction (acquisition, apport en capital). Utilisé pour les capitaux propres.</t>
  </si>
  <si>
    <t>Taux moyen (Average Rate)</t>
  </si>
  <si>
    <t>Approximation du taux historique quotidien sur une période. Utilisé pour P&amp;L (IAS 21 §39).</t>
  </si>
  <si>
    <t>IAS 21 §39-40</t>
  </si>
  <si>
    <t>Test de dépréciation (Impairment Test)</t>
  </si>
  <si>
    <t>Test annuel obligatoire sur le Goodwill (IAS 36 §90). Valeur recouvrable vs valeur comptable par UGT.</t>
  </si>
  <si>
    <t>UGT (Unité Génératrice de Trésorerie)</t>
  </si>
  <si>
    <t>Plus petit groupe d'actifs générant des flux de trésorerie largement indépendants. Base du test de dépréciation IAS 36.</t>
  </si>
  <si>
    <t>IAS 36 §66-73</t>
  </si>
  <si>
    <t>Valeur d'utilité (Value in Use)</t>
  </si>
  <si>
    <t>Valeur actuelle des flux de trésorerie futurs attendus d'un actif/UGT. Composante du test IAS 36.</t>
  </si>
  <si>
    <t>IAS 36 §30-57</t>
  </si>
  <si>
    <t>Whistleblowing</t>
  </si>
  <si>
    <t>Dispositif d'alerte éthique permettant aux salariés de signaler des irrégularités. Requis par ESRS G1.</t>
  </si>
  <si>
    <t>ESRS G1; Dir. 2019/1937/UE</t>
  </si>
  <si>
    <t>◄ Devise présentation EUR</t>
  </si>
  <si>
    <t>§9  SCHÉMAS &amp; FLUX – REPRÉSENTATION VISUELLE DE LA CONSOLIDATION</t>
  </si>
  <si>
    <t>SCHÉMA 1 – ARCHITECTURE DU GROUPE (Périmètre de consolidation)</t>
  </si>
  <si>
    <t xml:space="preserve">         ┌────────────────────────────────────────────────┐</t>
  </si>
  <si>
    <t xml:space="preserve">         │    FR_ParentCo  (Société Mère – devise EUR)    │</t>
  </si>
  <si>
    <t xml:space="preserve">         │    Onglets: FR_ParentCo / SRC_FR               │</t>
  </si>
  <si>
    <t xml:space="preserve">         └────┬──────────┬──────────┬──────────┬──────────┘</t>
  </si>
  <si>
    <t xml:space="preserve">              │ 100%     │  80%     │  75%     │  60%</t>
  </si>
  <si>
    <t xml:space="preserve">              ▼          ▼          ▼          ▼</t>
  </si>
  <si>
    <t xml:space="preserve">         ┌────────┐ ┌────────┐ ┌────────┐ ┌────────┐</t>
  </si>
  <si>
    <t xml:space="preserve">         │DE_Fil. │ │UK_Fil. │ │US_Fil. │ │SG_Fil. │</t>
  </si>
  <si>
    <t xml:space="preserve">         │  EUR   │ │  GBP   │ │  USD   │ │  SGD   │</t>
  </si>
  <si>
    <t xml:space="preserve">         │GW:19.5M│ │GW:19.3M│ │GW:18.2M│ │GW: 8.3M│</t>
  </si>
  <si>
    <t xml:space="preserve">         │NCI: 0% │ │NCI:20% │ │NCI:25% │ │NCI:40% │</t>
  </si>
  <si>
    <t xml:space="preserve">         └────────┘ └────────┘ └────────┘ └────────┘</t>
  </si>
  <si>
    <t xml:space="preserve">         (Intégr.)  (Intégr.)  (Intégr.)  (Intégr.)</t>
  </si>
  <si>
    <t xml:space="preserve">              IAS 21: EUR  GBP→EUR  USD→EUR  SGD→EUR</t>
  </si>
  <si>
    <t>SCHÉMA 2 – FLUX ETL Power Query (Extract → Transform → Load)</t>
  </si>
  <si>
    <t>Phase</t>
  </si>
  <si>
    <t>Onglets</t>
  </si>
  <si>
    <t>Mécanisme PQ</t>
  </si>
  <si>
    <t>EXTRACT</t>
  </si>
  <si>
    <t>SRC_FR/DE/UK/US/SG</t>
  </si>
  <si>
    <t>Lecture balances locales en devise locale</t>
  </si>
  <si>
    <t>Table.SelectRows, typage colonnes</t>
  </si>
  <si>
    <t>TRANSFORM</t>
  </si>
  <si>
    <t>PQ_MAPPING + PQ_TAUX_CHANGE</t>
  </si>
  <si>
    <t>Normalisation + conversion IAS 21 + cat. IFRS 18</t>
  </si>
  <si>
    <t>Table.Join CodeCompte &amp; Devise × TypeTaux</t>
  </si>
  <si>
    <t>ELIMINATE</t>
  </si>
  <si>
    <t>PQ_ELIMINATIONS + ELIM</t>
  </si>
  <si>
    <t>Soustraction 7 écritures intercompagnies</t>
  </si>
  <si>
    <t>Table.Group par TypeIC, signe -1</t>
  </si>
  <si>
    <t>LOAD</t>
  </si>
  <si>
    <t>BALANCES_PQ</t>
  </si>
  <si>
    <t>Table maître consolidée toutes entités en EUR</t>
  </si>
  <si>
    <t>Source unique états consolidés</t>
  </si>
  <si>
    <t>REPORT</t>
  </si>
  <si>
    <t>CONSOL_BILAN + CR + TRESORERIE</t>
  </si>
  <si>
    <t>États financiers IFRS + Dashboards</t>
  </si>
  <si>
    <t>Formules SUMIF/INDEX sur BALANCES_PQ</t>
  </si>
  <si>
    <t>SCHÉMA 3 – CONVERSION IAS 21 (UK_Filiale GBP → EUR, exemple chiffré)</t>
  </si>
  <si>
    <t>Poste (GBP local)</t>
  </si>
  <si>
    <t>Montant GBP</t>
  </si>
  <si>
    <t>Taux IAS 21</t>
  </si>
  <si>
    <t>Immobilisations (PP&amp;E)</t>
  </si>
  <si>
    <t>85 000</t>
  </si>
  <si>
    <t>× 1.165 (CLÔTURE)</t>
  </si>
  <si>
    <t>99 025</t>
  </si>
  <si>
    <t>18 000</t>
  </si>
  <si>
    <t>20 970</t>
  </si>
  <si>
    <t>(12 000)</t>
  </si>
  <si>
    <t>(13 980)</t>
  </si>
  <si>
    <t>Capital social (acq.)</t>
  </si>
  <si>
    <t>50 000</t>
  </si>
  <si>
    <t>× 1.120 (HISTORIQUE)</t>
  </si>
  <si>
    <t>56 000</t>
  </si>
  <si>
    <t>140 500</t>
  </si>
  <si>
    <t>× 1.155 (MOYEN)</t>
  </si>
  <si>
    <t>162 278</t>
  </si>
  <si>
    <t>(43 776)</t>
  </si>
  <si>
    <t>(50 562)</t>
  </si>
  <si>
    <t>ÉCART DE CONVERSION</t>
  </si>
  <si>
    <t>Résiduel</t>
  </si>
  <si>
    <t>→ OCI (non recyclable)</t>
  </si>
  <si>
    <t>Calculé auto.</t>
  </si>
  <si>
    <t>§10  AUDIT TRAIL – TRAÇABILITÉ COMPLÈTE DES CALCULS &amp; CONTRÔLES QUALITÉ</t>
  </si>
  <si>
    <t>Onglet / Cellule</t>
  </si>
  <si>
    <t>Source primaire</t>
  </si>
  <si>
    <t>Transformation appliquée</t>
  </si>
  <si>
    <t>Contrôle qualité</t>
  </si>
  <si>
    <t>CONSOL_BILAN – Total Actifs</t>
  </si>
  <si>
    <t>L'audit trail documente chaque transformation de données, de la source brute aux états financiers finaux. Tout auditeur peut retracer l'origine de chaque chiffre et valider les choix IFRS.</t>
  </si>
  <si>
    <t>Formule / Valeur</t>
  </si>
  <si>
    <t>CONSOL_BILAN Total Actifs</t>
  </si>
  <si>
    <t>ONGLET / CELLULE</t>
  </si>
  <si>
    <t>FORMULE / VALEUR TYPE</t>
  </si>
  <si>
    <t>SOURCE PRIMAIRE</t>
  </si>
  <si>
    <t>TRANSFORMATION</t>
  </si>
  <si>
    <t>CONTRÔLE QUALITÉ</t>
  </si>
  <si>
    <t>=SUMIF(BALANCES_PQ)</t>
  </si>
  <si>
    <t>Agrégation PQ + taux IAS21 clôture</t>
  </si>
  <si>
    <t>Total Actifs = Total Passifs</t>
  </si>
  <si>
    <t>CONSOL_CR CA Groupe</t>
  </si>
  <si>
    <t>=SUMIF(catégorie)</t>
  </si>
  <si>
    <t>SRC comptes CA</t>
  </si>
  <si>
    <t>Conversion taux moyen IAS 21</t>
  </si>
  <si>
    <t>IFRS18_MAPPING catégorie ①</t>
  </si>
  <si>
    <t>ELIM Total IC</t>
  </si>
  <si>
    <t>=SUMPRODUCT(Montant)</t>
  </si>
  <si>
    <t>ELIM §1</t>
  </si>
  <si>
    <t>Taux change par IC</t>
  </si>
  <si>
    <t>Créances IC = Dettes IC</t>
  </si>
  <si>
    <t>PQ_TAUX_CHANGE GBP Clôture</t>
  </si>
  <si>
    <t>1.165 (saisie manuelle)</t>
  </si>
  <si>
    <t>Source BCE officielle</t>
  </si>
  <si>
    <t>Table référence statique</t>
  </si>
  <si>
    <t>Rapprochement BCE requis</t>
  </si>
  <si>
    <t>IFRS18_MAPPING Catégorie</t>
  </si>
  <si>
    <t>EXPLOITATION (texte)</t>
  </si>
  <si>
    <t>Reclassement manuel validé</t>
  </si>
  <si>
    <t>5 catégories uniquement</t>
  </si>
  <si>
    <t>DASHBOARD_FIN EBITDA</t>
  </si>
  <si>
    <t>=CONSOL_CR!EBITDA</t>
  </si>
  <si>
    <t>CONSOL_CR résultat</t>
  </si>
  <si>
    <t>Liaison directe</t>
  </si>
  <si>
    <t>Réconciliation MPM §B1-B12</t>
  </si>
  <si>
    <t>ESG_CARBONE CO2 Scope 1</t>
  </si>
  <si>
    <t>Saisie k tCO2e</t>
  </si>
  <si>
    <t>Données opérations</t>
  </si>
  <si>
    <t>Somme entités</t>
  </si>
  <si>
    <t>Facteurs GHG Protocol</t>
  </si>
  <si>
    <t>GOODWILL net DE_Filiale</t>
  </si>
  <si>
    <t>85000-62000-3500=19500</t>
  </si>
  <si>
    <t>ELIM §2 ligne 15</t>
  </si>
  <si>
    <t>PPA IFRS3 + dépréc. IAS36</t>
  </si>
  <si>
    <t>Test dépréciation IAS36</t>
  </si>
  <si>
    <t>NCI UK_Filiale bilan</t>
  </si>
  <si>
    <t>20pct x 48500 = 9700 k€</t>
  </si>
  <si>
    <t>ELIM §2 ligne 16</t>
  </si>
  <si>
    <t>Quote-part NCI 20%</t>
  </si>
  <si>
    <t>NCI Bilan + P&amp;L cohérents</t>
  </si>
  <si>
    <t>ESG_DIVERSITE Femmes pct</t>
  </si>
  <si>
    <t>NbFemmes/NbTotal</t>
  </si>
  <si>
    <t>ESG_DATA effectifs</t>
  </si>
  <si>
    <t>Ratio automatique</t>
  </si>
  <si>
    <t>Seuil 40% Directive 2022 UE</t>
  </si>
  <si>
    <t>CONTRÔLES DE COHÉRENCE – 8 points de vérification critiques</t>
  </si>
  <si>
    <t>Condition</t>
  </si>
  <si>
    <t>Alerte si anomalie</t>
  </si>
  <si>
    <t>BILAN ÉQUILIBRÉ</t>
  </si>
  <si>
    <t>Total Actifs = Total Passifs + CP</t>
  </si>
  <si>
    <t>Si diff &gt; 0 → erreur élimination</t>
  </si>
  <si>
    <t>IC COMPENSÉS</t>
  </si>
  <si>
    <t>Créances IC = Dettes IC groupe</t>
  </si>
  <si>
    <t>ELIM §1 Total</t>
  </si>
  <si>
    <t>Écart = diff change OK, sinon vérif</t>
  </si>
  <si>
    <t>RÉSULTAT COHÉRENT</t>
  </si>
  <si>
    <t>P&amp;L Résultat = Var. CP (hors OCI)</t>
  </si>
  <si>
    <t>CR vs BILAN</t>
  </si>
  <si>
    <t>Écart → liaison manquante</t>
  </si>
  <si>
    <t>TRÉSORERIE RAPPROCHÉE</t>
  </si>
  <si>
    <t>Tréso finale = initiale + flux nets</t>
  </si>
  <si>
    <t>Écart → flux non classifié</t>
  </si>
  <si>
    <t>IFRS 18 EXHAUSTIF</t>
  </si>
  <si>
    <t>100% postes P&amp;L → catégorie ①-⑤</t>
  </si>
  <si>
    <t>Ligne vide = poste non classifié</t>
  </si>
  <si>
    <t>NCI CONCORDANTS</t>
  </si>
  <si>
    <t>NCI Bilan + NCI P&amp;L = mouvement net</t>
  </si>
  <si>
    <t>CONSOL_BILAN + CR</t>
  </si>
  <si>
    <t>Vérifier mouvements NCI période</t>
  </si>
  <si>
    <t>GOODWILL STABLE</t>
  </si>
  <si>
    <t>GW(t) = GW(t-1) – dépréc ± change</t>
  </si>
  <si>
    <t>ELIM §2</t>
  </si>
  <si>
    <t>Variation GW sans dépréc = anomalie</t>
  </si>
  <si>
    <t>ESG COMPLET</t>
  </si>
  <si>
    <t>Tous KPIs ESRS E1/S1/G1 renseignés</t>
  </si>
  <si>
    <t>ESG_DATA + CSRD</t>
  </si>
  <si>
    <t>Valeur 0 = champ vide ou réel zéro</t>
  </si>
  <si>
    <t>NOTE FINALE – Simulateur pédagogique. Données fictives créées à des fins de formation. Normes: IFRS 18 (2024), IAS 21, IFRS 3, IAS 12, CSRD/ESRS (Dir. 2022/2464/UE). Valider avec textes officiels IASB et EFRAG pour usage professionnel.</t>
  </si>
  <si>
    <t>Mise à jour: Sat Feb 28 2026  |  Version: 1.0 FINALE  |  Simulateur IFRS 18 CCA  |  Usage: CV / Portfolio Finance</t>
  </si>
  <si>
    <t>📑  SOMMAIRE COMPLET – TOUS LES ONGLETS (37 + 1 onglet)</t>
  </si>
  <si>
    <t>N°</t>
  </si>
  <si>
    <t>Accueil, légende, sommaire – point d'entrée du simulateur</t>
  </si>
  <si>
    <t>✅ Complet</t>
  </si>
  <si>
    <t>Documentation</t>
  </si>
  <si>
    <t>Guide utilisateur: couleurs, IFRS 18, ESG/CSRD, workflow</t>
  </si>
  <si>
    <t>Méthodologie &amp; Pédagogie</t>
  </si>
  <si>
    <t>§1-§10: IFRS 18, IAS 21, IFRS 3, Éliminations, PQ, Glossaire 60 termes, Audit Trail</t>
  </si>
  <si>
    <t>✅ NOUVEAU</t>
  </si>
  <si>
    <t>Données sources</t>
  </si>
  <si>
    <t>Bilan + CR Société Mère France (devise EUR)</t>
  </si>
  <si>
    <t>Bilan + CR Filiale Allemagne (devise EUR)</t>
  </si>
  <si>
    <t>Bilan + CR Filiale Royaume-Uni (devise GBP)</t>
  </si>
  <si>
    <t>Bilan + CR Filiale États-Unis (devise USD)</t>
  </si>
  <si>
    <t>Bilan + CR Filiale Singapour (devise SGD)</t>
  </si>
  <si>
    <t>Consolidation</t>
  </si>
  <si>
    <t>Éliminations IC (7 écritures) + IFRS 3 Goodwill/NCI</t>
  </si>
  <si>
    <t>Bilan consolidé groupe – toutes entités converties en EUR</t>
  </si>
  <si>
    <t>Compte de résultat consolidé – 5 catégories IFRS 18</t>
  </si>
  <si>
    <t>Tableau de flux de trésorerie consolidé (IAS 7)</t>
  </si>
  <si>
    <t>Mapping 5 catégories IFRS 18 pour tous les postes P&amp;L</t>
  </si>
  <si>
    <t>ESG/CSRD</t>
  </si>
  <si>
    <t>Données ESG brutes – KPIs E/S/G par entité et période</t>
  </si>
  <si>
    <t>Rapport de durabilité CSRD – ESRS E1/S1/G1</t>
  </si>
  <si>
    <t>Dashboards</t>
  </si>
  <si>
    <t>Dashboard financier – KPIs, EBITDA, marges, levier</t>
  </si>
  <si>
    <t>Dashboard ESG – CO2, parité, accidents, gouvernance</t>
  </si>
  <si>
    <t>DASHBOARD</t>
  </si>
  <si>
    <t>Dashboard maître – synthèse Groupe toutes métriques</t>
  </si>
  <si>
    <t>SRC_FR</t>
  </si>
  <si>
    <t>Sources PQ</t>
  </si>
  <si>
    <t>Source balances comptables FR – import Power Query</t>
  </si>
  <si>
    <t>SRC_DE</t>
  </si>
  <si>
    <t>Source balances comptables DE – import Power Query</t>
  </si>
  <si>
    <t>SRC_UK</t>
  </si>
  <si>
    <t>Source balances comptables UK – import Power Query</t>
  </si>
  <si>
    <t>SRC_US</t>
  </si>
  <si>
    <t>SRC_SG</t>
  </si>
  <si>
    <t>Source balances comptables SG – import Power Query</t>
  </si>
  <si>
    <t>Power Query</t>
  </si>
  <si>
    <t>Mapping plans de comptes locaux → référentiel Groupe</t>
  </si>
  <si>
    <t>PQ_CODE</t>
  </si>
  <si>
    <t>Table des taux de change IAS 21 – clôture/moyen/histo</t>
  </si>
  <si>
    <t>Calcul automatique éliminations IC via PQ</t>
  </si>
  <si>
    <t>PQ_DAX_MESURES</t>
  </si>
  <si>
    <t>PQ_M_AVANCE</t>
  </si>
  <si>
    <t>FORMULES_LIAISON</t>
  </si>
  <si>
    <t>Liaisons données ESG → Dashboard ESG</t>
  </si>
  <si>
    <t>🔧  CODE VBA COMPLET – MACRO ToutRafraichir (à copier dans l'éditeur VBA Alt+F11)</t>
  </si>
  <si>
    <t>INSTRUCTIONS : Alt+F11 → Insertion → Module → Coller le code ci-dessous → Alt+F4 → Retour Excel → Insertion → Formes → Rectangle → Clic droit → Affecter une macro → ToutRafraichir</t>
  </si>
  <si>
    <t xml:space="preserve"> ════════════════════════════════════════════════════════════════════════════</t>
  </si>
  <si>
    <t xml:space="preserve"> MODULE : ToutRafraichir – Simulateur IFRS 18 / Consolidation / ESG</t>
  </si>
  <si>
    <t xml:space="preserve"> VERSION : 1.0 FINALE | Date : Sat Feb 28 2026</t>
  </si>
  <si>
    <t xml:space="preserve"> DESCRIPTION : Rafraîchit tous les Power Query, recalcule le modèle,</t>
  </si>
  <si>
    <t xml:space="preserve">              met à jour les dashboards, et affiche un rapport de statut.</t>
  </si>
  <si>
    <t xml:space="preserve"> USAGE : Alt+F11 → Insertion → Module → Coller ce code → Fermer</t>
  </si>
  <si>
    <t xml:space="preserve">         Puis : Insertion → Formes → Dessiner bouton → Affecter ToutRafraichir</t>
  </si>
  <si>
    <t>Sub ToutRafraichir()</t>
  </si>
  <si>
    <t xml:space="preserve">    ' ----- DÉCLARATIONS -----</t>
  </si>
  <si>
    <t xml:space="preserve">    Dim wb As Workbook</t>
  </si>
  <si>
    <t xml:space="preserve">    Dim ws As Worksheet</t>
  </si>
  <si>
    <t xml:space="preserve">    Dim conn As WorkbookConnection</t>
  </si>
  <si>
    <t xml:space="preserve">    Dim startTime As Double</t>
  </si>
  <si>
    <t xml:space="preserve">    Dim elapsed As String</t>
  </si>
  <si>
    <t xml:space="preserve">    Dim msgResult As String</t>
  </si>
  <si>
    <t xml:space="preserve">    Dim errCount As Integer</t>
  </si>
  <si>
    <t xml:space="preserve">    Dim logSheet As Worksheet</t>
  </si>
  <si>
    <t xml:space="preserve">    Dim logRow As Long</t>
  </si>
  <si>
    <t xml:space="preserve">    startTime = Timer</t>
  </si>
  <si>
    <t xml:space="preserve">    Set wb = ThisWorkbook</t>
  </si>
  <si>
    <t xml:space="preserve">    errCount = 0</t>
  </si>
  <si>
    <t xml:space="preserve">    msgResult = ""</t>
  </si>
  <si>
    <t xml:space="preserve">    ' ----- 1. INTERFACE : INDICATEUR DE PROGRESSION -----</t>
  </si>
  <si>
    <t xml:space="preserve">    Application.ScreenUpdating = False</t>
  </si>
  <si>
    <t xml:space="preserve">    Application.DisplayAlerts = False</t>
  </si>
  <si>
    <t xml:space="preserve">    Application.EnableEvents = False</t>
  </si>
  <si>
    <t xml:space="preserve">    Application.Calculation = xlCalculationManual</t>
  </si>
  <si>
    <t xml:space="preserve">    ' Afficher message de chargement</t>
  </si>
  <si>
    <t xml:space="preserve">    Application.StatusBar = "[1/5] Rafraîchissement Power Query en cours..."</t>
  </si>
  <si>
    <t xml:space="preserve">    ' ----- 2. RAFRAÎCHISSEMENT POWER QUERY -----</t>
  </si>
  <si>
    <t xml:space="preserve">    Dim pqNames() As String</t>
  </si>
  <si>
    <t xml:space="preserve">    pqNames = Split("PQ_Balances_FR,PQ_Balances_DE,PQ_Balances_UK,PQ_Balances_US," &amp; _</t>
  </si>
  <si>
    <t xml:space="preserve">              "PQ_Balances_SG,PQ_MAPPING,PQ_TAUX_CHANGE,PQ_ELIMINATIONS," &amp; _</t>
  </si>
  <si>
    <t xml:space="preserve">              "PQ_DETENTION,PQ_DAX_MESURES", ",")</t>
  </si>
  <si>
    <t xml:space="preserve">    For Each conn In wb.Connections</t>
  </si>
  <si>
    <t xml:space="preserve">        On Error Resume Next</t>
  </si>
  <si>
    <t xml:space="preserve">        conn.Refresh</t>
  </si>
  <si>
    <t xml:space="preserve">        If Err.Number &lt;&gt; 0 Then</t>
  </si>
  <si>
    <t xml:space="preserve">            errCount = errCount + 1</t>
  </si>
  <si>
    <t xml:space="preserve">            msgResult = msgResult &amp; "⚠ Erreur PQ: " &amp; conn.Name &amp; Chr(10)</t>
  </si>
  <si>
    <t xml:space="preserve">            Err.Clear</t>
  </si>
  <si>
    <t xml:space="preserve">        Else</t>
  </si>
  <si>
    <t xml:space="preserve">            msgResult = msgResult &amp; "✅ PQ OK: " &amp; conn.Name &amp; Chr(10)</t>
  </si>
  <si>
    <t xml:space="preserve">        End If</t>
  </si>
  <si>
    <t xml:space="preserve">        On Error GoTo 0</t>
  </si>
  <si>
    <t xml:space="preserve">    Next conn</t>
  </si>
  <si>
    <t xml:space="preserve">    ' Attendre fin des rafraîchissements asynchrones</t>
  </si>
  <si>
    <t xml:space="preserve">    Application.StatusBar = "[2/5] Attente fin des rafraîchissements async..."</t>
  </si>
  <si>
    <t xml:space="preserve">    Dim waitStart As Double</t>
  </si>
  <si>
    <t xml:space="preserve">    waitStart = Timer</t>
  </si>
  <si>
    <t xml:space="preserve">    Do While Timer - waitStart &lt; 5 ' Max 5s d'attente</t>
  </si>
  <si>
    <t xml:space="preserve">        DoEvents</t>
  </si>
  <si>
    <t xml:space="preserve">        Application.Wait Now + TimeValue("00:00:01")</t>
  </si>
  <si>
    <t xml:space="preserve">        waitStart = Timer - 1 ' sortir après 1s</t>
  </si>
  <si>
    <t xml:space="preserve">    Loop</t>
  </si>
  <si>
    <t xml:space="preserve">    ' ----- 3. RECALCUL COMPLET DU MODÈLE -----</t>
  </si>
  <si>
    <t xml:space="preserve">    Application.StatusBar = "[3/5] Recalcul des formules IFRS 18 et consolidation..."</t>
  </si>
  <si>
    <t xml:space="preserve">    Application.Calculation = xlCalculationAutomatic</t>
  </si>
  <si>
    <t xml:space="preserve">    Application.CalculateFull</t>
  </si>
  <si>
    <t xml:space="preserve">    DoEvents</t>
  </si>
  <si>
    <t xml:space="preserve">    ' Forcer recalcul sur onglets critiques</t>
  </si>
  <si>
    <t xml:space="preserve">    Dim criticalSheets As Variant</t>
  </si>
  <si>
    <t xml:space="preserve">    criticalSheets = Array("BALANCES_PQ", "CONSOL_BILAN", "CONSOL_CR", _</t>
  </si>
  <si>
    <t xml:space="preserve">                          "CONSOL_TRESORERIE", "IFRS18_MAPPING", _</t>
  </si>
  <si>
    <t xml:space="preserve">                          "ESG_DATA", "ESG_CARBONE", "ESG_DIVERSITE")</t>
  </si>
  <si>
    <t xml:space="preserve">    Dim i As Integer</t>
  </si>
  <si>
    <t xml:space="preserve">    For i = 0 To UBound(criticalSheets)</t>
  </si>
  <si>
    <t xml:space="preserve">        wb.Worksheets(criticalSheets(i)).Calculate</t>
  </si>
  <si>
    <t xml:space="preserve">            msgResult = msgResult &amp; "⚠ Calcul: " &amp; criticalSheets(i) &amp; " non trouvé" &amp; Chr(10)</t>
  </si>
  <si>
    <t xml:space="preserve">    Next i</t>
  </si>
  <si>
    <t xml:space="preserve">    ' ----- 4. MISE À JOUR DASHBOARDS -----</t>
  </si>
  <si>
    <t xml:space="preserve">    Application.StatusBar = "[4/5] Mise à jour des dashboards et graphiques..."</t>
  </si>
  <si>
    <t xml:space="preserve">    ' Mise à jour des tableaux croisés dynamiques</t>
  </si>
  <si>
    <t xml:space="preserve">    Dim pt As PivotTable</t>
  </si>
  <si>
    <t xml:space="preserve">    Dim dashSheets As Variant</t>
  </si>
  <si>
    <t xml:space="preserve">    dashSheets = Array("DASHBOARD_FIN", "DASHBOARD_ESG", "DASHBOARD")</t>
  </si>
  <si>
    <t xml:space="preserve">    For i = 0 To UBound(dashSheets)</t>
  </si>
  <si>
    <t xml:space="preserve">        Set ws = wb.Worksheets(dashSheets(i))</t>
  </si>
  <si>
    <t xml:space="preserve">        If Not ws Is Nothing Then</t>
  </si>
  <si>
    <t xml:space="preserve">            For Each pt In ws.PivotTables</t>
  </si>
  <si>
    <t xml:space="preserve">                pt.PivotCache.Refresh</t>
  </si>
  <si>
    <t xml:space="preserve">            Next pt</t>
  </si>
  <si>
    <t xml:space="preserve">            ws.Calculate</t>
  </si>
  <si>
    <t xml:space="preserve">    ' Recalcul onglets CSRD et ESG</t>
  </si>
  <si>
    <t xml:space="preserve">    On Error Resume Next</t>
  </si>
  <si>
    <t xml:space="preserve">    wb.Worksheets("CSRD_RAPPORT").Calculate</t>
  </si>
  <si>
    <t xml:space="preserve">    wb.Worksheets("NOTES_IFRS").Calculate</t>
  </si>
  <si>
    <t xml:space="preserve">    wb.Worksheets("ESG_DASHBOARD_LINK").Calculate</t>
  </si>
  <si>
    <t xml:space="preserve">    On Error GoTo 0</t>
  </si>
  <si>
    <t xml:space="preserve">    ' ----- 5. JOURNAL D'AUDIT (LOG) -----</t>
  </si>
  <si>
    <t xml:space="preserve">    Application.StatusBar = "[5/5] Mise à jour du journal d'audit..."</t>
  </si>
  <si>
    <t xml:space="preserve">    Set logSheet = wb.Worksheets("AUDIT_LOG")</t>
  </si>
  <si>
    <t xml:space="preserve">    If logSheet Is Nothing Then</t>
  </si>
  <si>
    <t xml:space="preserve">        Set logSheet = wb.Worksheets.Add(After:=wb.Worksheets(wb.Worksheets.Count))</t>
  </si>
  <si>
    <t xml:space="preserve">        logSheet.Name = "AUDIT_LOG"</t>
  </si>
  <si>
    <t xml:space="preserve">        logSheet.Range("A1:E1").Value = Array("Date", "Heure", "Action", "Statut", "Durée (s)")</t>
  </si>
  <si>
    <t xml:space="preserve">        logSheet.Range("A1:E1").Font.Bold = True</t>
  </si>
  <si>
    <t xml:space="preserve">        logSheet.Range("A1:E1").Interior.Color = RGB(31, 56, 100)</t>
  </si>
  <si>
    <t xml:space="preserve">        logSheet.Range("A1:E1").Font.Color = RGB(255, 255, 255)</t>
  </si>
  <si>
    <t xml:space="preserve">    End If</t>
  </si>
  <si>
    <t xml:space="preserve">    elapsed = Format(Timer - startTime, "0.0")</t>
  </si>
  <si>
    <t xml:space="preserve">    logRow = logSheet.Cells(logSheet.Rows.Count, 1).End(xlUp).Row + 1</t>
  </si>
  <si>
    <t xml:space="preserve">    logSheet.Cells(logRow, 1).Value = Date</t>
  </si>
  <si>
    <t xml:space="preserve">    logSheet.Cells(logRow, 2).Value = Time</t>
  </si>
  <si>
    <t xml:space="preserve">    logSheet.Cells(logRow, 3).Value = "ToutRafraichir – Connexions: " &amp; wb.Connections.Count</t>
  </si>
  <si>
    <t xml:space="preserve">    logSheet.Cells(logRow, 4).Value = IIf(errCount = 0, "SUCCESS", "PARTIEL – " &amp; errCount &amp; " erreur(s)")</t>
  </si>
  <si>
    <t xml:space="preserve">    logSheet.Cells(logRow, 5).Value = elapsed</t>
  </si>
  <si>
    <t xml:space="preserve">    If errCount = 0 Then</t>
  </si>
  <si>
    <t xml:space="preserve">        logSheet.Cells(logRow, 4).Font.Color = RGB(55, 86, 35) ' vert</t>
  </si>
  <si>
    <t xml:space="preserve">    Else</t>
  </si>
  <si>
    <t xml:space="preserve">        logSheet.Cells(logRow, 4).Font.Color = RGB(197, 90, 17) ' orange</t>
  </si>
  <si>
    <t xml:space="preserve">    ' ----- 6. RESTAURATION &amp; MESSAGE FINAL -----</t>
  </si>
  <si>
    <t xml:space="preserve">    Application.ScreenUpdating = True</t>
  </si>
  <si>
    <t xml:space="preserve">    Application.DisplayAlerts = True</t>
  </si>
  <si>
    <t xml:space="preserve">    Application.EnableEvents = True</t>
  </si>
  <si>
    <t xml:space="preserve">    Application.StatusBar = False</t>
  </si>
  <si>
    <t xml:space="preserve">    ' Retourner sur HOME</t>
  </si>
  <si>
    <t xml:space="preserve">    wb.Worksheets("HOME").Activate</t>
  </si>
  <si>
    <t xml:space="preserve">    ' Message de fin</t>
  </si>
  <si>
    <t xml:space="preserve">    Dim finalMsg As String</t>
  </si>
  <si>
    <t xml:space="preserve">    finalMsg = "✅ RAFRAÎCHISSEMENT TERMINÉ" &amp; Chr(10) &amp; Chr(10)</t>
  </si>
  <si>
    <t xml:space="preserve">    finalMsg = finalMsg &amp; "Durée totale : " &amp; elapsed &amp; " secondes" &amp; Chr(10)</t>
  </si>
  <si>
    <t xml:space="preserve">    finalMsg = finalMsg &amp; "Connexions PQ rafraîchies : " &amp; wb.Connections.Count &amp; Chr(10)</t>
  </si>
  <si>
    <t xml:space="preserve">    finalMsg = finalMsg &amp; "Erreurs : " &amp; errCount &amp; Chr(10) &amp; Chr(10)</t>
  </si>
  <si>
    <t xml:space="preserve">    If errCount &gt; 0 Then</t>
  </si>
  <si>
    <t xml:space="preserve">        finalMsg = finalMsg &amp; "Détail des alertes :" &amp; Chr(10) &amp; msgResult</t>
  </si>
  <si>
    <t xml:space="preserve">        MsgBox finalMsg, vbExclamation, "ToutRafraichir – Rapport de statut"</t>
  </si>
  <si>
    <t xml:space="preserve">        finalMsg = finalMsg &amp; "Tous les onglets sont à jour." &amp; Chr(10)</t>
  </si>
  <si>
    <t xml:space="preserve">        finalMsg = finalMsg &amp; "Journal : onglet AUDIT_LOG ligne " &amp; logRow</t>
  </si>
  <si>
    <t xml:space="preserve">        MsgBox finalMsg, vbInformation, "ToutRafraichir – Succès"</t>
  </si>
  <si>
    <t>End Sub</t>
  </si>
  <si>
    <t xml:space="preserve"> ────────────────────────────────────────────────────────────────────────────</t>
  </si>
  <si>
    <t>Sub ProtegerFichier()</t>
  </si>
  <si>
    <t xml:space="preserve">    ' Protège toutes les feuilles de calcul (sauf zones saisie)</t>
  </si>
  <si>
    <t xml:space="preserve">    Dim pwd As String</t>
  </si>
  <si>
    <t xml:space="preserve">    pwd = InputBox("Entrez le mot de passe de protection (laissez vide = pas de MdP) :", "Protection", "")</t>
  </si>
  <si>
    <t xml:space="preserve">    Dim sheetsToProtect As Variant</t>
  </si>
  <si>
    <t xml:space="preserve">    sheetsToProtect = Array("CONSOL_BILAN", "CONSOL_CR", "CONSOL_TRESORERIE", _</t>
  </si>
  <si>
    <t xml:space="preserve">                           "IFRS18_MAPPING", "BALANCES_PQ", _</t>
  </si>
  <si>
    <t xml:space="preserve">                           "DASHBOARD_FIN", "DASHBOARD_ESG", "DASHBOARD", _</t>
  </si>
  <si>
    <t xml:space="preserve">                           "PQ_MAPPING", "PQ_ELIMINATIONS")</t>
  </si>
  <si>
    <t xml:space="preserve">    For i = 0 To UBound(sheetsToProtect)</t>
  </si>
  <si>
    <t xml:space="preserve">        Set ws = ThisWorkbook.Worksheets(sheetsToProtect(i))</t>
  </si>
  <si>
    <t xml:space="preserve">            ws.Protect Password:=pwd, _</t>
  </si>
  <si>
    <t xml:space="preserve">                       DrawingObjects:=True, _</t>
  </si>
  <si>
    <t xml:space="preserve">                       Contents:=True, _</t>
  </si>
  <si>
    <t xml:space="preserve">                       Scenarios:=True, _</t>
  </si>
  <si>
    <t xml:space="preserve">                       AllowFormattingCells:=False, _</t>
  </si>
  <si>
    <t xml:space="preserve">                       AllowFormattingColumns:=False, _</t>
  </si>
  <si>
    <t xml:space="preserve">                       AllowFormattingRows:=False, _</t>
  </si>
  <si>
    <t xml:space="preserve">                       AllowInsertingColumns:=False, _</t>
  </si>
  <si>
    <t xml:space="preserve">                       AllowInsertingRows:=False, _</t>
  </si>
  <si>
    <t xml:space="preserve">                       AllowDeletingColumns:=False, _</t>
  </si>
  <si>
    <t xml:space="preserve">                       AllowDeletingRows:=False, _</t>
  </si>
  <si>
    <t xml:space="preserve">                       AllowSorting:=True, _</t>
  </si>
  <si>
    <t xml:space="preserve">                       AllowFiltering:=True, _</t>
  </si>
  <si>
    <t xml:space="preserve">                       AllowUsingPivotTables:=True</t>
  </si>
  <si>
    <t xml:space="preserve">    MsgBox "Protection appliquée sur " &amp; UBound(sheetsToProtect) + 1 &amp; " onglets.", _</t>
  </si>
  <si>
    <t xml:space="preserve">           vbInformation, "Protection IFRS Simulateur"</t>
  </si>
  <si>
    <t>Sub DeprotegerFichier()</t>
  </si>
  <si>
    <t xml:space="preserve">    ' Déprotège toutes les feuilles (pour maintenance)</t>
  </si>
  <si>
    <t xml:space="preserve">    pwd = InputBox("Entrez le mot de passe de déprotection :", "Déprotection", "")</t>
  </si>
  <si>
    <t xml:space="preserve">    For Each ws In ThisWorkbook.Worksheets</t>
  </si>
  <si>
    <t xml:space="preserve">        ws.Unprotect Password:=pwd</t>
  </si>
  <si>
    <t xml:space="preserve">    Next ws</t>
  </si>
  <si>
    <t xml:space="preserve">    MsgBox "Toutes les feuilles ont été déprotégées.", vbInformation</t>
  </si>
  <si>
    <t>Sub OptimiserTaille()</t>
  </si>
  <si>
    <t xml:space="preserve">    ' Supprime les lignes/colonnes vides en fin de chaque feuille</t>
  </si>
  <si>
    <t xml:space="preserve">    Dim lastRow As Long, lastCol As Long</t>
  </si>
  <si>
    <t xml:space="preserve">    Dim clearedCount As Integer</t>
  </si>
  <si>
    <t xml:space="preserve">    clearedCount = 0</t>
  </si>
  <si>
    <t xml:space="preserve">        ' Trouver la dernière ligne utilisée réelle</t>
  </si>
  <si>
    <t xml:space="preserve">        lastRow = ws.UsedRange.Row + ws.UsedRange.Rows.Count - 1</t>
  </si>
  <si>
    <t xml:space="preserve">        lastCol = ws.UsedRange.Column + ws.UsedRange.Columns.Count - 1</t>
  </si>
  <si>
    <t xml:space="preserve">        ' Effacer le contenu des cellules fantômes au-delà</t>
  </si>
  <si>
    <t xml:space="preserve">        If lastRow &lt; 1000 Then</t>
  </si>
  <si>
    <t xml:space="preserve">            ws.Rows(lastRow + 1 &amp; ":1000").Delete</t>
  </si>
  <si>
    <t xml:space="preserve">            clearedCount = clearedCount + 1</t>
  </si>
  <si>
    <t xml:space="preserve">    ' Enregistrer pour consolider</t>
  </si>
  <si>
    <t xml:space="preserve">    ThisWorkbook.Save</t>
  </si>
  <si>
    <t xml:space="preserve">    MsgBox "Optimisation terminée. " &amp; clearedCount &amp; " feuilles nettoyées." &amp; Chr(10) &amp; _</t>
  </si>
  <si>
    <t xml:space="preserve">           "Fichier enregistré.", vbInformation, "Optimisation Taille"</t>
  </si>
  <si>
    <t>📋  INSTRUCTIONS FINALES – MISE EN PRODUCTION DU SIMULATEUR</t>
  </si>
  <si>
    <t>Détail</t>
  </si>
  <si>
    <t>ÉTAPE 1 – Activer les macros VBA</t>
  </si>
  <si>
    <t>Fichier → Options → Centre de gestion de la confidentialité → Paramètres des macros → Activer toutes les macros (ou demander)</t>
  </si>
  <si>
    <t>ÉTAPE 2 – Coller le code VBA</t>
  </si>
  <si>
    <t>Alt+F11 → Insertion → Module (Module1) → Coller les 4 Sub (ToutRafraichir, ProtegerFichier, DeprotegerFichier, OptimiserTaille) → Fermer</t>
  </si>
  <si>
    <t>ÉTAPE 3 – Créer le bouton ToutRafraichir</t>
  </si>
  <si>
    <t>Onglet HOME → Insertion → Formes → Rectangle arrondi → Dessiner → Clic droit → Modifier le texte → « 🔄 TOUT RAFRAÎCHIR » → Clic droit → Affecter une macro → ToutRafraichir</t>
  </si>
  <si>
    <t>ÉTAPE 4 – Formater le bouton</t>
  </si>
  <si>
    <t>Clic droit bouton → Format de la forme → Remplissage: #2E74B5 → Police: blanc, gras, 12pt → Ombre portée → Positionner en haut à droite de HOME</t>
  </si>
  <si>
    <t>ÉTAPE 5 – Protection du fichier</t>
  </si>
  <si>
    <t>Exécuter la macro ProtegerFichier() via Alt+F8 → Entrer un mot de passe mémorisable (ex: IFRS2025) → Confirmer sur les 10 onglets protégés</t>
  </si>
  <si>
    <t>ÉTAPE 6 – Optimiser la taille</t>
  </si>
  <si>
    <t>Exécuter OptimiserTaille() via Alt+F8 → Supprime les lignes vides excédentaires → Enregistre (réduction ~30-50% taille fichier)</t>
  </si>
  <si>
    <t>ÉTAPE 7 – Enregistrer au format .xlsm</t>
  </si>
  <si>
    <t>Fichier → Enregistrer sous → Format: Classeur Excel (prenant en charge les macros) .xlsm → NOM SUGGÉRÉ: IFRS18_CONSOL_CCA_VFinale.xlsm</t>
  </si>
  <si>
    <t>ÉTAPE 8 – Test final</t>
  </si>
  <si>
    <t>1) Ouvrir en mode protégé → Cliquer ToutRafraichir → Vérifier message SUCCESS
2) Vérifier CONSOL_BILAN: Total Actifs = Total Passifs
3) Vérifier onglet AUDIT_LOG créé automatiquement
4) Parcourir les 3 dashboards → visuels à jour</t>
  </si>
  <si>
    <t>ÉTAPE 9 – CV &amp; Portfolio</t>
  </si>
  <si>
    <t>Mention recommandée CV: « Simulateur de consolidation IFRS 18 sous Excel/Power Query: 38 onglets, 5 entités multinational, IAS 21/IFRS 3/CSRD, VBA, dashboards dynamiques »</t>
  </si>
  <si>
    <t>= Bilan CONSOL</t>
  </si>
  <si>
    <t>Taux Effectif d'Imposition (TEI)</t>
  </si>
  <si>
    <t>% (IS courant + différé / RN avant impôts)</t>
  </si>
  <si>
    <t>Levier financier (DN / EBITDA)</t>
  </si>
  <si>
    <t>x  (Dettes fin. LT / EBITDA consolidé)</t>
  </si>
  <si>
    <t>Levier DN/EBITDA :</t>
  </si>
  <si>
    <t>Auto-calculé: ΔBFR = ΔStocks+ΔCréances-ΔDettes fourn. (CONSOL_BILAN)</t>
  </si>
  <si>
    <t>Δ Stocks</t>
  </si>
  <si>
    <t>Δ Créances</t>
  </si>
  <si>
    <t>Δ Dettes fourn.</t>
  </si>
  <si>
    <t>TOTAL / MOY. GROUPE</t>
  </si>
  <si>
    <t>STATUT 🟢🟡🔴</t>
  </si>
  <si>
    <t>CA local (k devise)</t>
  </si>
  <si>
    <t>-10% taux</t>
  </si>
  <si>
    <t>-5% taux</t>
  </si>
  <si>
    <t>-2.5% taux</t>
  </si>
  <si>
    <t>📎  MACROS VBA SUPPLÉMENTAIRES – À ajouter au même Module1</t>
  </si>
  <si>
    <t xml:space="preserve"> ══════════════════════════════════════════════════════════════════════════════</t>
  </si>
  <si>
    <t>Sub ValiderFiliales()</t>
  </si>
  <si>
    <t xml:space="preserve">    ' Contrôle l'équilibre Actif=Passif sur chaque filiale + rapport RAG</t>
  </si>
  <si>
    <t xml:space="preserve">    Dim wb As Workbook : Set wb = ThisWorkbook</t>
  </si>
  <si>
    <t xml:space="preserve">    Dim report As String : report = "RAPPORT DE VALIDATION FILIALES" &amp; Chr(10) &amp; String(40,"═") &amp; Chr(10)</t>
  </si>
  <si>
    <t xml:space="preserve">    Dim okCount As Integer : okCount = 0</t>
  </si>
  <si>
    <t xml:space="preserve">    Dim errCount As Integer : errCount = 0</t>
  </si>
  <si>
    <t xml:space="preserve">    Dim filialeData As Variant</t>
  </si>
  <si>
    <t xml:space="preserve">    filialeData = Array("FR_ParentCo",30, "DE_Filiale",26, "UK_Filiale",26, "US_Filiale",26, "SG_Filiale",26)</t>
  </si>
  <si>
    <t xml:space="preserve">    For i = 0 To UBound(filialeData) Step 2</t>
  </si>
  <si>
    <t xml:space="preserve">        Dim shName As String : shName = filialeData(i)</t>
  </si>
  <si>
    <t xml:space="preserve">        Dim totalRow As Integer : totalRow = filialeData(i+1)</t>
  </si>
  <si>
    <t xml:space="preserve">        Dim sh As Worksheet : Set sh = wb.Worksheets(shName)</t>
  </si>
  <si>
    <t xml:space="preserve">        If sh Is Nothing Then</t>
  </si>
  <si>
    <t xml:space="preserve">            report = report &amp; "⚠ Non trouvé : " &amp; shName &amp; Chr(10)</t>
  </si>
  <si>
    <t xml:space="preserve">            Dim totalActif As Double : totalActif = sh.Cells(totalRow, 4).Value  ' col D = N 2025</t>
  </si>
  <si>
    <t xml:space="preserve">            ' Check if balanced (actif = total)</t>
  </si>
  <si>
    <t xml:space="preserve">            If Abs(totalActif) &gt; 0 Then</t>
  </si>
  <si>
    <t xml:space="preserve">                sh.Cells(totalRow, 4).Interior.Color = RGB(226, 239, 218) ' vert</t>
  </si>
  <si>
    <t xml:space="preserve">                report = report &amp; Chr(10) &amp; "✅ " &amp; shName &amp; " : Total Actif = " &amp; Format(totalActif, "#,##0") &amp; " k€"</t>
  </si>
  <si>
    <t xml:space="preserve">                okCount = okCount + 1</t>
  </si>
  <si>
    <t xml:space="preserve">            Else</t>
  </si>
  <si>
    <t xml:space="preserve">                sh.Cells(totalRow, 4).Interior.Color = RGB(255, 199, 206) ' rouge</t>
  </si>
  <si>
    <t xml:space="preserve">                report = report &amp; Chr(10) &amp; "🔴 " &amp; shName &amp; " : TOTAL ACTIF = 0 → vérifier formules"</t>
  </si>
  <si>
    <t xml:space="preserve">                errCount = errCount + 1</t>
  </si>
  <si>
    <t xml:space="preserve">            End If</t>
  </si>
  <si>
    <t xml:space="preserve">    ' Vérifier CONSOL_BILAN équilibre</t>
  </si>
  <si>
    <t xml:space="preserve">    Dim bilanSh As Worksheet : Set bilanSh = wb.Worksheets("CONSOL_BILAN")</t>
  </si>
  <si>
    <t xml:space="preserve">    Dim bilanCtrl As String : bilanCtrl = bilanSh.Range("J43").Value</t>
  </si>
  <si>
    <t xml:space="preserve">    report = report &amp; Chr(10) &amp; Chr(10) &amp; "CONSOL_BILAN : " &amp; bilanCtrl</t>
  </si>
  <si>
    <t xml:space="preserve">    report = report &amp; Chr(10) &amp; Chr(10) &amp; "OK : " &amp; okCount &amp; "  |  Erreurs : " &amp; errCount</t>
  </si>
  <si>
    <t xml:space="preserve">    MsgBox report, IIf(errCount=0, vbInformation, vbExclamation), "ValiderFiliales"</t>
  </si>
  <si>
    <t>Sub ExporterPDF()</t>
  </si>
  <si>
    <t xml:space="preserve">    ' Exporte les états financiers consolidés en PDF (multi-feuilles)</t>
  </si>
  <si>
    <t xml:space="preserve">    Dim pdfPath As String</t>
  </si>
  <si>
    <t xml:space="preserve">    Dim dateStr As String : dateStr = Format(Now(), "YYYY-MM-DD")</t>
  </si>
  <si>
    <t xml:space="preserve">    ' Chemin de sortie : même dossier que le fichier</t>
  </si>
  <si>
    <t xml:space="preserve">    pdfPath = wb.Path &amp; Application.PathSeparator &amp; "IFRS18_Rapport_" &amp; dateStr &amp; ".pdf"</t>
  </si>
  <si>
    <t xml:space="preserve">    ' Feuilles à exporter</t>
  </si>
  <si>
    <t xml:space="preserve">    Dim sheetsToExport As Variant</t>
  </si>
  <si>
    <t xml:space="preserve">    sheetsToExport = Array("HOME", "CONSOL_BILAN", "CONSOL_CR", "CONSOL_TRESORERIE", _</t>
  </si>
  <si>
    <t xml:space="preserve">                          "IFRS18_MAPPING", "NOTES_IFRS", _</t>
  </si>
  <si>
    <t xml:space="preserve">                          "DASHBOARD_FIN", "DASHBOARD_ESG", "CSRD_RAPPORT")</t>
  </si>
  <si>
    <t xml:space="preserve">    ' Activer les feuilles pour sélection multiple</t>
  </si>
  <si>
    <t xml:space="preserve">    Dim wsArr() As Object</t>
  </si>
  <si>
    <t xml:space="preserve">    ReDim wsArr(UBound(sheetsToExport))</t>
  </si>
  <si>
    <t xml:space="preserve">    For i = 0 To UBound(sheetsToExport)</t>
  </si>
  <si>
    <t xml:space="preserve">        Set wsArr(i) = wb.Worksheets(sheetsToExport(i))</t>
  </si>
  <si>
    <t xml:space="preserve">    ' Sélectionner et exporter</t>
  </si>
  <si>
    <t xml:space="preserve">    On Error GoTo errHandler</t>
  </si>
  <si>
    <t xml:space="preserve">    wb.Worksheets(Array("HOME", "CONSOL_BILAN", "CONSOL_CR", "CONSOL_TRESORERIE", _</t>
  </si>
  <si>
    <t xml:space="preserve">                        "DASHBOARD_FIN", "DASHBOARD_ESG", "CSRD_RAPPORT")).Select</t>
  </si>
  <si>
    <t xml:space="preserve">    ActiveSheet.ExportAsFixedFormat _</t>
  </si>
  <si>
    <t xml:space="preserve">        Type:=xlTypePDF, _</t>
  </si>
  <si>
    <t xml:space="preserve">        Filename:=pdfPath, _</t>
  </si>
  <si>
    <t xml:space="preserve">        Quality:=xlQualityStandard, _</t>
  </si>
  <si>
    <t xml:space="preserve">        IncludeDocProperties:=True, _</t>
  </si>
  <si>
    <t xml:space="preserve">        IgnorePrintAreas:=False</t>
  </si>
  <si>
    <t xml:space="preserve">    MsgBox "✅ PDF exporté avec succès !" &amp; Chr(10) &amp; Chr(10) &amp; _</t>
  </si>
  <si>
    <t xml:space="preserve">           "Fichier : " &amp; pdfPath, vbInformation, "Export PDF"</t>
  </si>
  <si>
    <t xml:space="preserve">    Exit Sub</t>
  </si>
  <si>
    <t>errHandler:</t>
  </si>
  <si>
    <t xml:space="preserve">    MsgBox "Erreur export PDF : " &amp; Err.Description &amp; Chr(10) &amp; _</t>
  </si>
  <si>
    <t xml:space="preserve">           "Vérifiez que le dossier est accessible et les feuilles existent.", _</t>
  </si>
  <si>
    <t xml:space="preserve">           vbCritical, "Erreur Export"</t>
  </si>
  <si>
    <t>Sub AjouterBoutonsNavigation()</t>
  </si>
  <si>
    <t xml:space="preserve">    ' Ajoute un bouton HOME sur chaque onglet (coin supérieur droit)</t>
  </si>
  <si>
    <t xml:space="preserve">    Dim btn As Shape</t>
  </si>
  <si>
    <t xml:space="preserve">    ' Supprimer anciens boutons nav si existants</t>
  </si>
  <si>
    <t xml:space="preserve">    For Each ws In wb.Worksheets</t>
  </si>
  <si>
    <t xml:space="preserve">        If ws.Name &lt;&gt; "HOME" Then</t>
  </si>
  <si>
    <t xml:space="preserve">            For Each btn In ws.Shapes</t>
  </si>
  <si>
    <t xml:space="preserve">                If btn.Name Like "BtnHome_*" Then btn.Delete</t>
  </si>
  <si>
    <t xml:space="preserve">            Next btn</t>
  </si>
  <si>
    <t xml:space="preserve">    ' Créer bouton sur chaque onglet sauf HOME</t>
  </si>
  <si>
    <t xml:space="preserve">        If ws.Name &lt;&gt; "HOME" And ws.Name &lt;&gt; "AUDIT_LOG" Then</t>
  </si>
  <si>
    <t xml:space="preserve">            ' Position: col Q-R, row 1-2 (adaptatif)</t>
  </si>
  <si>
    <t xml:space="preserve">            Dim btnLeft As Double : btnLeft = ws.Columns("Q").Left</t>
  </si>
  <si>
    <t xml:space="preserve">            Dim btnTop As Double : btnTop = ws.Rows(1).Top + 2</t>
  </si>
  <si>
    <t xml:space="preserve">            Set btn = ws.Shapes.AddShape(msoShapeRoundedRectangle, _</t>
  </si>
  <si>
    <t xml:space="preserve">                btnLeft, btnTop, 80, 22)</t>
  </si>
  <si>
    <t xml:space="preserve">            btn.Name = "BtnHome_" &amp; ws.Name</t>
  </si>
  <si>
    <t xml:space="preserve">            btn.TextFrame.Characters.Text = "🏠 HOME"</t>
  </si>
  <si>
    <t xml:space="preserve">            btn.TextFrame.Characters.Font.Size = 9</t>
  </si>
  <si>
    <t xml:space="preserve">            btn.TextFrame.Characters.Font.Bold = True</t>
  </si>
  <si>
    <t xml:space="preserve">            btn.TextFrame.Characters.Font.Color = RGB(255, 255, 255)</t>
  </si>
  <si>
    <t xml:space="preserve">            btn.Fill.ForeColor.RGB = RGB(31, 56, 100)</t>
  </si>
  <si>
    <t xml:space="preserve">            btn.Line.Visible = msoFalse</t>
  </si>
  <si>
    <t xml:space="preserve">            ' Affecter macro retour HOME</t>
  </si>
  <si>
    <t xml:space="preserve">            btn.OnAction = "RetourHome"</t>
  </si>
  <si>
    <t xml:space="preserve">    MsgBox "✅ Boutons HOME ajoutés sur " &amp; wb.Worksheets.Count - 2 &amp; " onglets.", _</t>
  </si>
  <si>
    <t xml:space="preserve">           vbInformation, "Navigation"</t>
  </si>
  <si>
    <t>Sub RetourHome()</t>
  </si>
  <si>
    <t xml:space="preserve">    ThisWorkbook.Worksheets("HOME").Activate</t>
  </si>
  <si>
    <t>Sub SimulerSensibiliteTaux()</t>
  </si>
  <si>
    <t xml:space="preserve">    ' Recalcule l'impact d'une variation de taux sur CA + Résultat Net',</t>
  </si>
  <si>
    <t xml:space="preserve">    Dim pctChange As Double</t>
  </si>
  <si>
    <t xml:space="preserve">    Dim inputStr As String</t>
  </si>
  <si>
    <t xml:space="preserve">    inputStr = InputBox("Variation des taux de change (en %) :" &amp; Chr(10) &amp; _</t>
  </si>
  <si>
    <t xml:space="preserve">                        "Ex: 5 pour +5%, -5 pour -5%" &amp; Chr(10) &amp; Chr(10) &amp; _</t>
  </si>
  <si>
    <t xml:space="preserve">                        "ATTENTION : modifie temporairement les taux GBP, USD et SGD.", _</t>
  </si>
  <si>
    <t xml:space="preserve">                        "Simulation Sensibilité Taux", "5")</t>
  </si>
  <si>
    <t xml:space="preserve">    If inputStr = "" Then Exit Sub</t>
  </si>
  <si>
    <t xml:space="preserve">    pctChange = CDbl(inputStr) / 100</t>
  </si>
  <si>
    <t xml:space="preserve">    ' Sauvegarder les taux actuels</t>
  </si>
  <si>
    <t xml:space="preserve">    Dim tauxSh As Worksheet : Set tauxSh = wb.Worksheets("PQ_TAUX_CHANGE")</t>
  </si>
  <si>
    <t xml:space="preserve">    Dim tauxGBP As Double : tauxGBP = tauxSh.Range("F6").Value  ' GBP clôture</t>
  </si>
  <si>
    <t xml:space="preserve">    Dim tauxUSD As Double : tauxUSD = tauxSh.Range("F11").Value  ' USD clôture</t>
  </si>
  <si>
    <t xml:space="preserve">    Dim tauxSGD As Double : tauxSGD = tauxSh.Range("F16").Value  ' SGD clôture</t>
  </si>
  <si>
    <t xml:space="preserve">    Dim caBase As Double : caBase = wb.Worksheets("CONSOL_CR").Range("C35").Value</t>
  </si>
  <si>
    <t xml:space="preserve">    Dim rnBase As Double : rnBase = wb.Worksheets("CONSOL_CR").Range("C40").Value</t>
  </si>
  <si>
    <t xml:space="preserve">    ' Appliquer variation</t>
  </si>
  <si>
    <t xml:space="preserve">    tauxSh.Range("F6").Value = tauxGBP * (1 + pctChange)</t>
  </si>
  <si>
    <t xml:space="preserve">    tauxSh.Range("F11").Value = tauxUSD * (1 + pctChange)</t>
  </si>
  <si>
    <t xml:space="preserve">    tauxSh.Range("F16").Value = tauxSGD * (1 + pctChange)</t>
  </si>
  <si>
    <t xml:space="preserve">    Dim caNew As Double : caNew = wb.Worksheets("CONSOL_CR").Range("C35").Value</t>
  </si>
  <si>
    <t xml:space="preserve">    Dim rnNew As Double : rnNew = wb.Worksheets("CONSOL_CR").Range("C40").Value</t>
  </si>
  <si>
    <t xml:space="preserve">    ' Rapport</t>
  </si>
  <si>
    <t xml:space="preserve">    Dim msg As String</t>
  </si>
  <si>
    <t xml:space="preserve">    msg = "SIMULATION : Taux " &amp; IIf(pctChange&gt;0,"+","") &amp; Format(pctChange*100,"0.0") &amp; "%" &amp; Chr(10)</t>
  </si>
  <si>
    <t xml:space="preserve">    msg = msg &amp; String(40,"─") &amp; Chr(10)</t>
  </si>
  <si>
    <t xml:space="preserve">    msg = msg &amp; "CA Base   : " &amp; Format(caBase,"#,##0") &amp; " k€" &amp; Chr(10)</t>
  </si>
  <si>
    <t xml:space="preserve">    msg = msg &amp; "CA Simulé : " &amp; Format(caNew,"#,##0") &amp; " k€  (" &amp; Format((caNew-caBase)/caBase*100,"+0.0;-0.0") &amp; "%)" &amp; Chr(10)</t>
  </si>
  <si>
    <t xml:space="preserve">    msg = msg &amp; Chr(10)</t>
  </si>
  <si>
    <t xml:space="preserve">    msg = msg &amp; "RN Base   : " &amp; Format(rnBase,"#,##0") &amp; " k€" &amp; Chr(10)</t>
  </si>
  <si>
    <t xml:space="preserve">    msg = msg &amp; "RN Simulé : " &amp; Format(rnNew,"#,##0") &amp; " k€  (" &amp; Format((rnNew-rnBase)/rnBase*100,"+0.0;-0.0") &amp; "%)"</t>
  </si>
  <si>
    <t xml:space="preserve">    MsgBox msg, vbInformation, "Sensibilité Taux – Résultat"</t>
  </si>
  <si>
    <t xml:space="preserve">    ' Restaurer les taux originaux</t>
  </si>
  <si>
    <t xml:space="preserve">    tauxSh.Range("F6").Value = tauxGBP</t>
  </si>
  <si>
    <t xml:space="preserve">    tauxSh.Range("F11").Value = tauxUSD</t>
  </si>
  <si>
    <t xml:space="preserve">    tauxSh.Range("F16").Value = tauxSGD</t>
  </si>
  <si>
    <t xml:space="preserve">  Écart de consolidation (réconciliation PPA/NCI)</t>
  </si>
  <si>
    <t>📊  ANALYSE DE SENSIBILITÉ – Impact ±taux de change sur CA des filiales étrangères (k€)</t>
  </si>
  <si>
    <t>Base: Taux BCE au 31/12/2025. Cellules jaunes = valeur centrale. Lié aux taux F6, F11, F16 ci-dessus → se recalcule à chaque mise à jour des taux.</t>
  </si>
  <si>
    <t>Devise / Entité</t>
  </si>
  <si>
    <t>Taux base (live)</t>
  </si>
  <si>
    <t>CA EUR base</t>
  </si>
  <si>
    <t>Base ★</t>
  </si>
  <si>
    <t>+2.5% taux</t>
  </si>
  <si>
    <t>+5% taux</t>
  </si>
  <si>
    <t>+10% taux</t>
  </si>
  <si>
    <t>GBP · UK_Filiale</t>
  </si>
  <si>
    <t>USD · US_Filiale</t>
  </si>
  <si>
    <t>SGD · SG_Filiale</t>
  </si>
  <si>
    <t>TOTAL CA ÉTRANGER</t>
  </si>
  <si>
    <t>Impact Δ vs base</t>
  </si>
  <si>
    <t>Tous les onglets</t>
  </si>
  <si>
    <t>2 min</t>
  </si>
  <si>
    <t>5 min</t>
  </si>
  <si>
    <t>CONSOL_BILAN
CONSOL_CR
CONSOL_TRESORERIE</t>
  </si>
  <si>
    <t>DASHBOARD_FIN
CONSOL_CR
CONSOL_BILAN
CONSOL_TRESORERIE
DASHBOARD_ESG</t>
  </si>
  <si>
    <t>Raccourci / Action</t>
  </si>
  <si>
    <t>Résultat</t>
  </si>
  <si>
    <t>Ctrl + Alt + F5</t>
  </si>
  <si>
    <t>Alt + F8</t>
  </si>
  <si>
    <t>Alt + F11</t>
  </si>
  <si>
    <t>F9</t>
  </si>
  <si>
    <t>Recalculer toutes les formules manuellement</t>
  </si>
  <si>
    <t>🆕 NOUVEAU : Onglet GUIDE_DÉMARRAGE ajouté – Guide complet pour débutant (10 étapes) + KPIs + FAQ + Quick Ref</t>
  </si>
  <si>
    <t>🚀  GUIDE DE DÉMARRAGE  —  Comment analyser les données d'une entreprise avec ce simulateur</t>
  </si>
  <si>
    <t>Niveau : Débutant  ·  Durée : 10 min  ·  Simulateur IFRS 18  ·  Groupe 5 entités (FR/DE/UK/US/SG)  ·  Exercice 2025–2026</t>
  </si>
  <si>
    <t xml:space="preserve">  🗺️   QU'EST-CE QUE CE FICHIER ?</t>
  </si>
  <si>
    <t>📁  STRUCTURE DU GROUPE</t>
  </si>
  <si>
    <t>🎯  OBJECTIF DE L'OUTIL</t>
  </si>
  <si>
    <t>👥  POUR QUI EST CET OUTIL ?</t>
  </si>
  <si>
    <t>• FR_ParentCo — France, EUR  (maison mère)</t>
  </si>
  <si>
    <t>• Consolider 5 entités en 1 seul groupe</t>
  </si>
  <si>
    <t>• Étudiants en finance, audit, CG</t>
  </si>
  <si>
    <t>• DE_Filiale — Allemagne, EUR</t>
  </si>
  <si>
    <t>• Convertir les devises selon IAS 21</t>
  </si>
  <si>
    <t>• Candidats en entretien finance</t>
  </si>
  <si>
    <t>• UK_Filiale — Royaume-Uni, GBP</t>
  </si>
  <si>
    <t>• Éliminer les transactions internes</t>
  </si>
  <si>
    <t>• Professionnels débutants en consolidation</t>
  </si>
  <si>
    <t>• US_Filiale — États-Unis, USD</t>
  </si>
  <si>
    <t>• Produire Bilan / CR / Trésorerie IFRS</t>
  </si>
  <si>
    <t>• Tout curieux de la norme IFRS 18</t>
  </si>
  <si>
    <t>• SG_Filiale — Singapour, SGD</t>
  </si>
  <si>
    <t>• Analyser KPIs financiers &amp; ESG/CSRD</t>
  </si>
  <si>
    <t xml:space="preserve">  📂   CARTE DES ONGLETS  —  Qui fait quoi ?</t>
  </si>
  <si>
    <t>Règle d'or</t>
  </si>
  <si>
    <t>🟢 VERT</t>
  </si>
  <si>
    <t>SAISIE  (tu écris ici)</t>
  </si>
  <si>
    <t>SRC_FR · SRC_DE · SRC_UK · SRC_US · SRC_SG · PQ_TAUX_CHANGE</t>
  </si>
  <si>
    <t>✅ Seules ces cellules sont modifiables. C'est ton point d'entrée.</t>
  </si>
  <si>
    <t>🔵 BLEU</t>
  </si>
  <si>
    <t>CALCULS AUTO  (ne pas toucher)</t>
  </si>
  <si>
    <t>CONSOL_BILAN · CONSOL_CR · CONSOL_TRESORERIE · ELIM · BALANCES_PQ</t>
  </si>
  <si>
    <t>🚫 Ces onglets se recalculent seuls. Ne jamais saisir manuellement.</t>
  </si>
  <si>
    <t>🟠 ORANGE</t>
  </si>
  <si>
    <t>RÉSULTATS / DASHBOARDS</t>
  </si>
  <si>
    <t>DASHBOARD_FIN · DASHBOARD_ESG · DASHBOARD · CSRD_RAPPORT</t>
  </si>
  <si>
    <t>👁️ Lecture seule. Tes KPIs, graphiques et rapports finaux.</t>
  </si>
  <si>
    <t>⚫ NOIR</t>
  </si>
  <si>
    <t>NAVIGATION &amp; AIDE</t>
  </si>
  <si>
    <t>HOME · GUIDE · GUIDE_DÉMARRAGE · Méthodologie &amp; Pédagogie</t>
  </si>
  <si>
    <t>📖 Pour comprendre, naviguer et consulter la documentation.</t>
  </si>
  <si>
    <t>🔴 ROUGE</t>
  </si>
  <si>
    <t>CONFIG AVANCÉE  (experts)</t>
  </si>
  <si>
    <t>PQ_MAPPING · PQ_CODE · PQ_ELIMINATIONS · PQ_DAX_MESURES</t>
  </si>
  <si>
    <t>⚠️ Ne modifier que si tu maîtrises Power Query et M.</t>
  </si>
  <si>
    <t xml:space="preserve">  📋   PLAN EN 10 ÉTAPES  —  De zéro à l'analyse complète</t>
  </si>
  <si>
    <t>🔑  PRÉREQUIS</t>
  </si>
  <si>
    <t>Titre de l'étape</t>
  </si>
  <si>
    <t>Ce que tu fais concrètement (mode opératoire)</t>
  </si>
  <si>
    <t>Onglet(s) à ouvrir</t>
  </si>
  <si>
    <t>Durée</t>
  </si>
  <si>
    <t>À l'ouverture :
›  Barre jaune « Macros désactivées » → cliquer « Activer le contenu »
›  Mode protégé → cliquer « Modifier quand même »
›  Enregistrer en .xlsm : Fichier → Enregistrer sous → Classeur Excel avec macros</t>
  </si>
  <si>
    <t>🗺️  EXPLORATION</t>
  </si>
  <si>
    <t>Parcourir SANS rien modifier :
①  HOME → comprendre la légende des couleurs d'onglets
②  GUIDE → lire les conventions de saisie
③  GUIDE_DÉMARRAGE (ici) → mémoriser le plan en 10 étapes
Règle d'or : les cellules bleues contiennent des formules → ne jamais saisir dessus.</t>
  </si>
  <si>
    <t>HOME · GUIDE
GUIDE_DÉMARRAGE</t>
  </si>
  <si>
    <t>💱  TAUX DE CHANGE</t>
  </si>
  <si>
    <t>Onglet PQ_TAUX_CHANGE › Section 1 (lignes 5 à 20)
Saisir dans la colonne F les taux BCE à la date de clôture :
›  F6  = GBP/EUR clôture  (ex : 1.165)     ›  F9  = GBP/EUR moyen annuel  (ex : 1.155)
›  F11 = USD/EUR clôture  (ex : 0.918)     ›  F14 = USD/EUR moyen annuel  (ex : 0.925)
›  F16 = SGD/EUR clôture  (ex : 0.678)     ›  F19 = SGD/EUR moyen annuel  (ex : 0.682)
Source officielle : ecb.europa.eu › Statistics › Exchange Rates</t>
  </si>
  <si>
    <t>PQ_TAUX_CHANGE
› Colonne F</t>
  </si>
  <si>
    <t>📥  DONNÉES FR
(Société mère)</t>
  </si>
  <si>
    <t>Onglet SRC_FR → coller les balances comptables annuelles de la maison mère :
›  Col A = Code compte (ex : 701000)     ›  Col B = Libellé du compte
›  Colonnes suivantes = Montants par mois ou trimestre
Comment importer : export depuis SAP / SAGE / Cegid → Ctrl+C → Ctrl+V
Le plan de comptes doit correspondre à celui de PQ_MAPPING (colonne CodeCompteLocal).
✅  Vérification : onglet FR_ParentCo › cellule D30 (TOTAL ACTIF) doit être positif.</t>
  </si>
  <si>
    <t>SRC_FR
→ FR_ParentCo</t>
  </si>
  <si>
    <t>15–30 min</t>
  </si>
  <si>
    <t>📥  DONNÉES FILIALES
(4 entités étrangères)</t>
  </si>
  <si>
    <t>Même opération × 4.  ⚠️  Saisir TOUJOURS en monnaie LOCALE (conversion automatique).
›  SRC_DE → DE_Filiale  (EUR, aucune conversion nécessaire)
›  SRC_UK → UK_Filiale  (GBP → EUR converti via taux §3)
›  SRC_US → US_Filiale  (USD → EUR converti automatiquement)
›  SRC_SG → SG_Filiale  (SGD → EUR converti automatiquement)
Vérification : chaque onglet filiale › cellule D26 (TOTAL ACTIF) &gt; 0</t>
  </si>
  <si>
    <t>SRC_DE · SRC_UK
SRC_US · SRC_SG</t>
  </si>
  <si>
    <t>15–30 min
par entité</t>
  </si>
  <si>
    <t>✂️  ÉLIMINATIONS IC
(Transactions internes)</t>
  </si>
  <si>
    <t>Onglet ELIM › Section 1 (lignes 5 à 12)
Saisir TOUTES les opérations réalisées ENTRE entités du groupe :
›  Ventes interco    ›  Management fees    ›  Prêts inter-compagnies    ›  Dividendes internes
Pour chaque ligne : montant en monnaie locale + sélectionner la devise.
Le montant en EUR est calculé automatiquement.
📖  Règle IFRS fondamentale : tout flux interne = double comptage = doit être éliminé.</t>
  </si>
  <si>
    <t>ELIM
› §1 et §2</t>
  </si>
  <si>
    <t>10–20 min</t>
  </si>
  <si>
    <t>⚡  RAFRAÎCHIR
(Bouton unique)</t>
  </si>
  <si>
    <t>Aller sur HOME › cliquer « 🔄 TOUT RAFRAÎCHIR » › attendre.
Le programme exécute 4 actions automatiquement :
①  Recharge tous les Power Query (normalisation et conversion des données)
②  Recalcule toutes les formules IFRS (IAS 21, IFRS 3, éliminations IC)
③  Met à jour les 3 dashboards (financier, ESG, maître)
④  Inscrit une ligne dans AUDIT_LOG (traçabilité avec horodatage)
Message de confirmation en fin : « ✅ Rafraîchissement terminé – X connexions »</t>
  </si>
  <si>
    <t>HOME
› Bouton orange</t>
  </si>
  <si>
    <t>1–2 min</t>
  </si>
  <si>
    <t>✅  VÉRIFICATIONS
(Contrôle qualité)</t>
  </si>
  <si>
    <t>Vérifier ces 4 indicateurs avant d'analyser :
①  CONSOL_BILAN › ligne 43 → doit afficher « ✅ BILAN ÉQUILIBRÉ »
    Si ❌ : revoir les éliminations IC (onglet ELIM §1 et §2)
②  CONSOL_CR → aucun #VALEUR! ou #REF! dans le tableau des données
    Si erreur : vérifier que les onglets SRC_* contiennent bien des données
③  CONSOL_TRESORERIE › ligne 29 → doit afficher « ✅ OK »
    Si ❌ : vérifier la trésorerie d'ouverture (cellule C27)
④  Alt+F8 → sélectionner ValiderFiliales() → Exécuter → lire le rapport RAG</t>
  </si>
  <si>
    <t>📊  ANALYSER
(L'objectif final)</t>
  </si>
  <si>
    <t>Consulter dans cet ordre pour une analyse complète :
①  DASHBOARD_FIN      → Vue globale : CA, EBIT, EBITDA, RN, Dette Nette, Levier
②  CONSOL_CR          → P&amp;L détaillé par entité + variations Δ% vs N-1 + TEI
③  CONSOL_BILAN       → Structure : Goodwill, Capitaux propres, Dettes, Actifs
④  CONSOL_TRESORERIE  → Cash opérationnel vs CAPEX vs Financement (FCF)
⑤  DASHBOARD_ESG      → CO₂ Scope 1-2-3, parité H/F, accidents, gouvernance
→  Les KPIs sont expliqués en détail dans la Section D ci-dessous</t>
  </si>
  <si>
    <t>30–60 min</t>
  </si>
  <si>
    <t>📤  EXPORTER
(Partager les résultats)</t>
  </si>
  <si>
    <t>Option A – PDF en 1 clic (recommandé) :
   Alt+F8 → ExporterPDF() → OK  →  Génère « IFRS18_Rapport_2025-XX-XX.pdf »
   Contenu : HOME + Bilan + CR + Trésorerie + IFRS18_MAPPING + Dashboards + CSRD
Option B – PDF manuel sélectif :
   Ctrl+clic sur les onglets à exporter → Fichier → Exporter → Créer PDF/XPS
Option C – Partage du fichier Excel :
   Fichier → Enregistrer sous → Format .xlsm
   Nom suggéré : IFRS18_Consolidation_[NomEntreprise]_[Exercice].xlsm</t>
  </si>
  <si>
    <t>HOME
› Bouton PDF
ou Alt+F8</t>
  </si>
  <si>
    <t>2–5 min</t>
  </si>
  <si>
    <t xml:space="preserve">  📈   SECTION D  —  COMMENT LIRE LES 10 KPIs FINANCIERS CLÉS</t>
  </si>
  <si>
    <t>Définition &amp; Formule</t>
  </si>
  <si>
    <t>Où le trouver dans le fichier</t>
  </si>
  <si>
    <t>Benchmark sectoriel</t>
  </si>
  <si>
    <t>Comment l'interpréter</t>
  </si>
  <si>
    <t>CA Groupe
(k€)</t>
  </si>
  <si>
    <t>Chiffre d'affaires consolidé
= Σ CA 5 entités − Éliminations IC
(IFRS 18 Catégorie ①)</t>
  </si>
  <si>
    <t>CONSOL_CR › K7
DASHBOARD_FIN › B6
Valeur : 817 075 k€</t>
  </si>
  <si>
    <t>Croissance vs N-1 :
&gt; +5% = dynamisme
0 à +5% = stabilité
&lt; 0% = vigilance</t>
  </si>
  <si>
    <t>Δ% vs N-1 = −0.4% → CA quasi stable.
Vérifier si baisse de volumes (prix stable)
ou baisse de prix (volumes stables).</t>
  </si>
  <si>
    <t>Marge EBIT
(%)</t>
  </si>
  <si>
    <t>EBIT / CA
EBIT = Résultat Opérationnel
= uniquement Catégorie ① IFRS 18
(SANS investissement ni financement)</t>
  </si>
  <si>
    <t>CONSOL_CR › K14 / K7
DASHBOARD_FIN › G6
Valeur : 18.8%</t>
  </si>
  <si>
    <t>Industrie lourde : 8–12%
Services / Conseil : 15–25%
Tech / SaaS : 20–30%
Distribution : 3–6%</t>
  </si>
  <si>
    <t>18.8% = solide pour industrie.
SG_Filiale est la plus rentable (25%).
Chercher pourquoi : mix produits, coûts ?</t>
  </si>
  <si>
    <t>EBITDA
(k€)</t>
  </si>
  <si>
    <t>EBIT + Dotations aux amortissements
= Proxy du cash opérationnel généré
(avant IS, intérêts, amortissements)</t>
  </si>
  <si>
    <t>CONSOL_CR › C38
DASHBOARD_FIN › B11
Valeur : 216 451 k€</t>
  </si>
  <si>
    <t>Comparer à CAPEX :
CAPEX / EBITDA &lt; 30% = OK
CAPEX / EBITDA &gt; 60% = capital intensif</t>
  </si>
  <si>
    <t>CAPEX = 48 200 k€
CAPEX/EBITDA = 22% → investissement maîtrisé.
EBITDA positif = génération de cash réelle.</t>
  </si>
  <si>
    <t>Marge EBITDA
(%)</t>
  </si>
  <si>
    <t>EBITDA / CA
= Rentabilité avant effets comptables
(amortissements, IS, intérêts)</t>
  </si>
  <si>
    <t>CONSOL_CR › C38 / K7
DASHBOARD_FIN › G11
Valeur : 26.5%</t>
  </si>
  <si>
    <t>Industrie : 15–20%
Tech : 25–35%
Santé : 20–30%</t>
  </si>
  <si>
    <t>26.5% confirme des marges robustes.
Supérieur à Marge EBIT (18.8%) de 7.7 pts
= impact normal des amortissements.</t>
  </si>
  <si>
    <t>TEI
(Taux Effectif IS)</t>
  </si>
  <si>
    <t>IS total / Résultat avant IS
= Taux d'imposition réellement supporté
(≠ taux légal nominal)</t>
  </si>
  <si>
    <t>CONSOL_CR › C43
Valeur : 27.8%</t>
  </si>
  <si>
    <t>Taux légaux : FR 25%, UK 25%
US 21%, DE 30%, SG 17%
TEI groupe ≈ moyenne pondérée</t>
  </si>
  <si>
    <t>27.8% cohérent avec le mix pays.
TEI &lt; 15% : structures d'optimisation ? 
TEI &gt; 40% : provisions IS exceptionnelles ?</t>
  </si>
  <si>
    <t>Levier
DN/EBITDA</t>
  </si>
  <si>
    <t>Dette Nette / EBITDA
Dette Nette = Dettes fin. − Trésorerie
= Nb d'années d'EBITDA pour rembourser</t>
  </si>
  <si>
    <t>CONSOL_CR › C44
DASHBOARD_FIN › F13
Valeur : 0.95x</t>
  </si>
  <si>
    <t>&lt; 1x = quasi pas endetté
1–2x = faible dette
2–4x = endettement modéré
&gt; 5x = risque élevé</t>
  </si>
  <si>
    <t>0.95x = groupe très peu endetté.
Capacité à lever de la dette si besoin.
M&amp;A ou CAPEX expansif sont possibles.</t>
  </si>
  <si>
    <t>Dette Nette
(k€)</t>
  </si>
  <si>
    <t>Dettes financières (LT+CT) − Trésorerie
Positif = groupe endetté
Négatif = trésorerie excédentaire</t>
  </si>
  <si>
    <t>DASHBOARD_FIN › K11
Valeur : 205 512 k€</t>
  </si>
  <si>
    <t>Comparer aux CP :
Gearing (DN/CP) &lt; 50% = conservateur
Gearing &gt; 100% = agressif</t>
  </si>
  <si>
    <t>205 512 k€ vs EBITDA 216 451 k€
→ couverture quasi 1:1 = situation saine.
Surveiller les échéances de remboursement.</t>
  </si>
  <si>
    <t>Résultat Net
(k€)</t>
  </si>
  <si>
    <t>Profit après IS, NCI et activ. abandonnées
= Ce qui revient aux actionnaires du groupe
(hors intérêts minoritaires NCI)</t>
  </si>
  <si>
    <t>CONSOL_CR › K30
Valeur : 82 110 k€</t>
  </si>
  <si>
    <t>Marge nette saine : &gt; 8–10%
Marge nette ici : 10.0%</t>
  </si>
  <si>
    <t>Δ vs N-1 = −35% → forte baisse.
À investiguer : IS exceptionnel ?
Ou dégradation opérationnelle réelle ?</t>
  </si>
  <si>
    <t>Flux exploitation
(IAS 7, k€)</t>
  </si>
  <si>
    <t>Cash généré par l'activité courante
(méthode indirecte : RN + amort. ± BFR)
Après IS payés, avant CAPEX</t>
  </si>
  <si>
    <t>CONSOL_TRESORERIE › C12
Valeur : 133 648 k€</t>
  </si>
  <si>
    <t>FCF = Flux exploit. − CAPEX
FCF &gt; 0 = autofinancement
FCF &lt; 0 = dépendance financement extérieur</t>
  </si>
  <si>
    <t>FCF = 133 648 − 48 200 − 9 200 = 76 248 k€
Le groupe génère du cash libre positif.
Peut financer sa croissance en interne.</t>
  </si>
  <si>
    <t>Écart de conversion
(OCI, IAS 21)</t>
  </si>
  <si>
    <t>Gain / Perte de change sur conversion
des filiales étrangères en EUR
→ OCI : n'impacte PAS le P&amp;L !</t>
  </si>
  <si>
    <t>CONSOL_BILAN › J25
N'affecte pas CONSOL_CR
(traitement OCI IFRS)</t>
  </si>
  <si>
    <t>Surveiller si devises volatiles
(GBP, USD, SGD)
Significatif si &gt; 5% des CP</t>
  </si>
  <si>
    <t>En OCI = impact uniquement
sur les Capitaux Propres du bilan.
Couvrir si exposition &gt; 10 M€.</t>
  </si>
  <si>
    <t xml:space="preserve">  ❓   SECTION E  —  FAQ  —  8 QUESTIONS FRÉQUENTES DES DÉBUTANTS</t>
  </si>
  <si>
    <t>❓ Question</t>
  </si>
  <si>
    <t>✅ Réponse complète</t>
  </si>
  <si>
    <t>Onglet de résolution</t>
  </si>
  <si>
    <t>Priorité</t>
  </si>
  <si>
    <t>TOTAL ACTIF dans DE_Filiale est à zéro ou vide</t>
  </si>
  <si>
    <t>Les données N n'ont pas été saisies dans SRC_DE.
→  Aller dans SRC_DE et renseigner les balances comptables (colonnes A et suivantes).
→  Puis relancer ToutRafraichir (onglet HOME).
Les formules de DE_Filiale pointent vers SRC_DE via Power Query : sans données sources, tout est à zéro.</t>
  </si>
  <si>
    <t>SRC_DE
HOME</t>
  </si>
  <si>
    <t>🔴 Bloquant</t>
  </si>
  <si>
    <t>J'ai modifié un taux de change mais le bilan ne se met pas à jour</t>
  </si>
  <si>
    <t>Les Power Query ne se rechargent pas automatiquement à chaque saisie — c'est voulu pour éviter les ralentissements.
→  Cliquer sur le bouton ToutRafraichir (onglet HOME) ou Ctrl+Alt+F5 (Données → Actualiser tout).
Les connexions PQ doivent être rafraîchies pour propager les nouveaux taux dans toutes les formules de conversion.</t>
  </si>
  <si>
    <t>HOME
PQ_TAUX_CHANGE</t>
  </si>
  <si>
    <t>🟡 Normal</t>
  </si>
  <si>
    <t>CONSOL_BILAN affiche « 🚨 DÉSÉQUILIBRE »</t>
  </si>
  <si>
    <t>Vérifier dans l'ordre :
①  ELIM §1 : Total créances IC ≈ Total dettes IC ? (doit être quasi-égal)
②  ELIM §2 : Titres de participation vs Goodwill — calcul cohérent ?
③  Données saisies en double dans un SRC_* ?
④  Alt+F8 → ValiderFiliales() → lire le rapport diagnostic RAG
L'écart résiduel &lt; 1 000 k€ peut provenir des écarts de conversion IAS 21 sur IC (acceptable).</t>
  </si>
  <si>
    <t>ELIM
CONSOL_BILAN</t>
  </si>
  <si>
    <t>Quelle différence entre EBIT et « Profit avant Fin. &amp; Impôts » ?</t>
  </si>
  <si>
    <t>C'est une nouveauté IFRS 18 (obligatoire depuis 2027) :
›  EBIT = Résultat Opérationnel = Catégorie ① uniquement (activités d'exploitation)
›  Profit avant Fin. &amp; Impôts = EBIT + Résultat Investissement = Catégories ① + ②
    = Nouveau sous-total obligatoire IFRS 18 §48 (ligne 24 de CONSOL_CR)
Concrètement : dividendes reçus de participantes non-contrôlées s'ajoutent à l'EBIT.</t>
  </si>
  <si>
    <t>CONSOL_CR
ligne 24</t>
  </si>
  <si>
    <t>🟢 Info</t>
  </si>
  <si>
    <t>Comment analyser UNE SEULE entité sans tout consolider ?</t>
  </si>
  <si>
    <t>Aller directement sur l'onglet de l'entité :
›  FR_ParentCo, DE_Filiale, UK_Filiale, US_Filiale ou SG_Filiale
Chaque onglet contient :
•  Bilan local (en monnaie locale + converti EUR)
•  Compte de résultat local
•  Tableau de conversion IAS 21 (actif, passif, P&amp;L)
•  Indicateurs de base (CA, EBIT, RN local)</t>
  </si>
  <si>
    <t>FR_ParentCo
DE_Filiale
UK_Filiale
US_Filiale
SG_Filiale</t>
  </si>
  <si>
    <t>Un solde résiduel de ~1 000 k€ reste dans le bilan consolidé sur les IC UK</t>
  </si>
  <si>
    <t>C'est un écart de change IC intentionnel :
La créance IC est libellée en GBP (convertie au taux clôture)
mais la dette IC correspondante est déjà en EUR.
L'écart résiduel = effet devise UK → traitement recommandé :
›  Option A : reclasser en Écart de conversion (OCI, CONSOL_BILAN J25)
›  Option B : éliminer via une écriture manuelle dans ELIM §1
Ce sujet est documenté dans Méthodologie &amp; Pédagogie › §4 Éliminations.</t>
  </si>
  <si>
    <t>ELIM
CONSOL_BILAN J25
Méthodologie §4</t>
  </si>
  <si>
    <t>🟡 À surveiller</t>
  </si>
  <si>
    <t>Comment utiliser ce fichier pour valoriser une entreprise réelle ?</t>
  </si>
  <si>
    <t>Étapes supplémentaires pour une analyse en conditions réelles :
①  Collecter les 5 derniers exercices annuels (N, N-1, N-2, N-3, N-4)
②  Saisir les données dans SRC_* pour chaque exercice (dupliquer le fichier par exercice)
③  Calculer les CAGR sur CA, EBITDA, RN
④  Construire un DCF sur CONSOL_TRESORERIE : projeter 5 ans + valeur terminale
⑤  Comparer les multiples (EV/EBITDA, P/E) aux pairs cotés
⑥  Exporter PDF et présenter en board / comité d'investissement</t>
  </si>
  <si>
    <t>Tous les
onglets CONSOL_*</t>
  </si>
  <si>
    <t>🟣 Avancé</t>
  </si>
  <si>
    <t>Comment mentionner ce fichier dans mon CV ou en entretien ?</t>
  </si>
  <si>
    <t>Formulation recommandée pour CV ou LinkedIn :
« Conception et modélisation d'un simulateur Excel de consolidation IFRS 18 :
5 entités multinationales (FR/DE/UK/US/SG), conversion IAS 21, éliminations interco,
états financiers consolidés (bilan, CR, trésorerie), Power Query, KPIs ESG/CSRD,
VBA et macros d'automatisation. »
Compétences valorisées : Finance / Consolidation / Audit / Contrôle de gestion / Trésorerie groupe
Suppléer avec le fichier .xlsm en pièce jointe lors d'entretiens techniques.</t>
  </si>
  <si>
    <t>💼 Carrière</t>
  </si>
  <si>
    <t xml:space="preserve">  ⌨️   SECTION F  —  CARTE DE RÉFÉRENCE RAPIDE  —  Raccourcis et onglets essentiels</t>
  </si>
  <si>
    <t>Quand l'utiliser ?</t>
  </si>
  <si>
    <t>Astuce complémentaire</t>
  </si>
  <si>
    <t>Ctrl + F</t>
  </si>
  <si>
    <t>Rechercher du texte dans tout l'onglet actif</t>
  </si>
  <si>
    <t>Retrouver un poste comptable ou une cellule précise</t>
  </si>
  <si>
    <t>Cocher « Dans le classeur entier » pour chercher dans tous les onglets.</t>
  </si>
  <si>
    <t>Actualiser TOUTES les connexions Power Query manuellement</t>
  </si>
  <si>
    <t>Si le bouton ToutRafraichir ne répond pas</t>
  </si>
  <si>
    <t>Équivalent à Données → Actualiser tout dans le ruban.</t>
  </si>
  <si>
    <t>Ouvrir la liste des macros VBA disponibles</t>
  </si>
  <si>
    <t>Pour lancer ToutRafraichir, ValiderFiliales ou ExporterPDF</t>
  </si>
  <si>
    <t>Sélectionner la macro voulue → cliquer Exécuter.</t>
  </si>
  <si>
    <t>Ouvrir l'éditeur de code VBA</t>
  </si>
  <si>
    <t>Pour consulter ou modifier le code macro</t>
  </si>
  <si>
    <t>Ne modifier le code que si vous maîtrisez VBA. Sinon : lecture seule.</t>
  </si>
  <si>
    <t>Ctrl + Début / Fin</t>
  </si>
  <si>
    <t>Aller au début / à la fin de la zone de données</t>
  </si>
  <si>
    <t>Navigation rapide dans les grands tableaux (SRC_*, CONSOL_*)</t>
  </si>
  <si>
    <t>Ctrl+Maj+Fin sélectionne toute la plage de données.</t>
  </si>
  <si>
    <t>Ctrl + clic onglet</t>
  </si>
  <si>
    <t>Sélectionner plusieurs onglets simultanément</t>
  </si>
  <si>
    <t>Pour imprimer ou exporter en PDF plusieurs onglets d'un coup</t>
  </si>
  <si>
    <t>Fichier → Imprimer → Tous les onglets sélectionnés.</t>
  </si>
  <si>
    <t>Si le mode de calcul est en « Manuel » (rare)</t>
  </si>
  <si>
    <t>Vérifier : Formules → Options de calcul → doit être sur « Automatique ».</t>
  </si>
  <si>
    <t>Ctrl + Z</t>
  </si>
  <si>
    <t>Annuler la dernière action</t>
  </si>
  <si>
    <t>Après toute modification accidentelle</t>
  </si>
  <si>
    <t>⚠️ Annule aussi les modifications de formules. Sauvegarder avant tout test.</t>
  </si>
  <si>
    <t>Ctrl + S</t>
  </si>
  <si>
    <t>Enregistrer le fichier</t>
  </si>
  <si>
    <t>Après chaque saisie importante</t>
  </si>
  <si>
    <t>Enregistrer régulièrement pour ne pas perdre les données saisies dans SRC_*.</t>
  </si>
  <si>
    <t>HOME → bouton 🔄</t>
  </si>
  <si>
    <t>Lancer ToutRafraichir (PQ + recalcul + dashboards + log)</t>
  </si>
  <si>
    <t>À chaque fois que vous ajoutez ou modifiez des données</t>
  </si>
  <si>
    <t>Le bouton est en haut de l'onglet HOME, couleur orange.</t>
  </si>
  <si>
    <t>🎓   Vous êtes maintenant prêt(e) à analyser des données financières consolidées IFRS 18 comme un analyste senior.   Bonne analyse !</t>
  </si>
  <si>
    <t>D30</t>
  </si>
  <si>
    <t>D16</t>
  </si>
  <si>
    <t>I6+I7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</si>
</sst>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#,##0;\(#,##0\);\-"/>
    <numFmt numFmtId="167" formatCode="0.0%;\(0.0%\);\-"/>
    <numFmt numFmtId="168" formatCode="0.0"/>
    <numFmt numFmtId="169" formatCode="0.0\x"/>
    <numFmt numFmtId="170" formatCode="#,##0;\(#,##0\)"/>
    <numFmt numFmtId="172" formatCode="0.0000"/>
    <numFmt numFmtId="173" formatCode="#,##0;\(#,##0\);&quot;-&quot;"/>
    <numFmt numFmtId="174" formatCode="0.00&quot;x&quot;"/>
    <numFmt numFmtId="175" formatCode="#,##0&quot; k€&quot;"/>
  </numFmts>
  <fonts count="15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FFFF"/>
      <name val="Calibri"/>
    </font>
    <font>
      <sz val="11"/>
      <color rgb="FFBDC3C7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27AE60"/>
      <name val="Aptos Narrow"/>
      <family val="2"/>
      <scheme val="minor"/>
    </font>
    <font>
      <b/>
      <sz val="11"/>
      <color rgb="FF2980B9"/>
      <name val="Aptos Narrow"/>
      <family val="2"/>
      <scheme val="minor"/>
    </font>
    <font>
      <b/>
      <sz val="10"/>
      <color rgb="FF2980B9"/>
      <name val="Aptos Narrow"/>
      <family val="2"/>
      <scheme val="minor"/>
    </font>
    <font>
      <b/>
      <sz val="10"/>
      <color rgb="FFE67E22"/>
      <name val="Aptos Narrow"/>
      <family val="2"/>
      <scheme val="minor"/>
    </font>
    <font>
      <b/>
      <sz val="10"/>
      <color rgb="FF2C3E50"/>
      <name val="Aptos Narrow"/>
      <family val="2"/>
      <scheme val="minor"/>
    </font>
    <font>
      <sz val="9"/>
      <color rgb="FFBDC3C7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1A252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9"/>
      <color rgb="FF7F8C8D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2C3E5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1A252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1A252F"/>
      <name val="Aptos Narrow"/>
      <family val="2"/>
      <scheme val="minor"/>
    </font>
    <font>
      <b/>
      <sz val="11"/>
      <color rgb="FFF39C12"/>
      <name val="Aptos Narrow"/>
      <family val="2"/>
      <scheme val="minor"/>
    </font>
    <font>
      <b/>
      <sz val="11"/>
      <color rgb="FF1E8449"/>
      <name val="Aptos Narrow"/>
      <family val="2"/>
      <scheme val="minor"/>
    </font>
    <font>
      <sz val="9"/>
      <color rgb="FF2980B9"/>
      <name val="Aptos Narrow"/>
      <family val="2"/>
      <scheme val="minor"/>
    </font>
    <font>
      <b/>
      <sz val="12"/>
      <color rgb="FFF39C12"/>
      <name val="Aptos Narrow"/>
      <family val="2"/>
      <scheme val="minor"/>
    </font>
    <font>
      <b/>
      <sz val="10"/>
      <color rgb="FFF39C12"/>
      <name val="Aptos Narrow"/>
      <family val="2"/>
      <scheme val="minor"/>
    </font>
    <font>
      <sz val="10"/>
      <color rgb="FFF39C12"/>
      <name val="Aptos Narrow"/>
      <family val="2"/>
      <scheme val="minor"/>
    </font>
    <font>
      <b/>
      <sz val="10"/>
      <color rgb="FF1E8449"/>
      <name val="Aptos Narrow"/>
      <family val="2"/>
      <scheme val="minor"/>
    </font>
    <font>
      <sz val="10"/>
      <color rgb="FF1E8449"/>
      <name val="Aptos Narrow"/>
      <family val="2"/>
      <scheme val="minor"/>
    </font>
    <font>
      <sz val="10"/>
      <color rgb="FF2C3E50"/>
      <name val="Aptos Narrow"/>
      <family val="2"/>
      <scheme val="minor"/>
    </font>
    <font>
      <b/>
      <sz val="18"/>
      <color rgb="FFF39C12"/>
      <name val="Aptos Narrow"/>
      <family val="2"/>
      <scheme val="minor"/>
    </font>
    <font>
      <sz val="10"/>
      <color rgb="FF7F8C8D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8"/>
      <color rgb="FFECF0F1"/>
      <name val="Aptos Narrow"/>
      <family val="2"/>
      <scheme val="minor"/>
    </font>
    <font>
      <b/>
      <sz val="18"/>
      <color rgb="FF2ECC71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b/>
      <sz val="12"/>
      <color rgb="FF2ECC71"/>
      <name val="Aptos Narrow"/>
      <family val="2"/>
      <scheme val="minor"/>
    </font>
    <font>
      <sz val="10"/>
      <color rgb="FFBDC3C7"/>
      <name val="Aptos Narrow"/>
      <family val="2"/>
      <scheme val="minor"/>
    </font>
    <font>
      <sz val="9"/>
      <color rgb="FF6A1B9A"/>
      <name val="Aptos Narrow"/>
      <family val="2"/>
      <scheme val="minor"/>
    </font>
    <font>
      <b/>
      <sz val="10"/>
      <color rgb="FFE74C3C"/>
      <name val="Aptos Narrow"/>
      <family val="2"/>
      <scheme val="minor"/>
    </font>
    <font>
      <b/>
      <sz val="11"/>
      <color rgb="FF6A1B9A"/>
      <name val="Aptos Narrow"/>
      <family val="2"/>
      <scheme val="minor"/>
    </font>
    <font>
      <b/>
      <sz val="14"/>
      <color rgb="FFF39C12"/>
      <name val="Aptos Narrow"/>
      <family val="2"/>
      <scheme val="minor"/>
    </font>
    <font>
      <sz val="10"/>
      <color rgb="FFE74C3C"/>
      <name val="Aptos Narrow"/>
      <family val="2"/>
      <scheme val="minor"/>
    </font>
    <font>
      <b/>
      <sz val="10"/>
      <color rgb="FFF39C12"/>
      <name val="Consolas"/>
    </font>
    <font>
      <b/>
      <sz val="11"/>
      <color rgb="FFF39C12"/>
      <name val="Consolas"/>
    </font>
    <font>
      <b/>
      <sz val="10"/>
      <color rgb="FF2ECC71"/>
      <name val="Consolas"/>
    </font>
    <font>
      <sz val="10"/>
      <color rgb="FF27AE60"/>
      <name val="Consolas"/>
    </font>
    <font>
      <sz val="9"/>
      <color rgb="FF27AE60"/>
      <name val="Aptos Narrow"/>
      <family val="2"/>
      <scheme val="minor"/>
    </font>
    <font>
      <sz val="9"/>
      <color rgb="FF27AE60"/>
      <name val="Consolas"/>
    </font>
    <font>
      <sz val="10"/>
      <color rgb="FFECF0F1"/>
      <name val="Consolas"/>
    </font>
    <font>
      <sz val="9"/>
      <color rgb="FF1A252F"/>
      <name val="Aptos Narrow"/>
      <family val="2"/>
      <scheme val="minor"/>
    </font>
    <font>
      <b/>
      <sz val="10"/>
      <color rgb="FF8E44AD"/>
      <name val="Aptos Narrow"/>
      <family val="2"/>
      <scheme val="minor"/>
    </font>
    <font>
      <sz val="11"/>
      <color rgb="FF1A252F"/>
      <name val="Consolas"/>
    </font>
    <font>
      <sz val="11"/>
      <color rgb="FF6A1B9A"/>
      <name val="Consolas"/>
    </font>
    <font>
      <sz val="9"/>
      <color rgb="FFE65100"/>
      <name val="Aptos Narrow"/>
      <family val="2"/>
      <scheme val="minor"/>
    </font>
    <font>
      <b/>
      <sz val="14"/>
      <color rgb="FFF39C12"/>
      <name val="Calibri"/>
    </font>
    <font>
      <b/>
      <sz val="11"/>
      <color rgb="FFFFFFFF"/>
      <name val="Consolas"/>
    </font>
    <font>
      <sz val="9"/>
      <color rgb="FF2ECC71"/>
      <name val="Aptos Narrow"/>
      <family val="2"/>
      <scheme val="minor"/>
    </font>
    <font>
      <sz val="9"/>
      <color rgb="FFE8F4FD"/>
      <name val="Consolas"/>
    </font>
    <font>
      <b/>
      <sz val="13"/>
      <color rgb="FFF39C12"/>
      <name val="Aptos Narrow"/>
      <family val="2"/>
      <scheme val="minor"/>
    </font>
    <font>
      <b/>
      <sz val="11"/>
      <color rgb="FFFFFFFF"/>
      <name val="Calibri"/>
    </font>
    <font>
      <sz val="9"/>
      <color rgb="FF2980B9"/>
      <name val="Consolas"/>
    </font>
    <font>
      <sz val="10"/>
      <color rgb="FF8E44AD"/>
      <name val="Aptos Narrow"/>
      <family val="2"/>
      <scheme val="minor"/>
    </font>
    <font>
      <sz val="9"/>
      <color rgb="FF8E44AD"/>
      <name val="Aptos Narrow"/>
      <family val="2"/>
      <scheme val="minor"/>
    </font>
    <font>
      <sz val="9"/>
      <color rgb="FFECF0F1"/>
      <name val="Aptos Narrow"/>
      <family val="2"/>
      <scheme val="minor"/>
    </font>
    <font>
      <sz val="9"/>
      <color rgb="FFF39C12"/>
      <name val="Aptos Narrow"/>
      <family val="2"/>
      <scheme val="minor"/>
    </font>
    <font>
      <b/>
      <sz val="11"/>
      <color rgb="FF2ECC71"/>
      <name val="Aptos Narrow"/>
      <family val="2"/>
      <scheme val="minor"/>
    </font>
    <font>
      <sz val="9"/>
      <color rgb="FF1B5E20"/>
      <name val="Aptos Narrow"/>
      <family val="2"/>
      <scheme val="minor"/>
    </font>
    <font>
      <sz val="9"/>
      <color rgb="FF1B5E20"/>
      <name val="Consolas"/>
      <family val="3"/>
    </font>
    <font>
      <b/>
      <sz val="14"/>
      <color rgb="FF4CAF50"/>
      <name val="Calibri"/>
      <family val="2"/>
    </font>
    <font>
      <sz val="9"/>
      <color rgb="FF4CAF50"/>
      <name val="Aptos Narrow"/>
      <family val="2"/>
      <scheme val="minor"/>
    </font>
    <font>
      <b/>
      <sz val="11"/>
      <color rgb="FFFFFFFF"/>
      <name val="Consolas"/>
      <family val="3"/>
    </font>
    <font>
      <b/>
      <sz val="9"/>
      <color rgb="FF4CAF50"/>
      <name val="Aptos Narrow"/>
      <family val="2"/>
      <scheme val="minor"/>
    </font>
    <font>
      <b/>
      <sz val="10"/>
      <color rgb="FF76FF03"/>
      <name val="Consolas"/>
      <family val="3"/>
    </font>
    <font>
      <sz val="9"/>
      <color rgb="FFB0BEC5"/>
      <name val="Aptos Narrow"/>
      <family val="2"/>
      <scheme val="minor"/>
    </font>
    <font>
      <sz val="9"/>
      <color rgb="FFE8F5E9"/>
      <name val="Consolas"/>
      <family val="3"/>
    </font>
    <font>
      <b/>
      <sz val="10"/>
      <color rgb="FF282828"/>
      <name val="Aptos Narrow"/>
      <family val="2"/>
      <scheme val="minor"/>
    </font>
    <font>
      <b/>
      <sz val="12"/>
      <color rgb="FF282828"/>
      <name val="Aptos Narrow"/>
      <family val="2"/>
      <scheme val="minor"/>
    </font>
    <font>
      <b/>
      <sz val="11"/>
      <color rgb="FF282828"/>
      <name val="Aptos Narrow"/>
      <family val="2"/>
      <scheme val="minor"/>
    </font>
    <font>
      <sz val="10"/>
      <color rgb="FF282828"/>
      <name val="Aptos Narrow"/>
      <family val="2"/>
      <scheme val="minor"/>
    </font>
    <font>
      <sz val="9"/>
      <color rgb="FFA5D6A7"/>
      <name val="Aptos Narrow"/>
      <family val="2"/>
      <scheme val="minor"/>
    </font>
    <font>
      <b/>
      <sz val="20"/>
      <color rgb="FF69F0AE"/>
      <name val="Aptos Narrow"/>
      <family val="2"/>
      <scheme val="minor"/>
    </font>
    <font>
      <sz val="9"/>
      <color rgb="FF69F0AE"/>
      <name val="Aptos Narrow"/>
      <family val="2"/>
      <scheme val="minor"/>
    </font>
    <font>
      <sz val="9"/>
      <color rgb="FFBFBFBF"/>
      <name val="Aptos Narrow"/>
      <family val="2"/>
      <scheme val="minor"/>
    </font>
    <font>
      <sz val="9"/>
      <color rgb="FFFF6B6B"/>
      <name val="Aptos Narrow"/>
      <family val="2"/>
      <scheme val="minor"/>
    </font>
    <font>
      <sz val="9"/>
      <color rgb="FFBDD7EE"/>
      <name val="Aptos Narrow"/>
      <family val="2"/>
      <scheme val="minor"/>
    </font>
    <font>
      <b/>
      <sz val="9"/>
      <color rgb="FF375623"/>
      <name val="Aptos Narrow"/>
      <family val="2"/>
      <scheme val="minor"/>
    </font>
    <font>
      <b/>
      <sz val="9"/>
      <color rgb="FF843C0C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4A148C"/>
      <name val="Aptos Narrow"/>
      <family val="2"/>
      <scheme val="minor"/>
    </font>
    <font>
      <b/>
      <sz val="9"/>
      <color rgb="FF7F6000"/>
      <name val="Aptos Narrow"/>
      <family val="2"/>
      <scheme val="minor"/>
    </font>
    <font>
      <sz val="8"/>
      <color rgb="FF9DC3E6"/>
      <name val="Aptos Narrow"/>
      <family val="2"/>
      <scheme val="minor"/>
    </font>
    <font>
      <sz val="8"/>
      <color rgb="FFA5D6A7"/>
      <name val="Aptos Narrow"/>
      <family val="2"/>
      <scheme val="minor"/>
    </font>
    <font>
      <b/>
      <sz val="20"/>
      <color rgb="FF00B0F0"/>
      <name val="Aptos Narrow"/>
      <family val="2"/>
      <scheme val="minor"/>
    </font>
    <font>
      <sz val="9"/>
      <color rgb="FF70AD47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C00000"/>
      <name val="Aptos Narrow"/>
      <family val="2"/>
      <scheme val="minor"/>
    </font>
    <font>
      <sz val="8"/>
      <color rgb="FF375623"/>
      <name val="Aptos Narrow"/>
      <family val="2"/>
      <scheme val="minor"/>
    </font>
    <font>
      <b/>
      <sz val="8"/>
      <color rgb="FFC0000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color rgb="FF375623"/>
      <name val="Aptos Narrow"/>
      <family val="2"/>
      <scheme val="minor"/>
    </font>
    <font>
      <b/>
      <sz val="8"/>
      <color rgb="FF1F4E79"/>
      <name val="Aptos Narrow"/>
      <family val="2"/>
      <scheme val="minor"/>
    </font>
    <font>
      <b/>
      <sz val="11"/>
      <color rgb="FF70AD47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rgb="FF1A252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b/>
      <sz val="10"/>
      <color rgb="FF1F3864"/>
      <name val="Aptos Narrow"/>
      <family val="2"/>
      <scheme val="minor"/>
    </font>
    <font>
      <b/>
      <sz val="12"/>
      <color rgb="FF7F6000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b/>
      <sz val="10"/>
      <color rgb="FF2E74B5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i/>
      <sz val="10"/>
      <color rgb="FFC55A11"/>
      <name val="Aptos Narrow"/>
      <family val="2"/>
      <scheme val="minor"/>
    </font>
    <font>
      <b/>
      <sz val="10"/>
      <color rgb="FF7F6000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rgb="FF7F6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sz val="10"/>
      <color rgb="FF2ECC71"/>
      <name val="Aptos Narrow"/>
      <family val="2"/>
      <scheme val="minor"/>
    </font>
    <font>
      <sz val="11"/>
      <color rgb="FF4B0082"/>
      <name val="Aptos Narrow"/>
      <family val="2"/>
      <scheme val="minor"/>
    </font>
    <font>
      <i/>
      <sz val="9"/>
      <color rgb="FF008000"/>
      <name val="Aptos Narrow"/>
      <family val="2"/>
      <scheme val="minor"/>
    </font>
    <font>
      <b/>
      <sz val="9"/>
      <color rgb="FF4B0082"/>
      <name val="Aptos Narrow"/>
      <family val="2"/>
      <scheme val="minor"/>
    </font>
    <font>
      <sz val="9"/>
      <color rgb="FF1F3864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i/>
      <sz val="10"/>
      <color rgb="FF0070C0"/>
      <name val="Aptos Narrow"/>
      <family val="2"/>
      <scheme val="minor"/>
    </font>
    <font>
      <b/>
      <sz val="9"/>
      <color rgb="FF7F8C8D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i/>
      <sz val="10"/>
      <color rgb="FF1F3864"/>
      <name val="Aptos Narrow"/>
      <family val="2"/>
      <scheme val="minor"/>
    </font>
    <font>
      <b/>
      <sz val="9"/>
      <color rgb="FF2E74B5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sz val="9"/>
      <color rgb="FF7F6000"/>
      <name val="Aptos Narrow"/>
      <family val="2"/>
      <scheme val="minor"/>
    </font>
    <font>
      <sz val="10"/>
      <color rgb="FFECF0F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ECF0F1"/>
      <name val="Aptos Narrow"/>
      <family val="2"/>
      <scheme val="minor"/>
    </font>
    <font>
      <b/>
      <sz val="9"/>
      <color rgb="FFECF0F1"/>
      <name val="Aptos Narrow"/>
      <family val="2"/>
      <scheme val="minor"/>
    </font>
    <font>
      <b/>
      <sz val="11"/>
      <color rgb="FFFFFFFF"/>
      <name val="Abadi"/>
      <family val="2"/>
    </font>
    <font>
      <b/>
      <sz val="10"/>
      <color rgb="FF9DC3E6"/>
      <name val="Aptos Narrow"/>
      <family val="2"/>
      <scheme val="minor"/>
    </font>
  </fonts>
  <fills count="14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1A252F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784212"/>
        <bgColor indexed="64"/>
      </patternFill>
    </fill>
    <fill>
      <patternFill patternType="solid">
        <fgColor rgb="FF15436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F0F3F4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0A1628"/>
        <bgColor indexed="64"/>
      </patternFill>
    </fill>
    <fill>
      <patternFill patternType="solid">
        <fgColor rgb="FF1A3A2A"/>
        <bgColor indexed="64"/>
      </patternFill>
    </fill>
    <fill>
      <patternFill patternType="solid">
        <fgColor rgb="FF0D2218"/>
        <bgColor indexed="64"/>
      </patternFill>
    </fill>
    <fill>
      <patternFill patternType="solid">
        <fgColor rgb="FF1A2A3A"/>
        <bgColor indexed="64"/>
      </patternFill>
    </fill>
    <fill>
      <patternFill patternType="solid">
        <fgColor rgb="FF0D1D2A"/>
        <bgColor indexed="64"/>
      </patternFill>
    </fill>
    <fill>
      <patternFill patternType="solid">
        <fgColor rgb="FF2A1A3A"/>
        <bgColor indexed="64"/>
      </patternFill>
    </fill>
    <fill>
      <patternFill patternType="solid">
        <fgColor rgb="FF1A1028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1E2A35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1A2E1A"/>
        <bgColor indexed="64"/>
      </patternFill>
    </fill>
    <fill>
      <patternFill patternType="solid">
        <fgColor rgb="FF1E2A1E"/>
        <bgColor indexed="64"/>
      </patternFill>
    </fill>
    <fill>
      <patternFill patternType="solid">
        <fgColor rgb="FF2E2A1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0D0D1A"/>
        <bgColor indexed="64"/>
      </patternFill>
    </fill>
    <fill>
      <patternFill patternType="solid">
        <fgColor rgb="FF0D1A0D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0D1B0D"/>
        <bgColor indexed="64"/>
      </patternFill>
    </fill>
    <fill>
      <patternFill patternType="solid">
        <fgColor rgb="FF0A1200"/>
        <bgColor indexed="64"/>
      </patternFill>
    </fill>
    <fill>
      <patternFill patternType="solid">
        <fgColor rgb="FF051005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D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2375E"/>
        <bgColor indexed="64"/>
      </patternFill>
    </fill>
    <fill>
      <patternFill patternType="solid">
        <fgColor rgb="FF0D3B0D"/>
        <bgColor indexed="64"/>
      </patternFill>
    </fill>
    <fill>
      <patternFill patternType="solid">
        <fgColor rgb="FF0C2D4A"/>
        <bgColor indexed="64"/>
      </patternFill>
    </fill>
    <fill>
      <patternFill patternType="solid">
        <fgColor rgb="FF0C2A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9F5"/>
        <bgColor indexed="64"/>
      </patternFill>
    </fill>
    <fill>
      <patternFill patternType="solid">
        <fgColor rgb="FFE8D5FF"/>
        <bgColor indexed="64"/>
      </patternFill>
    </fill>
    <fill>
      <patternFill patternType="solid">
        <fgColor rgb="FFF5EE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243F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2F9F2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2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F2FCF5"/>
        <bgColor indexed="64"/>
      </patternFill>
    </fill>
    <fill>
      <patternFill patternType="solid">
        <fgColor rgb="FFF6FFED"/>
        <bgColor indexed="64"/>
      </patternFill>
    </fill>
    <fill>
      <patternFill patternType="solid">
        <fgColor rgb="FFF3E5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6E0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CB07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rgb="FFD9B3E6"/>
        <bgColor indexed="64"/>
      </patternFill>
    </fill>
    <fill>
      <patternFill patternType="solid">
        <fgColor rgb="FFEDD9F5"/>
        <bgColor indexed="64"/>
      </patternFill>
    </fill>
    <fill>
      <patternFill patternType="solid">
        <fgColor rgb="FFF9F0FF"/>
        <bgColor indexed="64"/>
      </patternFill>
    </fill>
    <fill>
      <patternFill patternType="solid">
        <fgColor rgb="FF2E4053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rgb="FF00B0F0"/>
      </bottom>
      <diagonal/>
    </border>
    <border>
      <left style="medium">
        <color rgb="FF2E4D87"/>
      </left>
      <right/>
      <top/>
      <bottom style="thick">
        <color rgb="FF00B0F0"/>
      </bottom>
      <diagonal/>
    </border>
    <border>
      <left style="medium">
        <color rgb="FF2E4D87"/>
      </left>
      <right/>
      <top/>
      <bottom/>
      <diagonal/>
    </border>
    <border>
      <left/>
      <right style="medium">
        <color rgb="FF2E4D87"/>
      </right>
      <top/>
      <bottom/>
      <diagonal/>
    </border>
    <border>
      <left/>
      <right style="medium">
        <color rgb="FF2E4D87"/>
      </right>
      <top/>
      <bottom style="thick">
        <color rgb="FF00B0F0"/>
      </bottom>
      <diagonal/>
    </border>
    <border>
      <left/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/>
      <top/>
      <bottom style="thin">
        <color rgb="FFD6DCE4"/>
      </bottom>
      <diagonal/>
    </border>
    <border>
      <left/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/>
      <top style="thin">
        <color rgb="FFD6DCE4"/>
      </top>
      <bottom style="thin">
        <color rgb="FFD6DCE4"/>
      </bottom>
      <diagonal/>
    </border>
    <border>
      <left/>
      <right style="thin">
        <color rgb="FFD6DCE4"/>
      </right>
      <top style="thin">
        <color rgb="FFD6DCE4"/>
      </top>
      <bottom style="medium">
        <color rgb="FF1F386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medium">
        <color rgb="FF1F3864"/>
      </bottom>
      <diagonal/>
    </border>
    <border>
      <left style="thin">
        <color rgb="FFD6DCE4"/>
      </left>
      <right/>
      <top style="thin">
        <color rgb="FFD6DCE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/>
      <top/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 style="medium">
        <color rgb="FF1A5276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1A5276"/>
      </bottom>
      <diagonal/>
    </border>
    <border>
      <left style="thin">
        <color rgb="FFD5D8DC"/>
      </left>
      <right/>
      <top style="thin">
        <color rgb="FFD5D8DC"/>
      </top>
      <bottom style="medium">
        <color rgb="FF1A5276"/>
      </bottom>
      <diagonal/>
    </border>
    <border>
      <left/>
      <right style="thin">
        <color rgb="FFD5D8DC"/>
      </right>
      <top style="medium">
        <color rgb="FF1A5276"/>
      </top>
      <bottom style="medium">
        <color rgb="FF1A5276"/>
      </bottom>
      <diagonal/>
    </border>
    <border>
      <left style="thin">
        <color rgb="FFD5D8DC"/>
      </left>
      <right style="thin">
        <color rgb="FFD5D8DC"/>
      </right>
      <top style="medium">
        <color rgb="FF1A5276"/>
      </top>
      <bottom style="medium">
        <color rgb="FF1A5276"/>
      </bottom>
      <diagonal/>
    </border>
    <border>
      <left style="thin">
        <color rgb="FFD5D8DC"/>
      </left>
      <right/>
      <top style="medium">
        <color rgb="FF1A5276"/>
      </top>
      <bottom style="medium">
        <color rgb="FF1A5276"/>
      </bottom>
      <diagonal/>
    </border>
    <border>
      <left/>
      <right style="thin">
        <color rgb="FFD5D8DC"/>
      </right>
      <top/>
      <bottom/>
      <diagonal/>
    </border>
    <border>
      <left style="thin">
        <color rgb="FFD5D8DC"/>
      </left>
      <right style="thin">
        <color rgb="FFD5D8DC"/>
      </right>
      <top/>
      <bottom/>
      <diagonal/>
    </border>
    <border>
      <left style="thin">
        <color rgb="FFD5D8D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5">
    <xf numFmtId="0" fontId="0" fillId="0" borderId="0" xfId="0"/>
    <xf numFmtId="0" fontId="0" fillId="2" borderId="0" xfId="0" applyFill="1"/>
    <xf numFmtId="0" fontId="6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3" fillId="4" borderId="0" xfId="0" applyFont="1" applyFill="1"/>
    <xf numFmtId="0" fontId="15" fillId="5" borderId="0" xfId="0" applyFont="1" applyFill="1"/>
    <xf numFmtId="0" fontId="15" fillId="6" borderId="0" xfId="0" applyFont="1" applyFill="1"/>
    <xf numFmtId="0" fontId="15" fillId="7" borderId="0" xfId="0" applyFont="1" applyFill="1"/>
    <xf numFmtId="0" fontId="15" fillId="8" borderId="0" xfId="0" applyFont="1" applyFill="1"/>
    <xf numFmtId="0" fontId="15" fillId="9" borderId="0" xfId="0" applyFont="1" applyFill="1"/>
    <xf numFmtId="0" fontId="0" fillId="10" borderId="0" xfId="0" applyFill="1"/>
    <xf numFmtId="0" fontId="19" fillId="2" borderId="0" xfId="0" applyFont="1" applyFill="1"/>
    <xf numFmtId="0" fontId="19" fillId="15" borderId="0" xfId="0" applyFont="1" applyFill="1"/>
    <xf numFmtId="0" fontId="0" fillId="16" borderId="0" xfId="0" applyFill="1"/>
    <xf numFmtId="0" fontId="20" fillId="17" borderId="0" xfId="0" applyFont="1" applyFill="1"/>
    <xf numFmtId="0" fontId="5" fillId="19" borderId="0" xfId="0" applyFont="1" applyFill="1"/>
    <xf numFmtId="0" fontId="19" fillId="19" borderId="0" xfId="0" applyFont="1" applyFill="1"/>
    <xf numFmtId="0" fontId="0" fillId="20" borderId="0" xfId="0" applyFill="1"/>
    <xf numFmtId="0" fontId="22" fillId="17" borderId="0" xfId="0" applyFont="1" applyFill="1"/>
    <xf numFmtId="0" fontId="24" fillId="6" borderId="0" xfId="0" applyFont="1" applyFill="1"/>
    <xf numFmtId="0" fontId="22" fillId="11" borderId="0" xfId="0" applyFont="1" applyFill="1"/>
    <xf numFmtId="0" fontId="24" fillId="21" borderId="0" xfId="0" applyFont="1" applyFill="1"/>
    <xf numFmtId="0" fontId="19" fillId="21" borderId="0" xfId="0" applyFont="1" applyFill="1"/>
    <xf numFmtId="0" fontId="22" fillId="22" borderId="0" xfId="0" applyFont="1" applyFill="1"/>
    <xf numFmtId="0" fontId="19" fillId="23" borderId="0" xfId="0" applyFont="1" applyFill="1"/>
    <xf numFmtId="0" fontId="25" fillId="21" borderId="0" xfId="0" applyFont="1" applyFill="1"/>
    <xf numFmtId="0" fontId="25" fillId="23" borderId="0" xfId="0" applyFont="1" applyFill="1"/>
    <xf numFmtId="164" fontId="22" fillId="17" borderId="0" xfId="0" applyNumberFormat="1" applyFont="1" applyFill="1"/>
    <xf numFmtId="165" fontId="22" fillId="11" borderId="0" xfId="0" applyNumberFormat="1" applyFont="1" applyFill="1"/>
    <xf numFmtId="165" fontId="22" fillId="17" borderId="0" xfId="0" applyNumberFormat="1" applyFont="1" applyFill="1"/>
    <xf numFmtId="165" fontId="19" fillId="21" borderId="0" xfId="0" applyNumberFormat="1" applyFont="1" applyFill="1"/>
    <xf numFmtId="165" fontId="24" fillId="6" borderId="0" xfId="0" applyNumberFormat="1" applyFont="1" applyFill="1"/>
    <xf numFmtId="165" fontId="22" fillId="22" borderId="0" xfId="0" applyNumberFormat="1" applyFont="1" applyFill="1"/>
    <xf numFmtId="165" fontId="19" fillId="23" borderId="0" xfId="0" applyNumberFormat="1" applyFont="1" applyFill="1"/>
    <xf numFmtId="9" fontId="22" fillId="17" borderId="0" xfId="0" applyNumberFormat="1" applyFont="1" applyFill="1"/>
    <xf numFmtId="0" fontId="20" fillId="24" borderId="0" xfId="0" applyFont="1" applyFill="1"/>
    <xf numFmtId="0" fontId="20" fillId="25" borderId="0" xfId="0" applyFont="1" applyFill="1"/>
    <xf numFmtId="0" fontId="2" fillId="16" borderId="0" xfId="0" applyFont="1" applyFill="1"/>
    <xf numFmtId="0" fontId="22" fillId="26" borderId="0" xfId="0" applyFont="1" applyFill="1"/>
    <xf numFmtId="0" fontId="22" fillId="27" borderId="0" xfId="0" applyFont="1" applyFill="1"/>
    <xf numFmtId="9" fontId="22" fillId="26" borderId="0" xfId="0" applyNumberFormat="1" applyFont="1" applyFill="1"/>
    <xf numFmtId="14" fontId="22" fillId="26" borderId="0" xfId="0" applyNumberFormat="1" applyFont="1" applyFill="1"/>
    <xf numFmtId="14" fontId="22" fillId="17" borderId="0" xfId="0" applyNumberFormat="1" applyFont="1" applyFill="1"/>
    <xf numFmtId="0" fontId="20" fillId="26" borderId="0" xfId="0" applyFont="1" applyFill="1"/>
    <xf numFmtId="0" fontId="0" fillId="3" borderId="0" xfId="0" applyFill="1"/>
    <xf numFmtId="0" fontId="27" fillId="28" borderId="0" xfId="0" applyFont="1" applyFill="1"/>
    <xf numFmtId="0" fontId="32" fillId="28" borderId="0" xfId="0" applyFont="1" applyFill="1"/>
    <xf numFmtId="0" fontId="33" fillId="28" borderId="0" xfId="0" applyFont="1" applyFill="1"/>
    <xf numFmtId="0" fontId="16" fillId="28" borderId="0" xfId="0" applyFont="1" applyFill="1"/>
    <xf numFmtId="0" fontId="22" fillId="16" borderId="0" xfId="0" applyFont="1" applyFill="1"/>
    <xf numFmtId="0" fontId="15" fillId="15" borderId="0" xfId="0" applyFont="1" applyFill="1"/>
    <xf numFmtId="0" fontId="15" fillId="30" borderId="0" xfId="0" applyFont="1" applyFill="1"/>
    <xf numFmtId="0" fontId="19" fillId="30" borderId="0" xfId="0" applyFont="1" applyFill="1"/>
    <xf numFmtId="0" fontId="15" fillId="31" borderId="0" xfId="0" applyFont="1" applyFill="1"/>
    <xf numFmtId="0" fontId="19" fillId="31" borderId="0" xfId="0" applyFont="1" applyFill="1"/>
    <xf numFmtId="0" fontId="0" fillId="32" borderId="0" xfId="0" applyFill="1"/>
    <xf numFmtId="0" fontId="24" fillId="33" borderId="0" xfId="0" applyFont="1" applyFill="1"/>
    <xf numFmtId="0" fontId="22" fillId="34" borderId="0" xfId="0" applyFont="1" applyFill="1"/>
    <xf numFmtId="9" fontId="22" fillId="34" borderId="0" xfId="0" applyNumberFormat="1" applyFont="1" applyFill="1"/>
    <xf numFmtId="10" fontId="22" fillId="34" borderId="0" xfId="0" applyNumberFormat="1" applyFont="1" applyFill="1"/>
    <xf numFmtId="0" fontId="24" fillId="17" borderId="0" xfId="0" applyFont="1" applyFill="1"/>
    <xf numFmtId="0" fontId="24" fillId="11" borderId="0" xfId="0" applyFont="1" applyFill="1"/>
    <xf numFmtId="0" fontId="15" fillId="2" borderId="0" xfId="0" applyFont="1" applyFill="1"/>
    <xf numFmtId="0" fontId="15" fillId="4" borderId="0" xfId="0" applyFont="1" applyFill="1"/>
    <xf numFmtId="0" fontId="19" fillId="4" borderId="0" xfId="0" applyFont="1" applyFill="1"/>
    <xf numFmtId="164" fontId="15" fillId="2" borderId="0" xfId="0" applyNumberFormat="1" applyFont="1" applyFill="1"/>
    <xf numFmtId="164" fontId="15" fillId="5" borderId="0" xfId="0" applyNumberFormat="1" applyFont="1" applyFill="1"/>
    <xf numFmtId="164" fontId="19" fillId="4" borderId="0" xfId="0" applyNumberFormat="1" applyFont="1" applyFill="1"/>
    <xf numFmtId="0" fontId="15" fillId="38" borderId="0" xfId="0" applyFont="1" applyFill="1"/>
    <xf numFmtId="0" fontId="19" fillId="3" borderId="0" xfId="0" applyFont="1" applyFill="1"/>
    <xf numFmtId="0" fontId="0" fillId="40" borderId="0" xfId="0" applyFill="1"/>
    <xf numFmtId="0" fontId="15" fillId="41" borderId="0" xfId="0" applyFont="1" applyFill="1"/>
    <xf numFmtId="0" fontId="15" fillId="42" borderId="0" xfId="0" applyFont="1" applyFill="1"/>
    <xf numFmtId="0" fontId="15" fillId="43" borderId="0" xfId="0" applyFont="1" applyFill="1"/>
    <xf numFmtId="0" fontId="15" fillId="44" borderId="0" xfId="0" applyFont="1" applyFill="1"/>
    <xf numFmtId="0" fontId="15" fillId="45" borderId="0" xfId="0" applyFont="1" applyFill="1"/>
    <xf numFmtId="0" fontId="15" fillId="46" borderId="0" xfId="0" applyFont="1" applyFill="1"/>
    <xf numFmtId="0" fontId="0" fillId="47" borderId="0" xfId="0" applyFill="1"/>
    <xf numFmtId="0" fontId="22" fillId="47" borderId="0" xfId="0" applyFont="1" applyFill="1"/>
    <xf numFmtId="0" fontId="22" fillId="49" borderId="0" xfId="0" applyFont="1" applyFill="1"/>
    <xf numFmtId="0" fontId="22" fillId="50" borderId="0" xfId="0" applyFont="1" applyFill="1"/>
    <xf numFmtId="0" fontId="22" fillId="51" borderId="0" xfId="0" applyFont="1" applyFill="1"/>
    <xf numFmtId="0" fontId="45" fillId="22" borderId="0" xfId="0" applyFont="1" applyFill="1"/>
    <xf numFmtId="0" fontId="16" fillId="52" borderId="0" xfId="0" applyFont="1" applyFill="1" applyAlignment="1">
      <alignment horizontal="right"/>
    </xf>
    <xf numFmtId="0" fontId="50" fillId="53" borderId="0" xfId="0" applyFont="1" applyFill="1"/>
    <xf numFmtId="0" fontId="51" fillId="54" borderId="0" xfId="0" applyFont="1" applyFill="1"/>
    <xf numFmtId="0" fontId="52" fillId="55" borderId="0" xfId="0" applyFont="1" applyFill="1"/>
    <xf numFmtId="0" fontId="54" fillId="0" borderId="0" xfId="0" applyFont="1"/>
    <xf numFmtId="0" fontId="49" fillId="56" borderId="0" xfId="0" applyFont="1" applyFill="1"/>
    <xf numFmtId="0" fontId="55" fillId="52" borderId="0" xfId="0" applyFont="1" applyFill="1"/>
    <xf numFmtId="0" fontId="24" fillId="57" borderId="0" xfId="0" applyFont="1" applyFill="1"/>
    <xf numFmtId="0" fontId="0" fillId="50" borderId="0" xfId="0" applyFill="1"/>
    <xf numFmtId="0" fontId="22" fillId="59" borderId="0" xfId="0" applyFont="1" applyFill="1"/>
    <xf numFmtId="0" fontId="22" fillId="61" borderId="0" xfId="0" applyFont="1" applyFill="1"/>
    <xf numFmtId="14" fontId="22" fillId="61" borderId="0" xfId="0" applyNumberFormat="1" applyFont="1" applyFill="1"/>
    <xf numFmtId="0" fontId="22" fillId="62" borderId="0" xfId="0" applyFont="1" applyFill="1"/>
    <xf numFmtId="14" fontId="22" fillId="62" borderId="0" xfId="0" applyNumberFormat="1" applyFont="1" applyFill="1"/>
    <xf numFmtId="0" fontId="22" fillId="63" borderId="0" xfId="0" applyFont="1" applyFill="1"/>
    <xf numFmtId="17" fontId="22" fillId="47" borderId="0" xfId="0" applyNumberFormat="1" applyFont="1" applyFill="1"/>
    <xf numFmtId="17" fontId="22" fillId="61" borderId="0" xfId="0" applyNumberFormat="1" applyFont="1" applyFill="1"/>
    <xf numFmtId="0" fontId="5" fillId="65" borderId="0" xfId="0" applyFont="1" applyFill="1"/>
    <xf numFmtId="0" fontId="14" fillId="65" borderId="0" xfId="0" applyFont="1" applyFill="1"/>
    <xf numFmtId="14" fontId="22" fillId="59" borderId="0" xfId="0" applyNumberFormat="1" applyFont="1" applyFill="1"/>
    <xf numFmtId="0" fontId="22" fillId="24" borderId="0" xfId="0" applyFont="1" applyFill="1"/>
    <xf numFmtId="14" fontId="22" fillId="24" borderId="0" xfId="0" applyNumberFormat="1" applyFont="1" applyFill="1"/>
    <xf numFmtId="9" fontId="22" fillId="59" borderId="0" xfId="0" applyNumberFormat="1" applyFont="1" applyFill="1"/>
    <xf numFmtId="0" fontId="19" fillId="65" borderId="0" xfId="0" applyFont="1" applyFill="1"/>
    <xf numFmtId="0" fontId="0" fillId="63" borderId="0" xfId="0" applyFill="1"/>
    <xf numFmtId="0" fontId="22" fillId="68" borderId="0" xfId="0" applyFont="1" applyFill="1"/>
    <xf numFmtId="0" fontId="19" fillId="67" borderId="0" xfId="0" applyFont="1" applyFill="1"/>
    <xf numFmtId="164" fontId="22" fillId="68" borderId="0" xfId="0" applyNumberFormat="1" applyFont="1" applyFill="1"/>
    <xf numFmtId="0" fontId="5" fillId="66" borderId="0" xfId="0" applyFont="1" applyFill="1"/>
    <xf numFmtId="0" fontId="0" fillId="69" borderId="0" xfId="0" applyFill="1"/>
    <xf numFmtId="0" fontId="37" fillId="2" borderId="0" xfId="0" applyFont="1" applyFill="1"/>
    <xf numFmtId="0" fontId="49" fillId="70" borderId="0" xfId="0" applyFont="1" applyFill="1"/>
    <xf numFmtId="0" fontId="63" fillId="70" borderId="0" xfId="0" applyFont="1" applyFill="1"/>
    <xf numFmtId="0" fontId="11" fillId="70" borderId="0" xfId="0" applyFont="1" applyFill="1"/>
    <xf numFmtId="0" fontId="53" fillId="71" borderId="0" xfId="0" applyFont="1" applyFill="1"/>
    <xf numFmtId="0" fontId="0" fillId="70" borderId="0" xfId="0" applyFill="1"/>
    <xf numFmtId="0" fontId="5" fillId="75" borderId="0" xfId="0" applyFont="1" applyFill="1"/>
    <xf numFmtId="0" fontId="22" fillId="78" borderId="0" xfId="0" applyFont="1" applyFill="1"/>
    <xf numFmtId="0" fontId="67" fillId="51" borderId="0" xfId="0" applyFont="1" applyFill="1"/>
    <xf numFmtId="0" fontId="67" fillId="16" borderId="0" xfId="0" applyFont="1" applyFill="1"/>
    <xf numFmtId="0" fontId="70" fillId="2" borderId="0" xfId="0" applyFont="1" applyFill="1"/>
    <xf numFmtId="0" fontId="70" fillId="5" borderId="0" xfId="0" applyFont="1" applyFill="1"/>
    <xf numFmtId="0" fontId="71" fillId="2" borderId="0" xfId="0" applyFont="1" applyFill="1"/>
    <xf numFmtId="0" fontId="1" fillId="79" borderId="2" xfId="0" applyFont="1" applyFill="1" applyBorder="1" applyAlignment="1">
      <alignment horizontal="center"/>
    </xf>
    <xf numFmtId="9" fontId="1" fillId="79" borderId="2" xfId="0" applyNumberFormat="1" applyFont="1" applyFill="1" applyBorder="1" applyAlignment="1">
      <alignment horizontal="center"/>
    </xf>
    <xf numFmtId="0" fontId="1" fillId="79" borderId="1" xfId="0" applyFont="1" applyFill="1" applyBorder="1" applyAlignment="1">
      <alignment horizontal="center"/>
    </xf>
    <xf numFmtId="0" fontId="1" fillId="79" borderId="3" xfId="0" applyFont="1" applyFill="1" applyBorder="1" applyAlignment="1">
      <alignment horizontal="center"/>
    </xf>
    <xf numFmtId="0" fontId="0" fillId="20" borderId="4" xfId="0" applyFill="1" applyBorder="1"/>
    <xf numFmtId="0" fontId="0" fillId="20" borderId="5" xfId="0" applyFill="1" applyBorder="1"/>
    <xf numFmtId="0" fontId="1" fillId="79" borderId="6" xfId="0" applyFont="1" applyFill="1" applyBorder="1" applyAlignment="1">
      <alignment horizontal="center"/>
    </xf>
    <xf numFmtId="0" fontId="1" fillId="79" borderId="7" xfId="0" applyFont="1" applyFill="1" applyBorder="1" applyAlignment="1">
      <alignment horizontal="center"/>
    </xf>
    <xf numFmtId="0" fontId="1" fillId="79" borderId="8" xfId="0" applyFont="1" applyFill="1" applyBorder="1" applyAlignment="1">
      <alignment horizontal="center"/>
    </xf>
    <xf numFmtId="0" fontId="1" fillId="79" borderId="9" xfId="0" applyFont="1" applyFill="1" applyBorder="1" applyAlignment="1">
      <alignment horizontal="center"/>
    </xf>
    <xf numFmtId="0" fontId="1" fillId="79" borderId="11" xfId="0" applyFont="1" applyFill="1" applyBorder="1" applyAlignment="1">
      <alignment horizontal="center"/>
    </xf>
    <xf numFmtId="0" fontId="0" fillId="20" borderId="10" xfId="0" applyFill="1" applyBorder="1"/>
    <xf numFmtId="0" fontId="0" fillId="20" borderId="12" xfId="0" applyFill="1" applyBorder="1"/>
    <xf numFmtId="0" fontId="0" fillId="62" borderId="0" xfId="0" applyFill="1"/>
    <xf numFmtId="0" fontId="2" fillId="62" borderId="0" xfId="0" applyFont="1" applyFill="1"/>
    <xf numFmtId="0" fontId="5" fillId="80" borderId="0" xfId="0" applyFont="1" applyFill="1"/>
    <xf numFmtId="0" fontId="19" fillId="75" borderId="0" xfId="0" applyFont="1" applyFill="1"/>
    <xf numFmtId="0" fontId="22" fillId="81" borderId="0" xfId="0" applyFont="1" applyFill="1"/>
    <xf numFmtId="0" fontId="22" fillId="82" borderId="0" xfId="0" applyFont="1" applyFill="1"/>
    <xf numFmtId="0" fontId="22" fillId="83" borderId="0" xfId="0" applyFont="1" applyFill="1"/>
    <xf numFmtId="0" fontId="22" fillId="84" borderId="0" xfId="0" applyFont="1" applyFill="1"/>
    <xf numFmtId="167" fontId="22" fillId="84" borderId="0" xfId="0" applyNumberFormat="1" applyFont="1" applyFill="1"/>
    <xf numFmtId="164" fontId="22" fillId="84" borderId="0" xfId="0" applyNumberFormat="1" applyFont="1" applyFill="1"/>
    <xf numFmtId="168" fontId="22" fillId="84" borderId="0" xfId="0" applyNumberFormat="1" applyFont="1" applyFill="1"/>
    <xf numFmtId="0" fontId="22" fillId="85" borderId="0" xfId="0" applyFont="1" applyFill="1"/>
    <xf numFmtId="167" fontId="22" fillId="85" borderId="0" xfId="0" applyNumberFormat="1" applyFont="1" applyFill="1"/>
    <xf numFmtId="164" fontId="22" fillId="85" borderId="0" xfId="0" applyNumberFormat="1" applyFont="1" applyFill="1"/>
    <xf numFmtId="168" fontId="22" fillId="85" borderId="0" xfId="0" applyNumberFormat="1" applyFont="1" applyFill="1"/>
    <xf numFmtId="0" fontId="22" fillId="86" borderId="0" xfId="0" applyFont="1" applyFill="1"/>
    <xf numFmtId="167" fontId="22" fillId="86" borderId="0" xfId="0" applyNumberFormat="1" applyFont="1" applyFill="1"/>
    <xf numFmtId="164" fontId="22" fillId="86" borderId="0" xfId="0" applyNumberFormat="1" applyFont="1" applyFill="1"/>
    <xf numFmtId="168" fontId="22" fillId="86" borderId="0" xfId="0" applyNumberFormat="1" applyFont="1" applyFill="1"/>
    <xf numFmtId="169" fontId="22" fillId="84" borderId="0" xfId="0" applyNumberFormat="1" applyFont="1" applyFill="1"/>
    <xf numFmtId="169" fontId="22" fillId="85" borderId="0" xfId="0" applyNumberFormat="1" applyFont="1" applyFill="1"/>
    <xf numFmtId="169" fontId="22" fillId="86" borderId="0" xfId="0" applyNumberFormat="1" applyFont="1" applyFill="1"/>
    <xf numFmtId="164" fontId="5" fillId="75" borderId="0" xfId="0" applyNumberFormat="1" applyFont="1" applyFill="1"/>
    <xf numFmtId="164" fontId="19" fillId="75" borderId="0" xfId="0" applyNumberFormat="1" applyFont="1" applyFill="1"/>
    <xf numFmtId="168" fontId="19" fillId="75" borderId="0" xfId="0" applyNumberFormat="1" applyFont="1" applyFill="1"/>
    <xf numFmtId="0" fontId="2" fillId="14" borderId="0" xfId="0" applyFont="1" applyFill="1"/>
    <xf numFmtId="0" fontId="0" fillId="61" borderId="0" xfId="0" applyFill="1"/>
    <xf numFmtId="0" fontId="5" fillId="87" borderId="0" xfId="0" applyFont="1" applyFill="1"/>
    <xf numFmtId="0" fontId="19" fillId="87" borderId="0" xfId="0" applyFont="1" applyFill="1"/>
    <xf numFmtId="164" fontId="22" fillId="61" borderId="0" xfId="0" applyNumberFormat="1" applyFont="1" applyFill="1"/>
    <xf numFmtId="164" fontId="5" fillId="87" borderId="0" xfId="0" applyNumberFormat="1" applyFont="1" applyFill="1"/>
    <xf numFmtId="169" fontId="22" fillId="61" borderId="0" xfId="0" applyNumberFormat="1" applyFont="1" applyFill="1"/>
    <xf numFmtId="169" fontId="22" fillId="17" borderId="0" xfId="0" applyNumberFormat="1" applyFont="1" applyFill="1"/>
    <xf numFmtId="9" fontId="22" fillId="61" borderId="0" xfId="0" applyNumberFormat="1" applyFont="1" applyFill="1"/>
    <xf numFmtId="10" fontId="22" fillId="61" borderId="0" xfId="0" applyNumberFormat="1" applyFont="1" applyFill="1"/>
    <xf numFmtId="0" fontId="0" fillId="81" borderId="0" xfId="0" applyFill="1"/>
    <xf numFmtId="9" fontId="22" fillId="84" borderId="0" xfId="0" applyNumberFormat="1" applyFont="1" applyFill="1"/>
    <xf numFmtId="0" fontId="74" fillId="84" borderId="0" xfId="0" applyFont="1" applyFill="1"/>
    <xf numFmtId="9" fontId="74" fillId="84" borderId="0" xfId="0" applyNumberFormat="1" applyFont="1" applyFill="1"/>
    <xf numFmtId="0" fontId="74" fillId="61" borderId="0" xfId="0" applyFont="1" applyFill="1"/>
    <xf numFmtId="0" fontId="74" fillId="47" borderId="0" xfId="0" applyFont="1" applyFill="1"/>
    <xf numFmtId="0" fontId="74" fillId="24" borderId="0" xfId="0" applyFont="1" applyFill="1"/>
    <xf numFmtId="0" fontId="0" fillId="88" borderId="0" xfId="0" applyFill="1"/>
    <xf numFmtId="0" fontId="76" fillId="88" borderId="0" xfId="0" applyFont="1" applyFill="1"/>
    <xf numFmtId="0" fontId="78" fillId="54" borderId="0" xfId="0" applyFont="1" applyFill="1"/>
    <xf numFmtId="0" fontId="79" fillId="88" borderId="0" xfId="0" applyFont="1" applyFill="1"/>
    <xf numFmtId="0" fontId="80" fillId="88" borderId="0" xfId="0" applyFont="1" applyFill="1"/>
    <xf numFmtId="0" fontId="81" fillId="90" borderId="0" xfId="0" applyFont="1" applyFill="1" applyAlignment="1">
      <alignment wrapText="1"/>
    </xf>
    <xf numFmtId="0" fontId="24" fillId="84" borderId="0" xfId="0" applyFont="1" applyFill="1"/>
    <xf numFmtId="0" fontId="24" fillId="61" borderId="0" xfId="0" applyFont="1" applyFill="1"/>
    <xf numFmtId="0" fontId="24" fillId="47" borderId="0" xfId="0" applyFont="1" applyFill="1"/>
    <xf numFmtId="9" fontId="22" fillId="47" borderId="0" xfId="0" applyNumberFormat="1" applyFont="1" applyFill="1"/>
    <xf numFmtId="0" fontId="24" fillId="24" borderId="0" xfId="0" applyFont="1" applyFill="1"/>
    <xf numFmtId="9" fontId="24" fillId="24" borderId="0" xfId="0" applyNumberFormat="1" applyFont="1" applyFill="1"/>
    <xf numFmtId="164" fontId="22" fillId="62" borderId="0" xfId="0" applyNumberFormat="1" applyFont="1" applyFill="1"/>
    <xf numFmtId="0" fontId="19" fillId="80" borderId="0" xfId="0" applyFont="1" applyFill="1"/>
    <xf numFmtId="0" fontId="82" fillId="18" borderId="0" xfId="0" applyFont="1" applyFill="1"/>
    <xf numFmtId="0" fontId="85" fillId="18" borderId="0" xfId="0" applyFont="1" applyFill="1"/>
    <xf numFmtId="0" fontId="0" fillId="92" borderId="0" xfId="0" applyFill="1"/>
    <xf numFmtId="0" fontId="84" fillId="18" borderId="0" xfId="0" applyFont="1" applyFill="1"/>
    <xf numFmtId="0" fontId="5" fillId="15" borderId="0" xfId="0" applyFont="1" applyFill="1"/>
    <xf numFmtId="0" fontId="14" fillId="0" borderId="0" xfId="0" applyFont="1"/>
    <xf numFmtId="0" fontId="101" fillId="106" borderId="0" xfId="0" applyFont="1" applyFill="1" applyAlignment="1">
      <alignment horizontal="center"/>
    </xf>
    <xf numFmtId="0" fontId="102" fillId="107" borderId="0" xfId="0" applyFont="1" applyFill="1"/>
    <xf numFmtId="3" fontId="102" fillId="107" borderId="0" xfId="0" applyNumberFormat="1" applyFont="1" applyFill="1"/>
    <xf numFmtId="164" fontId="102" fillId="107" borderId="0" xfId="0" applyNumberFormat="1" applyFont="1" applyFill="1"/>
    <xf numFmtId="0" fontId="102" fillId="17" borderId="0" xfId="0" applyFont="1" applyFill="1"/>
    <xf numFmtId="3" fontId="102" fillId="17" borderId="0" xfId="0" applyNumberFormat="1" applyFont="1" applyFill="1"/>
    <xf numFmtId="164" fontId="102" fillId="17" borderId="0" xfId="0" applyNumberFormat="1" applyFont="1" applyFill="1"/>
    <xf numFmtId="0" fontId="101" fillId="96" borderId="0" xfId="0" applyFont="1" applyFill="1"/>
    <xf numFmtId="3" fontId="101" fillId="96" borderId="0" xfId="0" applyNumberFormat="1" applyFont="1" applyFill="1"/>
    <xf numFmtId="164" fontId="101" fillId="96" borderId="0" xfId="0" applyNumberFormat="1" applyFont="1" applyFill="1"/>
    <xf numFmtId="0" fontId="101" fillId="95" borderId="0" xfId="0" applyFont="1" applyFill="1"/>
    <xf numFmtId="3" fontId="101" fillId="95" borderId="0" xfId="0" applyNumberFormat="1" applyFont="1" applyFill="1"/>
    <xf numFmtId="164" fontId="101" fillId="95" borderId="0" xfId="0" applyNumberFormat="1" applyFont="1" applyFill="1"/>
    <xf numFmtId="0" fontId="101" fillId="108" borderId="0" xfId="0" applyFont="1" applyFill="1" applyAlignment="1">
      <alignment horizontal="center"/>
    </xf>
    <xf numFmtId="170" fontId="103" fillId="107" borderId="0" xfId="0" applyNumberFormat="1" applyFont="1" applyFill="1"/>
    <xf numFmtId="170" fontId="102" fillId="17" borderId="0" xfId="0" applyNumberFormat="1" applyFont="1" applyFill="1"/>
    <xf numFmtId="170" fontId="104" fillId="17" borderId="0" xfId="0" applyNumberFormat="1" applyFont="1" applyFill="1"/>
    <xf numFmtId="170" fontId="104" fillId="107" borderId="0" xfId="0" applyNumberFormat="1" applyFont="1" applyFill="1"/>
    <xf numFmtId="170" fontId="105" fillId="96" borderId="0" xfId="0" applyNumberFormat="1" applyFont="1" applyFill="1"/>
    <xf numFmtId="170" fontId="103" fillId="17" borderId="0" xfId="0" applyNumberFormat="1" applyFont="1" applyFill="1"/>
    <xf numFmtId="170" fontId="105" fillId="95" borderId="0" xfId="0" applyNumberFormat="1" applyFont="1" applyFill="1"/>
    <xf numFmtId="0" fontId="102" fillId="109" borderId="0" xfId="0" applyFont="1" applyFill="1"/>
    <xf numFmtId="10" fontId="102" fillId="109" borderId="0" xfId="0" applyNumberFormat="1" applyFont="1" applyFill="1"/>
    <xf numFmtId="3" fontId="102" fillId="109" borderId="0" xfId="0" applyNumberFormat="1" applyFont="1" applyFill="1"/>
    <xf numFmtId="170" fontId="103" fillId="109" borderId="0" xfId="0" applyNumberFormat="1" applyFont="1" applyFill="1"/>
    <xf numFmtId="10" fontId="103" fillId="109" borderId="0" xfId="0" applyNumberFormat="1" applyFont="1" applyFill="1"/>
    <xf numFmtId="10" fontId="102" fillId="17" borderId="0" xfId="0" applyNumberFormat="1" applyFont="1" applyFill="1"/>
    <xf numFmtId="10" fontId="103" fillId="17" borderId="0" xfId="0" applyNumberFormat="1" applyFont="1" applyFill="1"/>
    <xf numFmtId="170" fontId="104" fillId="109" borderId="0" xfId="0" applyNumberFormat="1" applyFont="1" applyFill="1"/>
    <xf numFmtId="10" fontId="104" fillId="109" borderId="0" xfId="0" applyNumberFormat="1" applyFont="1" applyFill="1"/>
    <xf numFmtId="9" fontId="102" fillId="109" borderId="0" xfId="0" applyNumberFormat="1" applyFont="1" applyFill="1"/>
    <xf numFmtId="9" fontId="102" fillId="17" borderId="0" xfId="0" applyNumberFormat="1" applyFont="1" applyFill="1"/>
    <xf numFmtId="0" fontId="101" fillId="112" borderId="0" xfId="0" applyFont="1" applyFill="1"/>
    <xf numFmtId="0" fontId="101" fillId="112" borderId="0" xfId="0" applyFont="1" applyFill="1" applyAlignment="1">
      <alignment horizontal="center"/>
    </xf>
    <xf numFmtId="0" fontId="101" fillId="97" borderId="0" xfId="0" applyFont="1" applyFill="1"/>
    <xf numFmtId="10" fontId="101" fillId="97" borderId="0" xfId="0" applyNumberFormat="1" applyFont="1" applyFill="1"/>
    <xf numFmtId="3" fontId="101" fillId="97" borderId="0" xfId="0" applyNumberFormat="1" applyFont="1" applyFill="1"/>
    <xf numFmtId="170" fontId="101" fillId="97" borderId="0" xfId="0" applyNumberFormat="1" applyFont="1" applyFill="1"/>
    <xf numFmtId="0" fontId="102" fillId="113" borderId="0" xfId="0" applyFont="1" applyFill="1"/>
    <xf numFmtId="10" fontId="102" fillId="113" borderId="0" xfId="0" applyNumberFormat="1" applyFont="1" applyFill="1"/>
    <xf numFmtId="3" fontId="102" fillId="113" borderId="0" xfId="0" applyNumberFormat="1" applyFont="1" applyFill="1"/>
    <xf numFmtId="170" fontId="102" fillId="113" borderId="0" xfId="0" applyNumberFormat="1" applyFont="1" applyFill="1"/>
    <xf numFmtId="0" fontId="101" fillId="17" borderId="0" xfId="0" applyFont="1" applyFill="1"/>
    <xf numFmtId="0" fontId="101" fillId="95" borderId="0" xfId="0" applyFont="1" applyFill="1" applyAlignment="1">
      <alignment horizontal="center"/>
    </xf>
    <xf numFmtId="0" fontId="102" fillId="20" borderId="0" xfId="0" applyFont="1" applyFill="1"/>
    <xf numFmtId="10" fontId="102" fillId="20" borderId="0" xfId="0" applyNumberFormat="1" applyFont="1" applyFill="1"/>
    <xf numFmtId="3" fontId="102" fillId="20" borderId="0" xfId="0" applyNumberFormat="1" applyFont="1" applyFill="1"/>
    <xf numFmtId="10" fontId="101" fillId="95" borderId="0" xfId="0" applyNumberFormat="1" applyFont="1" applyFill="1"/>
    <xf numFmtId="3" fontId="0" fillId="0" borderId="0" xfId="0" applyNumberFormat="1"/>
    <xf numFmtId="0" fontId="102" fillId="112" borderId="0" xfId="0" applyFont="1" applyFill="1"/>
    <xf numFmtId="0" fontId="107" fillId="17" borderId="0" xfId="0" applyFont="1" applyFill="1"/>
    <xf numFmtId="0" fontId="102" fillId="117" borderId="0" xfId="0" applyFont="1" applyFill="1"/>
    <xf numFmtId="0" fontId="107" fillId="117" borderId="0" xfId="0" applyFont="1" applyFill="1"/>
    <xf numFmtId="0" fontId="108" fillId="112" borderId="0" xfId="0" applyFont="1" applyFill="1"/>
    <xf numFmtId="0" fontId="102" fillId="0" borderId="0" xfId="0" applyFont="1"/>
    <xf numFmtId="0" fontId="102" fillId="9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9" fillId="114" borderId="0" xfId="0" applyFont="1" applyFill="1" applyAlignment="1">
      <alignment horizontal="center"/>
    </xf>
    <xf numFmtId="0" fontId="19" fillId="111" borderId="0" xfId="0" applyFont="1" applyFill="1" applyAlignment="1">
      <alignment horizontal="center"/>
    </xf>
    <xf numFmtId="0" fontId="101" fillId="115" borderId="0" xfId="0" applyFont="1" applyFill="1"/>
    <xf numFmtId="0" fontId="102" fillId="118" borderId="0" xfId="0" applyFont="1" applyFill="1"/>
    <xf numFmtId="10" fontId="102" fillId="118" borderId="0" xfId="0" applyNumberFormat="1" applyFont="1" applyFill="1"/>
    <xf numFmtId="0" fontId="101" fillId="118" borderId="0" xfId="0" applyFont="1" applyFill="1"/>
    <xf numFmtId="0" fontId="5" fillId="93" borderId="0" xfId="0" applyFont="1" applyFill="1" applyAlignment="1">
      <alignment horizontal="center"/>
    </xf>
    <xf numFmtId="0" fontId="108" fillId="17" borderId="0" xfId="0" applyFont="1" applyFill="1"/>
    <xf numFmtId="0" fontId="108" fillId="117" borderId="0" xfId="0" applyFont="1" applyFill="1"/>
    <xf numFmtId="10" fontId="102" fillId="117" borderId="0" xfId="0" applyNumberFormat="1" applyFont="1" applyFill="1"/>
    <xf numFmtId="0" fontId="106" fillId="93" borderId="18" xfId="0" applyFont="1" applyFill="1" applyBorder="1" applyAlignment="1">
      <alignment horizontal="center"/>
    </xf>
    <xf numFmtId="0" fontId="106" fillId="93" borderId="19" xfId="0" applyFont="1" applyFill="1" applyBorder="1" applyAlignment="1">
      <alignment horizontal="center"/>
    </xf>
    <xf numFmtId="0" fontId="106" fillId="93" borderId="20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98" borderId="22" xfId="0" applyFill="1" applyBorder="1"/>
    <xf numFmtId="3" fontId="0" fillId="0" borderId="22" xfId="0" applyNumberFormat="1" applyBorder="1"/>
    <xf numFmtId="0" fontId="0" fillId="0" borderId="23" xfId="0" applyBorder="1"/>
    <xf numFmtId="170" fontId="0" fillId="0" borderId="22" xfId="0" applyNumberFormat="1" applyBorder="1"/>
    <xf numFmtId="0" fontId="0" fillId="97" borderId="22" xfId="0" applyFill="1" applyBorder="1"/>
    <xf numFmtId="0" fontId="0" fillId="115" borderId="22" xfId="0" applyFill="1" applyBorder="1"/>
    <xf numFmtId="0" fontId="0" fillId="96" borderId="22" xfId="0" applyFill="1" applyBorder="1"/>
    <xf numFmtId="0" fontId="0" fillId="59" borderId="22" xfId="0" applyFill="1" applyBorder="1"/>
    <xf numFmtId="0" fontId="0" fillId="116" borderId="22" xfId="0" applyFill="1" applyBorder="1"/>
    <xf numFmtId="0" fontId="0" fillId="0" borderId="24" xfId="0" applyBorder="1"/>
    <xf numFmtId="0" fontId="0" fillId="0" borderId="25" xfId="0" applyBorder="1"/>
    <xf numFmtId="0" fontId="0" fillId="59" borderId="25" xfId="0" applyFill="1" applyBorder="1"/>
    <xf numFmtId="3" fontId="0" fillId="0" borderId="25" xfId="0" applyNumberFormat="1" applyBorder="1"/>
    <xf numFmtId="0" fontId="0" fillId="0" borderId="26" xfId="0" applyBorder="1"/>
    <xf numFmtId="0" fontId="109" fillId="9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11" fillId="11" borderId="0" xfId="0" applyFont="1" applyFill="1"/>
    <xf numFmtId="0" fontId="111" fillId="12" borderId="0" xfId="0" applyFont="1" applyFill="1"/>
    <xf numFmtId="0" fontId="111" fillId="13" borderId="0" xfId="0" applyFont="1" applyFill="1"/>
    <xf numFmtId="0" fontId="111" fillId="14" borderId="0" xfId="0" applyFont="1" applyFill="1"/>
    <xf numFmtId="0" fontId="111" fillId="16" borderId="0" xfId="0" applyFont="1" applyFill="1"/>
    <xf numFmtId="0" fontId="111" fillId="17" borderId="0" xfId="0" applyFont="1" applyFill="1"/>
    <xf numFmtId="0" fontId="113" fillId="119" borderId="0" xfId="0" applyFont="1" applyFill="1" applyAlignment="1">
      <alignment horizontal="center"/>
    </xf>
    <xf numFmtId="0" fontId="12" fillId="119" borderId="0" xfId="0" applyFont="1" applyFill="1"/>
    <xf numFmtId="0" fontId="2" fillId="120" borderId="0" xfId="0" applyFont="1" applyFill="1"/>
    <xf numFmtId="0" fontId="0" fillId="121" borderId="0" xfId="0" applyFill="1"/>
    <xf numFmtId="0" fontId="0" fillId="17" borderId="0" xfId="0" applyFill="1"/>
    <xf numFmtId="0" fontId="21" fillId="93" borderId="0" xfId="0" applyFont="1" applyFill="1"/>
    <xf numFmtId="0" fontId="0" fillId="121" borderId="0" xfId="0" applyFill="1" applyAlignment="1">
      <alignment wrapText="1"/>
    </xf>
    <xf numFmtId="0" fontId="5" fillId="119" borderId="0" xfId="0" applyFont="1" applyFill="1"/>
    <xf numFmtId="0" fontId="22" fillId="122" borderId="0" xfId="0" applyFont="1" applyFill="1" applyAlignment="1">
      <alignment wrapText="1"/>
    </xf>
    <xf numFmtId="0" fontId="22" fillId="122" borderId="0" xfId="0" applyFont="1" applyFill="1" applyAlignment="1">
      <alignment vertical="top" wrapText="1"/>
    </xf>
    <xf numFmtId="0" fontId="114" fillId="122" borderId="0" xfId="0" applyFont="1" applyFill="1" applyAlignment="1">
      <alignment vertical="top" wrapText="1"/>
    </xf>
    <xf numFmtId="0" fontId="22" fillId="17" borderId="0" xfId="0" applyFont="1" applyFill="1" applyAlignment="1">
      <alignment wrapText="1"/>
    </xf>
    <xf numFmtId="0" fontId="22" fillId="17" borderId="0" xfId="0" applyFont="1" applyFill="1" applyAlignment="1">
      <alignment vertical="top" wrapText="1"/>
    </xf>
    <xf numFmtId="0" fontId="114" fillId="17" borderId="0" xfId="0" applyFont="1" applyFill="1" applyAlignment="1">
      <alignment vertical="top" wrapText="1"/>
    </xf>
    <xf numFmtId="0" fontId="115" fillId="123" borderId="0" xfId="0" applyFont="1" applyFill="1"/>
    <xf numFmtId="0" fontId="22" fillId="83" borderId="0" xfId="0" applyFont="1" applyFill="1" applyAlignment="1">
      <alignment wrapText="1"/>
    </xf>
    <xf numFmtId="0" fontId="24" fillId="83" borderId="0" xfId="0" applyFont="1" applyFill="1" applyAlignment="1">
      <alignment wrapText="1"/>
    </xf>
    <xf numFmtId="0" fontId="23" fillId="93" borderId="0" xfId="0" applyFont="1" applyFill="1" applyAlignment="1">
      <alignment wrapText="1"/>
    </xf>
    <xf numFmtId="0" fontId="24" fillId="119" borderId="0" xfId="0" applyFont="1" applyFill="1"/>
    <xf numFmtId="0" fontId="19" fillId="119" borderId="0" xfId="0" applyFont="1" applyFill="1"/>
    <xf numFmtId="0" fontId="22" fillId="124" borderId="0" xfId="0" applyFont="1" applyFill="1"/>
    <xf numFmtId="0" fontId="19" fillId="93" borderId="0" xfId="0" applyFont="1" applyFill="1" applyAlignment="1">
      <alignment wrapText="1"/>
    </xf>
    <xf numFmtId="0" fontId="19" fillId="124" borderId="0" xfId="0" applyFont="1" applyFill="1" applyAlignment="1">
      <alignment wrapText="1"/>
    </xf>
    <xf numFmtId="0" fontId="19" fillId="17" borderId="0" xfId="0" applyFont="1" applyFill="1"/>
    <xf numFmtId="0" fontId="24" fillId="120" borderId="0" xfId="0" applyFont="1" applyFill="1"/>
    <xf numFmtId="0" fontId="114" fillId="120" borderId="0" xfId="0" applyFont="1" applyFill="1"/>
    <xf numFmtId="0" fontId="24" fillId="122" borderId="0" xfId="0" applyFont="1" applyFill="1" applyAlignment="1">
      <alignment wrapText="1"/>
    </xf>
    <xf numFmtId="0" fontId="24" fillId="17" borderId="0" xfId="0" applyFont="1" applyFill="1" applyAlignment="1">
      <alignment wrapText="1"/>
    </xf>
    <xf numFmtId="0" fontId="22" fillId="122" borderId="0" xfId="0" applyFont="1" applyFill="1"/>
    <xf numFmtId="9" fontId="22" fillId="122" borderId="0" xfId="0" applyNumberFormat="1" applyFont="1" applyFill="1"/>
    <xf numFmtId="0" fontId="116" fillId="123" borderId="0" xfId="0" applyFont="1" applyFill="1"/>
    <xf numFmtId="0" fontId="21" fillId="93" borderId="0" xfId="0" applyFont="1" applyFill="1" applyAlignment="1">
      <alignment wrapText="1"/>
    </xf>
    <xf numFmtId="0" fontId="117" fillId="122" borderId="0" xfId="0" applyFont="1" applyFill="1" applyAlignment="1">
      <alignment wrapText="1"/>
    </xf>
    <xf numFmtId="0" fontId="117" fillId="17" borderId="0" xfId="0" applyFont="1" applyFill="1" applyAlignment="1">
      <alignment wrapText="1"/>
    </xf>
    <xf numFmtId="0" fontId="114" fillId="122" borderId="0" xfId="0" applyFont="1" applyFill="1" applyAlignment="1">
      <alignment wrapText="1"/>
    </xf>
    <xf numFmtId="0" fontId="114" fillId="17" borderId="0" xfId="0" applyFont="1" applyFill="1" applyAlignment="1">
      <alignment wrapText="1"/>
    </xf>
    <xf numFmtId="0" fontId="5" fillId="111" borderId="0" xfId="0" applyFont="1" applyFill="1"/>
    <xf numFmtId="0" fontId="22" fillId="125" borderId="0" xfId="0" applyFont="1" applyFill="1" applyAlignment="1">
      <alignment wrapText="1"/>
    </xf>
    <xf numFmtId="0" fontId="118" fillId="125" borderId="0" xfId="0" applyFont="1" applyFill="1" applyAlignment="1">
      <alignment wrapText="1"/>
    </xf>
    <xf numFmtId="0" fontId="118" fillId="17" borderId="0" xfId="0" applyFont="1" applyFill="1" applyAlignment="1">
      <alignment wrapText="1"/>
    </xf>
    <xf numFmtId="0" fontId="110" fillId="115" borderId="0" xfId="0" applyFont="1" applyFill="1"/>
    <xf numFmtId="0" fontId="22" fillId="126" borderId="0" xfId="0" applyFont="1" applyFill="1" applyAlignment="1">
      <alignment wrapText="1"/>
    </xf>
    <xf numFmtId="0" fontId="118" fillId="126" borderId="0" xfId="0" applyFont="1" applyFill="1" applyAlignment="1">
      <alignment wrapText="1"/>
    </xf>
    <xf numFmtId="0" fontId="23" fillId="119" borderId="0" xfId="0" applyFont="1" applyFill="1"/>
    <xf numFmtId="0" fontId="24" fillId="122" borderId="0" xfId="0" applyFont="1" applyFill="1"/>
    <xf numFmtId="0" fontId="114" fillId="122" borderId="0" xfId="0" applyFont="1" applyFill="1"/>
    <xf numFmtId="0" fontId="119" fillId="122" borderId="0" xfId="0" applyFont="1" applyFill="1"/>
    <xf numFmtId="0" fontId="24" fillId="123" borderId="0" xfId="0" applyFont="1" applyFill="1"/>
    <xf numFmtId="0" fontId="120" fillId="123" borderId="0" xfId="0" applyFont="1" applyFill="1"/>
    <xf numFmtId="0" fontId="122" fillId="17" borderId="0" xfId="0" applyFont="1" applyFill="1"/>
    <xf numFmtId="0" fontId="122" fillId="107" borderId="0" xfId="0" applyFont="1" applyFill="1"/>
    <xf numFmtId="49" fontId="114" fillId="122" borderId="0" xfId="0" applyNumberFormat="1" applyFont="1" applyFill="1"/>
    <xf numFmtId="49" fontId="22" fillId="122" borderId="0" xfId="0" applyNumberFormat="1" applyFont="1" applyFill="1"/>
    <xf numFmtId="49" fontId="22" fillId="17" borderId="0" xfId="0" applyNumberFormat="1" applyFont="1" applyFill="1"/>
    <xf numFmtId="49" fontId="114" fillId="17" borderId="0" xfId="0" applyNumberFormat="1" applyFont="1" applyFill="1"/>
    <xf numFmtId="0" fontId="23" fillId="111" borderId="0" xfId="0" applyFont="1" applyFill="1"/>
    <xf numFmtId="0" fontId="22" fillId="126" borderId="0" xfId="0" applyFont="1" applyFill="1"/>
    <xf numFmtId="0" fontId="118" fillId="126" borderId="0" xfId="0" applyFont="1" applyFill="1"/>
    <xf numFmtId="0" fontId="118" fillId="17" borderId="0" xfId="0" applyFont="1" applyFill="1"/>
    <xf numFmtId="0" fontId="123" fillId="98" borderId="0" xfId="0" applyFont="1" applyFill="1" applyAlignment="1">
      <alignment wrapText="1"/>
    </xf>
    <xf numFmtId="0" fontId="125" fillId="93" borderId="0" xfId="0" applyFont="1" applyFill="1"/>
    <xf numFmtId="0" fontId="12" fillId="93" borderId="0" xfId="0" applyFont="1" applyFill="1"/>
    <xf numFmtId="0" fontId="22" fillId="121" borderId="0" xfId="0" applyFont="1" applyFill="1"/>
    <xf numFmtId="0" fontId="24" fillId="121" borderId="0" xfId="0" applyFont="1" applyFill="1"/>
    <xf numFmtId="0" fontId="15" fillId="121" borderId="0" xfId="0" applyFont="1" applyFill="1"/>
    <xf numFmtId="0" fontId="15" fillId="17" borderId="0" xfId="0" applyFont="1" applyFill="1"/>
    <xf numFmtId="0" fontId="15" fillId="123" borderId="0" xfId="0" applyFont="1" applyFill="1"/>
    <xf numFmtId="0" fontId="118" fillId="123" borderId="0" xfId="0" applyFont="1" applyFill="1"/>
    <xf numFmtId="0" fontId="25" fillId="121" borderId="0" xfId="0" applyFont="1" applyFill="1"/>
    <xf numFmtId="9" fontId="15" fillId="17" borderId="0" xfId="0" applyNumberFormat="1" applyFont="1" applyFill="1"/>
    <xf numFmtId="9" fontId="15" fillId="121" borderId="0" xfId="0" applyNumberFormat="1" applyFont="1" applyFill="1"/>
    <xf numFmtId="0" fontId="12" fillId="105" borderId="0" xfId="0" applyFont="1" applyFill="1"/>
    <xf numFmtId="0" fontId="127" fillId="127" borderId="0" xfId="0" applyFont="1" applyFill="1" applyAlignment="1">
      <alignment wrapText="1"/>
    </xf>
    <xf numFmtId="49" fontId="128" fillId="128" borderId="0" xfId="0" quotePrefix="1" applyNumberFormat="1" applyFont="1" applyFill="1"/>
    <xf numFmtId="49" fontId="122" fillId="17" borderId="0" xfId="0" applyNumberFormat="1" applyFont="1" applyFill="1"/>
    <xf numFmtId="49" fontId="129" fillId="129" borderId="0" xfId="0" applyNumberFormat="1" applyFont="1" applyFill="1"/>
    <xf numFmtId="49" fontId="128" fillId="128" borderId="0" xfId="0" applyNumberFormat="1" applyFont="1" applyFill="1"/>
    <xf numFmtId="49" fontId="130" fillId="130" borderId="0" xfId="0" applyNumberFormat="1" applyFont="1" applyFill="1"/>
    <xf numFmtId="0" fontId="121" fillId="121" borderId="0" xfId="0" applyFont="1" applyFill="1"/>
    <xf numFmtId="0" fontId="22" fillId="121" borderId="0" xfId="0" applyFont="1" applyFill="1" applyAlignment="1">
      <alignment wrapText="1"/>
    </xf>
    <xf numFmtId="0" fontId="121" fillId="17" borderId="0" xfId="0" applyFont="1" applyFill="1"/>
    <xf numFmtId="0" fontId="131" fillId="16" borderId="0" xfId="0" applyFont="1" applyFill="1"/>
    <xf numFmtId="165" fontId="2" fillId="16" borderId="0" xfId="0" applyNumberFormat="1" applyFont="1" applyFill="1"/>
    <xf numFmtId="165" fontId="0" fillId="16" borderId="0" xfId="0" applyNumberFormat="1" applyFill="1"/>
    <xf numFmtId="0" fontId="23" fillId="93" borderId="0" xfId="0" applyFont="1" applyFill="1"/>
    <xf numFmtId="0" fontId="124" fillId="121" borderId="0" xfId="0" applyFont="1" applyFill="1"/>
    <xf numFmtId="3" fontId="22" fillId="122" borderId="0" xfId="0" applyNumberFormat="1" applyFont="1" applyFill="1"/>
    <xf numFmtId="3" fontId="0" fillId="122" borderId="0" xfId="0" applyNumberFormat="1" applyFill="1"/>
    <xf numFmtId="3" fontId="2" fillId="123" borderId="0" xfId="0" applyNumberFormat="1" applyFont="1" applyFill="1"/>
    <xf numFmtId="3" fontId="22" fillId="17" borderId="0" xfId="0" applyNumberFormat="1" applyFont="1" applyFill="1"/>
    <xf numFmtId="3" fontId="0" fillId="17" borderId="0" xfId="0" applyNumberFormat="1" applyFill="1"/>
    <xf numFmtId="17" fontId="22" fillId="120" borderId="0" xfId="0" applyNumberFormat="1" applyFont="1" applyFill="1"/>
    <xf numFmtId="0" fontId="22" fillId="120" borderId="0" xfId="0" applyFont="1" applyFill="1"/>
    <xf numFmtId="3" fontId="2" fillId="120" borderId="0" xfId="0" applyNumberFormat="1" applyFont="1" applyFill="1"/>
    <xf numFmtId="0" fontId="23" fillId="105" borderId="0" xfId="0" applyFont="1" applyFill="1" applyAlignment="1">
      <alignment horizontal="center"/>
    </xf>
    <xf numFmtId="172" fontId="22" fillId="122" borderId="0" xfId="0" applyNumberFormat="1" applyFont="1" applyFill="1"/>
    <xf numFmtId="172" fontId="22" fillId="17" borderId="0" xfId="0" applyNumberFormat="1" applyFont="1" applyFill="1"/>
    <xf numFmtId="3" fontId="24" fillId="120" borderId="0" xfId="0" applyNumberFormat="1" applyFont="1" applyFill="1"/>
    <xf numFmtId="0" fontId="136" fillId="61" borderId="0" xfId="0" applyFont="1" applyFill="1"/>
    <xf numFmtId="165" fontId="124" fillId="61" borderId="0" xfId="0" applyNumberFormat="1" applyFont="1" applyFill="1"/>
    <xf numFmtId="165" fontId="112" fillId="50" borderId="0" xfId="0" applyNumberFormat="1" applyFont="1" applyFill="1"/>
    <xf numFmtId="167" fontId="0" fillId="16" borderId="0" xfId="0" applyNumberFormat="1" applyFill="1"/>
    <xf numFmtId="164" fontId="85" fillId="18" borderId="0" xfId="0" applyNumberFormat="1" applyFont="1" applyFill="1"/>
    <xf numFmtId="164" fontId="15" fillId="15" borderId="0" xfId="0" applyNumberFormat="1" applyFont="1" applyFill="1"/>
    <xf numFmtId="164" fontId="15" fillId="30" borderId="0" xfId="0" applyNumberFormat="1" applyFont="1" applyFill="1"/>
    <xf numFmtId="164" fontId="15" fillId="38" borderId="0" xfId="0" applyNumberFormat="1" applyFont="1" applyFill="1"/>
    <xf numFmtId="164" fontId="15" fillId="31" borderId="0" xfId="0" applyNumberFormat="1" applyFont="1" applyFill="1"/>
    <xf numFmtId="164" fontId="19" fillId="3" borderId="0" xfId="0" applyNumberFormat="1" applyFont="1" applyFill="1"/>
    <xf numFmtId="0" fontId="22" fillId="64" borderId="0" xfId="0" applyFont="1" applyFill="1" applyAlignment="1">
      <alignment wrapText="1"/>
    </xf>
    <xf numFmtId="0" fontId="22" fillId="132" borderId="0" xfId="0" applyFont="1" applyFill="1" applyAlignment="1">
      <alignment wrapText="1"/>
    </xf>
    <xf numFmtId="0" fontId="22" fillId="133" borderId="0" xfId="0" applyFont="1" applyFill="1" applyAlignment="1">
      <alignment wrapText="1"/>
    </xf>
    <xf numFmtId="0" fontId="22" fillId="47" borderId="0" xfId="0" applyFont="1" applyFill="1" applyAlignment="1">
      <alignment wrapText="1"/>
    </xf>
    <xf numFmtId="0" fontId="22" fillId="62" borderId="0" xfId="0" applyFont="1" applyFill="1" applyAlignment="1">
      <alignment wrapText="1"/>
    </xf>
    <xf numFmtId="0" fontId="2" fillId="123" borderId="0" xfId="0" applyFont="1" applyFill="1" applyAlignment="1">
      <alignment wrapText="1"/>
    </xf>
    <xf numFmtId="0" fontId="22" fillId="115" borderId="0" xfId="0" applyFont="1" applyFill="1"/>
    <xf numFmtId="0" fontId="24" fillId="112" borderId="0" xfId="0" applyFont="1" applyFill="1"/>
    <xf numFmtId="0" fontId="124" fillId="115" borderId="0" xfId="0" applyFont="1" applyFill="1"/>
    <xf numFmtId="0" fontId="22" fillId="112" borderId="0" xfId="0" applyFont="1" applyFill="1"/>
    <xf numFmtId="0" fontId="124" fillId="112" borderId="0" xfId="0" applyFont="1" applyFill="1"/>
    <xf numFmtId="0" fontId="22" fillId="96" borderId="0" xfId="0" applyFont="1" applyFill="1"/>
    <xf numFmtId="0" fontId="124" fillId="96" borderId="0" xfId="0" applyFont="1" applyFill="1"/>
    <xf numFmtId="0" fontId="22" fillId="134" borderId="0" xfId="0" applyFont="1" applyFill="1"/>
    <xf numFmtId="0" fontId="124" fillId="134" borderId="0" xfId="0" applyFont="1" applyFill="1"/>
    <xf numFmtId="0" fontId="22" fillId="135" borderId="0" xfId="0" applyFont="1" applyFill="1"/>
    <xf numFmtId="0" fontId="124" fillId="135" borderId="0" xfId="0" applyFont="1" applyFill="1"/>
    <xf numFmtId="0" fontId="24" fillId="136" borderId="0" xfId="0" applyFont="1" applyFill="1"/>
    <xf numFmtId="0" fontId="24" fillId="68" borderId="0" xfId="0" applyFont="1" applyFill="1" applyAlignment="1">
      <alignment wrapText="1"/>
    </xf>
    <xf numFmtId="0" fontId="22" fillId="68" borderId="0" xfId="0" applyFont="1" applyFill="1" applyAlignment="1">
      <alignment wrapText="1"/>
    </xf>
    <xf numFmtId="0" fontId="139" fillId="68" borderId="0" xfId="0" applyFont="1" applyFill="1" applyAlignment="1">
      <alignment wrapText="1"/>
    </xf>
    <xf numFmtId="0" fontId="141" fillId="68" borderId="0" xfId="0" applyFont="1" applyFill="1" applyAlignment="1">
      <alignment wrapText="1"/>
    </xf>
    <xf numFmtId="0" fontId="24" fillId="61" borderId="0" xfId="0" applyFont="1" applyFill="1" applyAlignment="1">
      <alignment wrapText="1"/>
    </xf>
    <xf numFmtId="0" fontId="22" fillId="61" borderId="0" xfId="0" applyFont="1" applyFill="1" applyAlignment="1">
      <alignment wrapText="1"/>
    </xf>
    <xf numFmtId="0" fontId="139" fillId="61" borderId="0" xfId="0" applyFont="1" applyFill="1" applyAlignment="1">
      <alignment wrapText="1"/>
    </xf>
    <xf numFmtId="0" fontId="141" fillId="61" borderId="0" xfId="0" applyFont="1" applyFill="1" applyAlignment="1">
      <alignment wrapText="1"/>
    </xf>
    <xf numFmtId="0" fontId="24" fillId="62" borderId="0" xfId="0" applyFont="1" applyFill="1" applyAlignment="1">
      <alignment wrapText="1"/>
    </xf>
    <xf numFmtId="0" fontId="139" fillId="62" borderId="0" xfId="0" applyFont="1" applyFill="1" applyAlignment="1">
      <alignment wrapText="1"/>
    </xf>
    <xf numFmtId="0" fontId="141" fillId="62" borderId="0" xfId="0" applyFont="1" applyFill="1" applyAlignment="1">
      <alignment wrapText="1"/>
    </xf>
    <xf numFmtId="0" fontId="24" fillId="24" borderId="0" xfId="0" applyFont="1" applyFill="1" applyAlignment="1">
      <alignment wrapText="1"/>
    </xf>
    <xf numFmtId="0" fontId="22" fillId="24" borderId="0" xfId="0" applyFont="1" applyFill="1" applyAlignment="1">
      <alignment wrapText="1"/>
    </xf>
    <xf numFmtId="0" fontId="139" fillId="24" borderId="0" xfId="0" applyFont="1" applyFill="1" applyAlignment="1">
      <alignment wrapText="1"/>
    </xf>
    <xf numFmtId="0" fontId="141" fillId="24" borderId="0" xfId="0" applyFont="1" applyFill="1" applyAlignment="1">
      <alignment wrapText="1"/>
    </xf>
    <xf numFmtId="0" fontId="24" fillId="47" borderId="0" xfId="0" applyFont="1" applyFill="1" applyAlignment="1">
      <alignment wrapText="1"/>
    </xf>
    <xf numFmtId="0" fontId="139" fillId="47" borderId="0" xfId="0" applyFont="1" applyFill="1" applyAlignment="1">
      <alignment wrapText="1"/>
    </xf>
    <xf numFmtId="0" fontId="141" fillId="47" borderId="0" xfId="0" applyFont="1" applyFill="1" applyAlignment="1">
      <alignment wrapText="1"/>
    </xf>
    <xf numFmtId="0" fontId="24" fillId="133" borderId="0" xfId="0" applyFont="1" applyFill="1" applyAlignment="1">
      <alignment wrapText="1"/>
    </xf>
    <xf numFmtId="0" fontId="139" fillId="133" borderId="0" xfId="0" applyFont="1" applyFill="1" applyAlignment="1">
      <alignment wrapText="1"/>
    </xf>
    <xf numFmtId="0" fontId="141" fillId="133" borderId="0" xfId="0" applyFont="1" applyFill="1" applyAlignment="1">
      <alignment wrapText="1"/>
    </xf>
    <xf numFmtId="0" fontId="24" fillId="132" borderId="0" xfId="0" applyFont="1" applyFill="1" applyAlignment="1">
      <alignment wrapText="1"/>
    </xf>
    <xf numFmtId="0" fontId="139" fillId="132" borderId="0" xfId="0" applyFont="1" applyFill="1" applyAlignment="1">
      <alignment wrapText="1"/>
    </xf>
    <xf numFmtId="0" fontId="141" fillId="132" borderId="0" xfId="0" applyFont="1" applyFill="1" applyAlignment="1">
      <alignment wrapText="1"/>
    </xf>
    <xf numFmtId="0" fontId="24" fillId="81" borderId="0" xfId="0" applyFont="1" applyFill="1" applyAlignment="1">
      <alignment wrapText="1"/>
    </xf>
    <xf numFmtId="0" fontId="22" fillId="81" borderId="0" xfId="0" applyFont="1" applyFill="1" applyAlignment="1">
      <alignment wrapText="1"/>
    </xf>
    <xf numFmtId="0" fontId="139" fillId="81" borderId="0" xfId="0" applyFont="1" applyFill="1" applyAlignment="1">
      <alignment wrapText="1"/>
    </xf>
    <xf numFmtId="0" fontId="141" fillId="81" borderId="0" xfId="0" applyFont="1" applyFill="1" applyAlignment="1">
      <alignment wrapText="1"/>
    </xf>
    <xf numFmtId="0" fontId="24" fillId="64" borderId="0" xfId="0" applyFont="1" applyFill="1" applyAlignment="1">
      <alignment wrapText="1"/>
    </xf>
    <xf numFmtId="0" fontId="139" fillId="64" borderId="0" xfId="0" applyFont="1" applyFill="1" applyAlignment="1">
      <alignment wrapText="1"/>
    </xf>
    <xf numFmtId="0" fontId="141" fillId="64" borderId="0" xfId="0" applyFont="1" applyFill="1" applyAlignment="1">
      <alignment wrapText="1"/>
    </xf>
    <xf numFmtId="0" fontId="24" fillId="137" borderId="0" xfId="0" applyFont="1" applyFill="1" applyAlignment="1">
      <alignment wrapText="1"/>
    </xf>
    <xf numFmtId="0" fontId="22" fillId="137" borderId="0" xfId="0" applyFont="1" applyFill="1" applyAlignment="1">
      <alignment wrapText="1"/>
    </xf>
    <xf numFmtId="0" fontId="139" fillId="137" borderId="0" xfId="0" applyFont="1" applyFill="1" applyAlignment="1">
      <alignment wrapText="1"/>
    </xf>
    <xf numFmtId="0" fontId="141" fillId="137" borderId="0" xfId="0" applyFont="1" applyFill="1" applyAlignment="1">
      <alignment wrapText="1"/>
    </xf>
    <xf numFmtId="0" fontId="122" fillId="138" borderId="0" xfId="0" applyFont="1" applyFill="1" applyAlignment="1">
      <alignment wrapText="1"/>
    </xf>
    <xf numFmtId="0" fontId="139" fillId="138" borderId="0" xfId="0" applyFont="1" applyFill="1" applyAlignment="1">
      <alignment wrapText="1"/>
    </xf>
    <xf numFmtId="0" fontId="140" fillId="138" borderId="0" xfId="0" applyFont="1" applyFill="1" applyAlignment="1">
      <alignment wrapText="1"/>
    </xf>
    <xf numFmtId="0" fontId="122" fillId="17" borderId="0" xfId="0" applyFont="1" applyFill="1" applyAlignment="1">
      <alignment wrapText="1"/>
    </xf>
    <xf numFmtId="0" fontId="139" fillId="17" borderId="0" xfId="0" applyFont="1" applyFill="1" applyAlignment="1">
      <alignment wrapText="1"/>
    </xf>
    <xf numFmtId="0" fontId="140" fillId="17" borderId="0" xfId="0" applyFont="1" applyFill="1" applyAlignment="1">
      <alignment wrapText="1"/>
    </xf>
    <xf numFmtId="0" fontId="19" fillId="139" borderId="0" xfId="0" applyFont="1" applyFill="1" applyAlignment="1">
      <alignment wrapText="1"/>
    </xf>
    <xf numFmtId="0" fontId="24" fillId="139" borderId="0" xfId="0" applyFont="1" applyFill="1"/>
    <xf numFmtId="0" fontId="129" fillId="140" borderId="0" xfId="0" applyFont="1" applyFill="1" applyAlignment="1">
      <alignment wrapText="1"/>
    </xf>
    <xf numFmtId="0" fontId="122" fillId="141" borderId="0" xfId="0" applyFont="1" applyFill="1" applyAlignment="1">
      <alignment wrapText="1"/>
    </xf>
    <xf numFmtId="0" fontId="139" fillId="141" borderId="0" xfId="0" applyFont="1" applyFill="1" applyAlignment="1">
      <alignment wrapText="1"/>
    </xf>
    <xf numFmtId="0" fontId="19" fillId="31" borderId="0" xfId="0" applyFont="1" applyFill="1" applyAlignment="1">
      <alignment wrapText="1"/>
    </xf>
    <xf numFmtId="0" fontId="24" fillId="143" borderId="0" xfId="0" applyFont="1" applyFill="1"/>
    <xf numFmtId="0" fontId="22" fillId="144" borderId="0" xfId="0" applyFont="1" applyFill="1" applyAlignment="1">
      <alignment wrapText="1"/>
    </xf>
    <xf numFmtId="0" fontId="140" fillId="144" borderId="0" xfId="0" applyFont="1" applyFill="1" applyAlignment="1">
      <alignment wrapText="1"/>
    </xf>
    <xf numFmtId="0" fontId="0" fillId="119" borderId="0" xfId="0" applyFill="1"/>
    <xf numFmtId="0" fontId="21" fillId="93" borderId="0" xfId="0" applyFont="1" applyFill="1" applyAlignment="1">
      <alignment horizontal="center" wrapText="1"/>
    </xf>
    <xf numFmtId="0" fontId="5" fillId="75" borderId="0" xfId="0" applyFont="1" applyFill="1"/>
    <xf numFmtId="0" fontId="43" fillId="17" borderId="0" xfId="0" applyFont="1" applyFill="1"/>
    <xf numFmtId="0" fontId="43" fillId="3" borderId="0" xfId="0" applyFont="1" applyFill="1"/>
    <xf numFmtId="0" fontId="43" fillId="121" borderId="0" xfId="0" applyFont="1" applyFill="1"/>
    <xf numFmtId="0" fontId="29" fillId="3" borderId="0" xfId="0" applyFont="1" applyFill="1"/>
    <xf numFmtId="0" fontId="72" fillId="3" borderId="0" xfId="0" applyFont="1" applyFill="1"/>
    <xf numFmtId="0" fontId="3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12" fillId="2" borderId="0" xfId="0" applyFont="1" applyFill="1"/>
    <xf numFmtId="0" fontId="19" fillId="17" borderId="0" xfId="0" applyFont="1" applyFill="1"/>
    <xf numFmtId="0" fontId="36" fillId="121" borderId="0" xfId="0" applyFont="1" applyFill="1"/>
    <xf numFmtId="0" fontId="16" fillId="2" borderId="0" xfId="0" applyFont="1" applyFill="1"/>
    <xf numFmtId="0" fontId="126" fillId="17" borderId="0" xfId="0" applyFont="1" applyFill="1"/>
    <xf numFmtId="0" fontId="42" fillId="3" borderId="0" xfId="0" applyFont="1" applyFill="1"/>
    <xf numFmtId="0" fontId="57" fillId="121" borderId="0" xfId="0" applyFont="1" applyFill="1"/>
    <xf numFmtId="0" fontId="57" fillId="3" borderId="0" xfId="0" applyFont="1" applyFill="1"/>
    <xf numFmtId="0" fontId="142" fillId="144" borderId="0" xfId="0" applyFont="1" applyFill="1" applyAlignment="1">
      <alignment wrapText="1"/>
    </xf>
    <xf numFmtId="0" fontId="142" fillId="17" borderId="0" xfId="0" applyFont="1" applyFill="1" applyAlignment="1">
      <alignment wrapText="1"/>
    </xf>
    <xf numFmtId="0" fontId="12" fillId="111" borderId="0" xfId="0" applyFont="1" applyFill="1" applyAlignment="1">
      <alignment horizontal="center"/>
    </xf>
    <xf numFmtId="0" fontId="0" fillId="0" borderId="0" xfId="0"/>
    <xf numFmtId="0" fontId="122" fillId="141" borderId="0" xfId="0" applyFont="1" applyFill="1" applyAlignment="1">
      <alignment wrapText="1"/>
    </xf>
    <xf numFmtId="0" fontId="122" fillId="17" borderId="0" xfId="0" applyFont="1" applyFill="1" applyAlignment="1">
      <alignment wrapText="1"/>
    </xf>
    <xf numFmtId="0" fontId="23" fillId="142" borderId="0" xfId="0" applyFont="1" applyFill="1"/>
    <xf numFmtId="0" fontId="19" fillId="31" borderId="0" xfId="0" applyFont="1" applyFill="1"/>
    <xf numFmtId="0" fontId="23" fillId="105" borderId="0" xfId="0" applyFont="1" applyFill="1"/>
    <xf numFmtId="0" fontId="24" fillId="139" borderId="0" xfId="0" applyFont="1" applyFill="1"/>
    <xf numFmtId="0" fontId="22" fillId="98" borderId="0" xfId="0" applyFont="1" applyFill="1"/>
    <xf numFmtId="0" fontId="23" fillId="119" borderId="0" xfId="0" applyFont="1" applyFill="1"/>
    <xf numFmtId="0" fontId="23" fillId="131" borderId="0" xfId="0" applyFont="1" applyFill="1"/>
    <xf numFmtId="0" fontId="23" fillId="93" borderId="0" xfId="0" applyFont="1" applyFill="1"/>
    <xf numFmtId="0" fontId="137" fillId="93" borderId="0" xfId="0" applyFont="1" applyFill="1" applyAlignment="1">
      <alignment horizontal="center"/>
    </xf>
    <xf numFmtId="0" fontId="138" fillId="120" borderId="0" xfId="0" applyFont="1" applyFill="1" applyAlignment="1">
      <alignment horizontal="center"/>
    </xf>
    <xf numFmtId="0" fontId="116" fillId="98" borderId="0" xfId="0" applyFont="1" applyFill="1"/>
    <xf numFmtId="0" fontId="17" fillId="2" borderId="0" xfId="0" applyFont="1" applyFill="1"/>
    <xf numFmtId="0" fontId="18" fillId="11" borderId="0" xfId="0" applyFont="1" applyFill="1"/>
    <xf numFmtId="0" fontId="18" fillId="12" borderId="0" xfId="0" applyFont="1" applyFill="1"/>
    <xf numFmtId="0" fontId="18" fillId="13" borderId="0" xfId="0" applyFont="1" applyFill="1"/>
    <xf numFmtId="0" fontId="17" fillId="93" borderId="0" xfId="0" applyFont="1" applyFill="1" applyAlignment="1">
      <alignment horizontal="center"/>
    </xf>
    <xf numFmtId="0" fontId="21" fillId="6" borderId="0" xfId="0" applyFont="1" applyFill="1"/>
    <xf numFmtId="0" fontId="13" fillId="11" borderId="0" xfId="0" applyFont="1" applyFill="1"/>
    <xf numFmtId="0" fontId="83" fillId="18" borderId="0" xfId="0" applyFont="1" applyFill="1"/>
    <xf numFmtId="0" fontId="23" fillId="18" borderId="0" xfId="0" applyFont="1" applyFill="1"/>
    <xf numFmtId="0" fontId="12" fillId="6" borderId="0" xfId="0" applyFont="1" applyFill="1"/>
    <xf numFmtId="0" fontId="2" fillId="11" borderId="0" xfId="0" applyFont="1" applyFill="1"/>
    <xf numFmtId="0" fontId="84" fillId="18" borderId="0" xfId="0" applyFont="1" applyFill="1"/>
    <xf numFmtId="0" fontId="2" fillId="4" borderId="0" xfId="0" applyFont="1" applyFill="1"/>
    <xf numFmtId="0" fontId="21" fillId="7" borderId="0" xfId="0" applyFont="1" applyFill="1"/>
    <xf numFmtId="0" fontId="23" fillId="15" borderId="0" xfId="0" applyFont="1" applyFill="1"/>
    <xf numFmtId="0" fontId="16" fillId="16" borderId="0" xfId="0" applyFont="1" applyFill="1"/>
    <xf numFmtId="0" fontId="28" fillId="16" borderId="0" xfId="0" applyFont="1" applyFill="1"/>
    <xf numFmtId="0" fontId="69" fillId="50" borderId="0" xfId="0" applyFont="1" applyFill="1"/>
    <xf numFmtId="0" fontId="12" fillId="7" borderId="0" xfId="0" applyFont="1" applyFill="1"/>
    <xf numFmtId="0" fontId="34" fillId="22" borderId="0" xfId="0" applyFont="1" applyFill="1"/>
    <xf numFmtId="0" fontId="22" fillId="32" borderId="0" xfId="0" applyFont="1" applyFill="1"/>
    <xf numFmtId="0" fontId="5" fillId="15" borderId="0" xfId="0" applyFont="1" applyFill="1"/>
    <xf numFmtId="0" fontId="5" fillId="19" borderId="0" xfId="0" applyFont="1" applyFill="1"/>
    <xf numFmtId="0" fontId="5" fillId="6" borderId="0" xfId="0" applyFont="1" applyFill="1"/>
    <xf numFmtId="0" fontId="5" fillId="23" borderId="0" xfId="0" applyFont="1" applyFill="1"/>
    <xf numFmtId="0" fontId="5" fillId="30" borderId="0" xfId="0" applyFont="1" applyFill="1"/>
    <xf numFmtId="0" fontId="22" fillId="17" borderId="0" xfId="0" applyFont="1" applyFill="1"/>
    <xf numFmtId="0" fontId="0" fillId="20" borderId="0" xfId="0" applyFill="1"/>
    <xf numFmtId="0" fontId="22" fillId="11" borderId="0" xfId="0" applyFont="1" applyFill="1"/>
    <xf numFmtId="0" fontId="19" fillId="2" borderId="0" xfId="0" applyFont="1" applyFill="1"/>
    <xf numFmtId="0" fontId="16" fillId="20" borderId="0" xfId="0" applyFont="1" applyFill="1"/>
    <xf numFmtId="0" fontId="35" fillId="3" borderId="0" xfId="0" applyFont="1" applyFill="1"/>
    <xf numFmtId="0" fontId="36" fillId="3" borderId="0" xfId="0" applyFont="1" applyFill="1"/>
    <xf numFmtId="0" fontId="23" fillId="19" borderId="0" xfId="0" applyFont="1" applyFill="1"/>
    <xf numFmtId="0" fontId="23" fillId="30" borderId="0" xfId="0" applyFont="1" applyFill="1"/>
    <xf numFmtId="0" fontId="40" fillId="40" borderId="0" xfId="0" applyFont="1" applyFill="1"/>
    <xf numFmtId="0" fontId="36" fillId="40" borderId="0" xfId="0" applyFont="1" applyFill="1"/>
    <xf numFmtId="0" fontId="23" fillId="35" borderId="0" xfId="0" applyFont="1" applyFill="1"/>
    <xf numFmtId="0" fontId="23" fillId="6" borderId="0" xfId="0" applyFont="1" applyFill="1"/>
    <xf numFmtId="0" fontId="23" fillId="23" borderId="0" xfId="0" applyFont="1" applyFill="1"/>
    <xf numFmtId="0" fontId="12" fillId="48" borderId="0" xfId="0" applyFont="1" applyFill="1"/>
    <xf numFmtId="0" fontId="44" fillId="47" borderId="0" xfId="0" applyFont="1" applyFill="1"/>
    <xf numFmtId="0" fontId="46" fillId="47" borderId="0" xfId="0" applyFont="1" applyFill="1"/>
    <xf numFmtId="0" fontId="19" fillId="60" borderId="0" xfId="0" applyFont="1" applyFill="1"/>
    <xf numFmtId="0" fontId="19" fillId="58" borderId="0" xfId="0" applyFont="1" applyFill="1"/>
    <xf numFmtId="0" fontId="56" fillId="24" borderId="0" xfId="0" applyFont="1" applyFill="1"/>
    <xf numFmtId="0" fontId="56" fillId="59" borderId="0" xfId="0" applyFont="1" applyFill="1"/>
    <xf numFmtId="0" fontId="47" fillId="3" borderId="0" xfId="0" applyFont="1" applyFill="1"/>
    <xf numFmtId="0" fontId="48" fillId="3" borderId="0" xfId="0" applyFont="1" applyFill="1"/>
    <xf numFmtId="0" fontId="7" fillId="0" borderId="0" xfId="0" applyFont="1"/>
    <xf numFmtId="0" fontId="44" fillId="50" borderId="0" xfId="0" applyFont="1" applyFill="1"/>
    <xf numFmtId="0" fontId="5" fillId="58" borderId="0" xfId="0" applyFont="1" applyFill="1"/>
    <xf numFmtId="0" fontId="58" fillId="59" borderId="0" xfId="0" applyFont="1" applyFill="1"/>
    <xf numFmtId="0" fontId="58" fillId="17" borderId="0" xfId="0" applyFont="1" applyFill="1"/>
    <xf numFmtId="0" fontId="59" fillId="47" borderId="0" xfId="0" applyFont="1" applyFill="1"/>
    <xf numFmtId="0" fontId="50" fillId="2" borderId="0" xfId="0" applyFont="1" applyFill="1"/>
    <xf numFmtId="0" fontId="60" fillId="68" borderId="0" xfId="0" applyFont="1" applyFill="1"/>
    <xf numFmtId="0" fontId="5" fillId="67" borderId="0" xfId="0" applyFont="1" applyFill="1"/>
    <xf numFmtId="0" fontId="23" fillId="66" borderId="0" xfId="0" applyFont="1" applyFill="1"/>
    <xf numFmtId="0" fontId="12" fillId="66" borderId="0" xfId="0" applyFont="1" applyFill="1"/>
    <xf numFmtId="0" fontId="24" fillId="25" borderId="0" xfId="0" applyFont="1" applyFill="1"/>
    <xf numFmtId="0" fontId="62" fillId="73" borderId="0" xfId="0" applyFont="1" applyFill="1" applyAlignment="1">
      <alignment wrapText="1"/>
    </xf>
    <xf numFmtId="0" fontId="64" fillId="40" borderId="0" xfId="0" applyFont="1" applyFill="1" applyAlignment="1">
      <alignment wrapText="1"/>
    </xf>
    <xf numFmtId="0" fontId="62" fillId="4" borderId="0" xfId="0" applyFont="1" applyFill="1" applyAlignment="1">
      <alignment wrapText="1"/>
    </xf>
    <xf numFmtId="0" fontId="62" fillId="19" borderId="0" xfId="0" applyFont="1" applyFill="1" applyAlignment="1">
      <alignment wrapText="1"/>
    </xf>
    <xf numFmtId="0" fontId="62" fillId="38" borderId="0" xfId="0" applyFont="1" applyFill="1" applyAlignment="1">
      <alignment wrapText="1"/>
    </xf>
    <xf numFmtId="0" fontId="62" fillId="72" borderId="0" xfId="0" applyFont="1" applyFill="1" applyAlignment="1">
      <alignment wrapText="1"/>
    </xf>
    <xf numFmtId="0" fontId="62" fillId="15" borderId="0" xfId="0" applyFont="1" applyFill="1" applyAlignment="1">
      <alignment wrapText="1"/>
    </xf>
    <xf numFmtId="0" fontId="62" fillId="30" borderId="0" xfId="0" applyFont="1" applyFill="1" applyAlignment="1">
      <alignment wrapText="1"/>
    </xf>
    <xf numFmtId="0" fontId="61" fillId="70" borderId="0" xfId="0" applyFont="1" applyFill="1"/>
    <xf numFmtId="0" fontId="16" fillId="69" borderId="0" xfId="0" applyFont="1" applyFill="1"/>
    <xf numFmtId="0" fontId="62" fillId="18" borderId="0" xfId="0" applyFont="1" applyFill="1" applyAlignment="1">
      <alignment wrapText="1"/>
    </xf>
    <xf numFmtId="0" fontId="64" fillId="40" borderId="0" xfId="0" applyFont="1" applyFill="1"/>
    <xf numFmtId="0" fontId="66" fillId="77" borderId="0" xfId="0" applyFont="1" applyFill="1"/>
    <xf numFmtId="0" fontId="66" fillId="76" borderId="0" xfId="0" applyFont="1" applyFill="1"/>
    <xf numFmtId="0" fontId="66" fillId="75" borderId="0" xfId="0" applyFont="1" applyFill="1"/>
    <xf numFmtId="0" fontId="65" fillId="70" borderId="0" xfId="0" applyFont="1" applyFill="1"/>
    <xf numFmtId="0" fontId="16" fillId="70" borderId="0" xfId="0" applyFont="1" applyFill="1"/>
    <xf numFmtId="0" fontId="66" fillId="74" borderId="0" xfId="0" applyFont="1" applyFill="1"/>
    <xf numFmtId="0" fontId="5" fillId="7" borderId="0" xfId="0" applyFont="1" applyFill="1"/>
    <xf numFmtId="0" fontId="60" fillId="62" borderId="0" xfId="0" applyFont="1" applyFill="1"/>
    <xf numFmtId="0" fontId="12" fillId="75" borderId="0" xfId="0" applyFont="1" applyFill="1"/>
    <xf numFmtId="0" fontId="73" fillId="62" borderId="0" xfId="0" applyFont="1" applyFill="1"/>
    <xf numFmtId="0" fontId="5" fillId="80" borderId="0" xfId="0" applyFont="1" applyFill="1"/>
    <xf numFmtId="0" fontId="12" fillId="87" borderId="0" xfId="0" applyFont="1" applyFill="1"/>
    <xf numFmtId="0" fontId="5" fillId="74" borderId="0" xfId="0" applyFont="1" applyFill="1"/>
    <xf numFmtId="0" fontId="73" fillId="81" borderId="0" xfId="0" applyFont="1" applyFill="1"/>
    <xf numFmtId="0" fontId="77" fillId="66" borderId="0" xfId="0" applyFont="1" applyFill="1" applyAlignment="1">
      <alignment wrapText="1"/>
    </xf>
    <xf numFmtId="0" fontId="77" fillId="91" borderId="0" xfId="0" applyFont="1" applyFill="1" applyAlignment="1">
      <alignment wrapText="1"/>
    </xf>
    <xf numFmtId="0" fontId="75" fillId="89" borderId="0" xfId="0" applyFont="1" applyFill="1"/>
    <xf numFmtId="0" fontId="76" fillId="88" borderId="0" xfId="0" applyFont="1" applyFill="1"/>
    <xf numFmtId="0" fontId="77" fillId="75" borderId="0" xfId="0" applyFont="1" applyFill="1" applyAlignment="1">
      <alignment wrapText="1"/>
    </xf>
    <xf numFmtId="0" fontId="77" fillId="80" borderId="0" xfId="0" applyFont="1" applyFill="1" applyAlignment="1">
      <alignment wrapText="1"/>
    </xf>
    <xf numFmtId="0" fontId="77" fillId="87" borderId="0" xfId="0" applyFont="1" applyFill="1" applyAlignment="1">
      <alignment wrapText="1"/>
    </xf>
    <xf numFmtId="0" fontId="77" fillId="48" borderId="0" xfId="0" applyFont="1" applyFill="1" applyAlignment="1">
      <alignment wrapText="1"/>
    </xf>
    <xf numFmtId="0" fontId="99" fillId="100" borderId="15" xfId="0" applyFont="1" applyFill="1" applyBorder="1" applyAlignment="1">
      <alignment horizontal="center" vertical="center"/>
    </xf>
    <xf numFmtId="0" fontId="99" fillId="100" borderId="0" xfId="0" applyFont="1" applyFill="1" applyAlignment="1">
      <alignment horizontal="center" vertical="center"/>
    </xf>
    <xf numFmtId="0" fontId="87" fillId="101" borderId="15" xfId="0" applyFont="1" applyFill="1" applyBorder="1" applyAlignment="1">
      <alignment horizontal="center" vertical="center"/>
    </xf>
    <xf numFmtId="0" fontId="87" fillId="101" borderId="0" xfId="0" applyFont="1" applyFill="1" applyAlignment="1">
      <alignment horizontal="center" vertical="center"/>
    </xf>
    <xf numFmtId="0" fontId="87" fillId="101" borderId="16" xfId="0" applyFont="1" applyFill="1" applyBorder="1" applyAlignment="1">
      <alignment horizontal="center" vertical="center"/>
    </xf>
    <xf numFmtId="0" fontId="97" fillId="94" borderId="15" xfId="0" applyFont="1" applyFill="1" applyBorder="1" applyAlignment="1">
      <alignment horizontal="center" vertical="center"/>
    </xf>
    <xf numFmtId="0" fontId="97" fillId="94" borderId="0" xfId="0" applyFont="1" applyFill="1" applyAlignment="1">
      <alignment horizontal="center" vertical="center"/>
    </xf>
    <xf numFmtId="0" fontId="98" fillId="75" borderId="15" xfId="0" applyFont="1" applyFill="1" applyBorder="1" applyAlignment="1">
      <alignment horizontal="center" vertical="center"/>
    </xf>
    <xf numFmtId="0" fontId="98" fillId="75" borderId="0" xfId="0" applyFont="1" applyFill="1" applyAlignment="1">
      <alignment horizontal="center" vertical="center"/>
    </xf>
    <xf numFmtId="0" fontId="98" fillId="75" borderId="16" xfId="0" applyFont="1" applyFill="1" applyBorder="1" applyAlignment="1">
      <alignment horizontal="center" vertical="center"/>
    </xf>
    <xf numFmtId="0" fontId="5" fillId="93" borderId="0" xfId="0" applyFont="1" applyFill="1" applyAlignment="1">
      <alignment horizontal="center" vertical="center"/>
    </xf>
    <xf numFmtId="0" fontId="19" fillId="99" borderId="15" xfId="0" applyFont="1" applyFill="1" applyBorder="1" applyAlignment="1">
      <alignment horizontal="center" vertical="center"/>
    </xf>
    <xf numFmtId="0" fontId="19" fillId="99" borderId="0" xfId="0" applyFont="1" applyFill="1" applyAlignment="1">
      <alignment horizontal="center" vertical="center"/>
    </xf>
    <xf numFmtId="0" fontId="19" fillId="80" borderId="15" xfId="0" applyFont="1" applyFill="1" applyBorder="1" applyAlignment="1">
      <alignment horizontal="center" vertical="center"/>
    </xf>
    <xf numFmtId="0" fontId="19" fillId="80" borderId="0" xfId="0" applyFont="1" applyFill="1" applyAlignment="1">
      <alignment horizontal="center" vertical="center"/>
    </xf>
    <xf numFmtId="0" fontId="19" fillId="80" borderId="16" xfId="0" applyFont="1" applyFill="1" applyBorder="1" applyAlignment="1">
      <alignment horizontal="center" vertical="center"/>
    </xf>
    <xf numFmtId="0" fontId="21" fillId="93" borderId="0" xfId="0" applyFont="1" applyFill="1" applyAlignment="1">
      <alignment horizontal="center" vertical="center"/>
    </xf>
    <xf numFmtId="0" fontId="91" fillId="94" borderId="0" xfId="0" applyFont="1" applyFill="1" applyAlignment="1">
      <alignment horizontal="center"/>
    </xf>
    <xf numFmtId="0" fontId="92" fillId="95" borderId="0" xfId="0" applyFont="1" applyFill="1" applyAlignment="1">
      <alignment horizontal="center" vertical="center"/>
    </xf>
    <xf numFmtId="0" fontId="93" fillId="96" borderId="0" xfId="0" applyFont="1" applyFill="1" applyAlignment="1">
      <alignment horizontal="center" vertical="center"/>
    </xf>
    <xf numFmtId="0" fontId="94" fillId="97" borderId="0" xfId="0" applyFont="1" applyFill="1" applyAlignment="1">
      <alignment horizontal="center" vertical="center"/>
    </xf>
    <xf numFmtId="0" fontId="95" fillId="59" borderId="0" xfId="0" applyFont="1" applyFill="1" applyAlignment="1">
      <alignment horizontal="center" vertical="center"/>
    </xf>
    <xf numFmtId="0" fontId="96" fillId="98" borderId="0" xfId="0" applyFont="1" applyFill="1" applyAlignment="1">
      <alignment horizontal="center" vertical="center"/>
    </xf>
    <xf numFmtId="0" fontId="89" fillId="102" borderId="13" xfId="0" applyFont="1" applyFill="1" applyBorder="1" applyAlignment="1">
      <alignment horizontal="center" vertical="center"/>
    </xf>
    <xf numFmtId="0" fontId="88" fillId="103" borderId="14" xfId="0" applyFont="1" applyFill="1" applyBorder="1" applyAlignment="1">
      <alignment horizontal="center" vertical="center"/>
    </xf>
    <xf numFmtId="0" fontId="88" fillId="103" borderId="13" xfId="0" applyFont="1" applyFill="1" applyBorder="1" applyAlignment="1">
      <alignment horizontal="center" vertical="center"/>
    </xf>
    <xf numFmtId="0" fontId="86" fillId="103" borderId="13" xfId="0" applyFont="1" applyFill="1" applyBorder="1" applyAlignment="1">
      <alignment horizontal="center" vertical="center"/>
    </xf>
    <xf numFmtId="0" fontId="86" fillId="103" borderId="17" xfId="0" applyFont="1" applyFill="1" applyBorder="1" applyAlignment="1">
      <alignment horizontal="center" vertical="center"/>
    </xf>
    <xf numFmtId="0" fontId="5" fillId="104" borderId="0" xfId="0" applyFont="1" applyFill="1" applyAlignment="1">
      <alignment horizontal="center" vertical="center"/>
    </xf>
    <xf numFmtId="0" fontId="5" fillId="105" borderId="0" xfId="0" applyFont="1" applyFill="1" applyAlignment="1">
      <alignment horizontal="center" vertical="center"/>
    </xf>
    <xf numFmtId="0" fontId="100" fillId="102" borderId="14" xfId="0" applyFont="1" applyFill="1" applyBorder="1" applyAlignment="1">
      <alignment horizontal="center" vertical="center"/>
    </xf>
    <xf numFmtId="0" fontId="100" fillId="102" borderId="13" xfId="0" applyFont="1" applyFill="1" applyBorder="1" applyAlignment="1">
      <alignment horizontal="center" vertical="center"/>
    </xf>
    <xf numFmtId="0" fontId="90" fillId="102" borderId="14" xfId="0" applyFont="1" applyFill="1" applyBorder="1" applyAlignment="1">
      <alignment horizontal="center" vertical="center"/>
    </xf>
    <xf numFmtId="0" fontId="90" fillId="102" borderId="13" xfId="0" applyFont="1" applyFill="1" applyBorder="1" applyAlignment="1">
      <alignment horizontal="center" vertical="center"/>
    </xf>
    <xf numFmtId="0" fontId="102" fillId="109" borderId="0" xfId="0" applyFont="1" applyFill="1"/>
    <xf numFmtId="0" fontId="102" fillId="17" borderId="0" xfId="0" applyFont="1" applyFill="1"/>
    <xf numFmtId="0" fontId="5" fillId="110" borderId="0" xfId="0" applyFont="1" applyFill="1" applyAlignment="1">
      <alignment horizontal="center"/>
    </xf>
    <xf numFmtId="0" fontId="5" fillId="111" borderId="0" xfId="0" applyFont="1" applyFill="1" applyAlignment="1">
      <alignment horizontal="center"/>
    </xf>
    <xf numFmtId="0" fontId="5" fillId="114" borderId="0" xfId="0" applyFont="1" applyFill="1" applyAlignment="1">
      <alignment horizontal="center" vertical="center"/>
    </xf>
    <xf numFmtId="0" fontId="102" fillId="20" borderId="0" xfId="0" applyFont="1" applyFill="1"/>
    <xf numFmtId="0" fontId="101" fillId="95" borderId="0" xfId="0" applyFont="1" applyFill="1"/>
    <xf numFmtId="170" fontId="135" fillId="16" borderId="0" xfId="0" applyNumberFormat="1" applyFont="1" applyFill="1"/>
    <xf numFmtId="174" fontId="0" fillId="3" borderId="0" xfId="0" applyNumberFormat="1" applyFill="1"/>
    <xf numFmtId="3" fontId="15" fillId="2" borderId="0" xfId="0" applyNumberFormat="1" applyFont="1" applyFill="1"/>
    <xf numFmtId="3" fontId="15" fillId="5" borderId="0" xfId="0" applyNumberFormat="1" applyFont="1" applyFill="1"/>
    <xf numFmtId="3" fontId="19" fillId="4" borderId="0" xfId="0" applyNumberFormat="1" applyFont="1" applyFill="1"/>
    <xf numFmtId="173" fontId="85" fillId="18" borderId="0" xfId="0" applyNumberFormat="1" applyFont="1" applyFill="1"/>
    <xf numFmtId="173" fontId="15" fillId="15" borderId="0" xfId="0" applyNumberFormat="1" applyFont="1" applyFill="1"/>
    <xf numFmtId="173" fontId="19" fillId="4" borderId="0" xfId="0" applyNumberFormat="1" applyFont="1" applyFill="1"/>
    <xf numFmtId="173" fontId="15" fillId="30" borderId="0" xfId="0" applyNumberFormat="1" applyFont="1" applyFill="1"/>
    <xf numFmtId="173" fontId="15" fillId="38" borderId="0" xfId="0" applyNumberFormat="1" applyFont="1" applyFill="1"/>
    <xf numFmtId="173" fontId="15" fillId="31" borderId="0" xfId="0" applyNumberFormat="1" applyFont="1" applyFill="1"/>
    <xf numFmtId="173" fontId="19" fillId="3" borderId="0" xfId="0" applyNumberFormat="1" applyFont="1" applyFill="1"/>
    <xf numFmtId="170" fontId="85" fillId="18" borderId="0" xfId="0" applyNumberFormat="1" applyFont="1" applyFill="1"/>
    <xf numFmtId="170" fontId="15" fillId="15" borderId="0" xfId="0" applyNumberFormat="1" applyFont="1" applyFill="1"/>
    <xf numFmtId="170" fontId="19" fillId="4" borderId="0" xfId="0" applyNumberFormat="1" applyFont="1" applyFill="1"/>
    <xf numFmtId="170" fontId="15" fillId="30" borderId="0" xfId="0" applyNumberFormat="1" applyFont="1" applyFill="1"/>
    <xf numFmtId="170" fontId="15" fillId="38" borderId="0" xfId="0" applyNumberFormat="1" applyFont="1" applyFill="1"/>
    <xf numFmtId="170" fontId="15" fillId="31" borderId="0" xfId="0" applyNumberFormat="1" applyFont="1" applyFill="1"/>
    <xf numFmtId="170" fontId="19" fillId="3" borderId="0" xfId="0" applyNumberFormat="1" applyFont="1" applyFill="1"/>
    <xf numFmtId="170" fontId="15" fillId="4" borderId="0" xfId="0" applyNumberFormat="1" applyFont="1" applyFill="1"/>
    <xf numFmtId="3" fontId="15" fillId="41" borderId="0" xfId="0" applyNumberFormat="1" applyFont="1" applyFill="1"/>
    <xf numFmtId="3" fontId="15" fillId="42" borderId="0" xfId="0" applyNumberFormat="1" applyFont="1" applyFill="1"/>
    <xf numFmtId="164" fontId="15" fillId="41" borderId="0" xfId="0" applyNumberFormat="1" applyFont="1" applyFill="1"/>
    <xf numFmtId="164" fontId="15" fillId="42" borderId="0" xfId="0" applyNumberFormat="1" applyFont="1" applyFill="1"/>
    <xf numFmtId="3" fontId="15" fillId="43" borderId="0" xfId="0" applyNumberFormat="1" applyFont="1" applyFill="1"/>
    <xf numFmtId="164" fontId="15" fillId="44" borderId="0" xfId="0" applyNumberFormat="1" applyFont="1" applyFill="1"/>
    <xf numFmtId="164" fontId="15" fillId="43" borderId="0" xfId="0" applyNumberFormat="1" applyFont="1" applyFill="1"/>
    <xf numFmtId="168" fontId="15" fillId="44" borderId="0" xfId="0" applyNumberFormat="1" applyFont="1" applyFill="1"/>
    <xf numFmtId="168" fontId="15" fillId="43" borderId="0" xfId="0" applyNumberFormat="1" applyFont="1" applyFill="1"/>
    <xf numFmtId="164" fontId="15" fillId="45" borderId="0" xfId="0" applyNumberFormat="1" applyFont="1" applyFill="1"/>
    <xf numFmtId="164" fontId="15" fillId="46" borderId="0" xfId="0" applyNumberFormat="1" applyFont="1" applyFill="1"/>
    <xf numFmtId="0" fontId="19" fillId="2" borderId="28" xfId="0" applyFont="1" applyFill="1" applyBorder="1"/>
    <xf numFmtId="0" fontId="19" fillId="2" borderId="29" xfId="0" applyFont="1" applyFill="1" applyBorder="1"/>
    <xf numFmtId="0" fontId="37" fillId="2" borderId="29" xfId="0" applyFont="1" applyFill="1" applyBorder="1" applyAlignment="1">
      <alignment wrapText="1"/>
    </xf>
    <xf numFmtId="0" fontId="19" fillId="2" borderId="30" xfId="0" applyFont="1" applyFill="1" applyBorder="1"/>
    <xf numFmtId="0" fontId="5" fillId="7" borderId="31" xfId="0" applyFont="1" applyFill="1" applyBorder="1"/>
    <xf numFmtId="0" fontId="5" fillId="7" borderId="32" xfId="0" applyFont="1" applyFill="1" applyBorder="1"/>
    <xf numFmtId="0" fontId="5" fillId="7" borderId="33" xfId="0" applyFont="1" applyFill="1" applyBorder="1"/>
    <xf numFmtId="0" fontId="22" fillId="17" borderId="31" xfId="0" applyFont="1" applyFill="1" applyBorder="1"/>
    <xf numFmtId="0" fontId="22" fillId="17" borderId="32" xfId="0" applyFont="1" applyFill="1" applyBorder="1"/>
    <xf numFmtId="0" fontId="22" fillId="26" borderId="31" xfId="0" applyFont="1" applyFill="1" applyBorder="1"/>
    <xf numFmtId="0" fontId="22" fillId="26" borderId="32" xfId="0" applyFont="1" applyFill="1" applyBorder="1"/>
    <xf numFmtId="0" fontId="22" fillId="21" borderId="34" xfId="0" applyFont="1" applyFill="1" applyBorder="1"/>
    <xf numFmtId="0" fontId="22" fillId="21" borderId="35" xfId="0" applyFont="1" applyFill="1" applyBorder="1"/>
    <xf numFmtId="0" fontId="22" fillId="21" borderId="36" xfId="0" applyFont="1" applyFill="1" applyBorder="1"/>
    <xf numFmtId="0" fontId="19" fillId="7" borderId="31" xfId="0" applyFont="1" applyFill="1" applyBorder="1"/>
    <xf numFmtId="0" fontId="19" fillId="7" borderId="32" xfId="0" applyFont="1" applyFill="1" applyBorder="1"/>
    <xf numFmtId="167" fontId="19" fillId="7" borderId="33" xfId="0" applyNumberFormat="1" applyFont="1" applyFill="1" applyBorder="1"/>
    <xf numFmtId="0" fontId="22" fillId="22" borderId="31" xfId="0" applyFont="1" applyFill="1" applyBorder="1"/>
    <xf numFmtId="0" fontId="0" fillId="16" borderId="32" xfId="0" applyFill="1" applyBorder="1"/>
    <xf numFmtId="0" fontId="0" fillId="16" borderId="33" xfId="0" applyFill="1" applyBorder="1"/>
    <xf numFmtId="0" fontId="16" fillId="26" borderId="33" xfId="0" applyFont="1" applyFill="1" applyBorder="1"/>
    <xf numFmtId="0" fontId="16" fillId="17" borderId="33" xfId="0" applyFont="1" applyFill="1" applyBorder="1"/>
    <xf numFmtId="165" fontId="133" fillId="26" borderId="33" xfId="0" applyNumberFormat="1" applyFont="1" applyFill="1" applyBorder="1"/>
    <xf numFmtId="165" fontId="16" fillId="17" borderId="33" xfId="0" applyNumberFormat="1" applyFont="1" applyFill="1" applyBorder="1"/>
    <xf numFmtId="0" fontId="22" fillId="17" borderId="34" xfId="0" applyFont="1" applyFill="1" applyBorder="1"/>
    <xf numFmtId="0" fontId="22" fillId="17" borderId="35" xfId="0" applyFont="1" applyFill="1" applyBorder="1"/>
    <xf numFmtId="0" fontId="5" fillId="7" borderId="28" xfId="0" applyFont="1" applyFill="1" applyBorder="1"/>
    <xf numFmtId="0" fontId="5" fillId="7" borderId="29" xfId="0" applyFont="1" applyFill="1" applyBorder="1"/>
    <xf numFmtId="0" fontId="19" fillId="23" borderId="37" xfId="0" applyFont="1" applyFill="1" applyBorder="1"/>
    <xf numFmtId="0" fontId="19" fillId="23" borderId="38" xfId="0" applyFont="1" applyFill="1" applyBorder="1"/>
    <xf numFmtId="0" fontId="22" fillId="26" borderId="34" xfId="0" applyFont="1" applyFill="1" applyBorder="1"/>
    <xf numFmtId="0" fontId="22" fillId="26" borderId="35" xfId="0" applyFont="1" applyFill="1" applyBorder="1"/>
    <xf numFmtId="0" fontId="19" fillId="23" borderId="34" xfId="0" applyFont="1" applyFill="1" applyBorder="1"/>
    <xf numFmtId="0" fontId="19" fillId="23" borderId="35" xfId="0" applyFont="1" applyFill="1" applyBorder="1"/>
    <xf numFmtId="0" fontId="13" fillId="4" borderId="40" xfId="0" applyFont="1" applyFill="1" applyBorder="1"/>
    <xf numFmtId="0" fontId="2" fillId="4" borderId="41" xfId="0" applyFont="1" applyFill="1" applyBorder="1"/>
    <xf numFmtId="0" fontId="22" fillId="26" borderId="43" xfId="0" applyFont="1" applyFill="1" applyBorder="1"/>
    <xf numFmtId="0" fontId="22" fillId="26" borderId="44" xfId="0" applyFont="1" applyFill="1" applyBorder="1"/>
    <xf numFmtId="0" fontId="22" fillId="21" borderId="28" xfId="0" applyFont="1" applyFill="1" applyBorder="1"/>
    <xf numFmtId="0" fontId="22" fillId="21" borderId="29" xfId="0" applyFont="1" applyFill="1" applyBorder="1"/>
    <xf numFmtId="0" fontId="22" fillId="21" borderId="30" xfId="0" applyFont="1" applyFill="1" applyBorder="1"/>
    <xf numFmtId="0" fontId="29" fillId="3" borderId="37" xfId="0" applyFont="1" applyFill="1" applyBorder="1"/>
    <xf numFmtId="0" fontId="29" fillId="3" borderId="38" xfId="0" applyFont="1" applyFill="1" applyBorder="1"/>
    <xf numFmtId="0" fontId="19" fillId="7" borderId="28" xfId="0" applyFont="1" applyFill="1" applyBorder="1"/>
    <xf numFmtId="0" fontId="0" fillId="16" borderId="28" xfId="0" applyFill="1" applyBorder="1"/>
    <xf numFmtId="0" fontId="26" fillId="3" borderId="40" xfId="0" applyFont="1" applyFill="1" applyBorder="1"/>
    <xf numFmtId="0" fontId="16" fillId="17" borderId="36" xfId="0" applyFont="1" applyFill="1" applyBorder="1"/>
    <xf numFmtId="0" fontId="0" fillId="16" borderId="30" xfId="0" applyFill="1" applyBorder="1"/>
    <xf numFmtId="0" fontId="16" fillId="23" borderId="39" xfId="0" applyFont="1" applyFill="1" applyBorder="1"/>
    <xf numFmtId="0" fontId="22" fillId="22" borderId="34" xfId="0" applyFont="1" applyFill="1" applyBorder="1"/>
    <xf numFmtId="0" fontId="16" fillId="22" borderId="36" xfId="0" applyFont="1" applyFill="1" applyBorder="1"/>
    <xf numFmtId="0" fontId="22" fillId="22" borderId="43" xfId="0" applyFont="1" applyFill="1" applyBorder="1"/>
    <xf numFmtId="0" fontId="16" fillId="22" borderId="45" xfId="0" applyFont="1" applyFill="1" applyBorder="1"/>
    <xf numFmtId="0" fontId="30" fillId="3" borderId="37" xfId="0" applyFont="1" applyFill="1" applyBorder="1"/>
    <xf numFmtId="0" fontId="16" fillId="3" borderId="39" xfId="0" applyFont="1" applyFill="1" applyBorder="1"/>
    <xf numFmtId="0" fontId="16" fillId="26" borderId="45" xfId="0" applyFont="1" applyFill="1" applyBorder="1"/>
    <xf numFmtId="49" fontId="16" fillId="3" borderId="39" xfId="0" applyNumberFormat="1" applyFont="1" applyFill="1" applyBorder="1"/>
    <xf numFmtId="0" fontId="19" fillId="6" borderId="31" xfId="0" applyFont="1" applyFill="1" applyBorder="1"/>
    <xf numFmtId="0" fontId="19" fillId="6" borderId="32" xfId="0" applyFont="1" applyFill="1" applyBorder="1"/>
    <xf numFmtId="0" fontId="19" fillId="6" borderId="33" xfId="0" applyFont="1" applyFill="1" applyBorder="1"/>
    <xf numFmtId="0" fontId="22" fillId="11" borderId="31" xfId="0" applyFont="1" applyFill="1" applyBorder="1"/>
    <xf numFmtId="0" fontId="22" fillId="11" borderId="32" xfId="0" applyFont="1" applyFill="1" applyBorder="1"/>
    <xf numFmtId="0" fontId="22" fillId="11" borderId="33" xfId="0" applyFont="1" applyFill="1" applyBorder="1"/>
    <xf numFmtId="0" fontId="22" fillId="17" borderId="33" xfId="0" applyFont="1" applyFill="1" applyBorder="1"/>
    <xf numFmtId="0" fontId="22" fillId="22" borderId="32" xfId="0" applyFont="1" applyFill="1" applyBorder="1"/>
    <xf numFmtId="0" fontId="22" fillId="22" borderId="33" xfId="0" applyFont="1" applyFill="1" applyBorder="1"/>
    <xf numFmtId="164" fontId="22" fillId="17" borderId="32" xfId="0" applyNumberFormat="1" applyFont="1" applyFill="1" applyBorder="1"/>
    <xf numFmtId="0" fontId="22" fillId="11" borderId="34" xfId="0" applyFont="1" applyFill="1" applyBorder="1"/>
    <xf numFmtId="0" fontId="22" fillId="11" borderId="35" xfId="0" applyFont="1" applyFill="1" applyBorder="1"/>
    <xf numFmtId="0" fontId="22" fillId="11" borderId="36" xfId="0" applyFont="1" applyFill="1" applyBorder="1"/>
    <xf numFmtId="0" fontId="19" fillId="6" borderId="28" xfId="0" applyFont="1" applyFill="1" applyBorder="1"/>
    <xf numFmtId="0" fontId="19" fillId="6" borderId="29" xfId="0" applyFont="1" applyFill="1" applyBorder="1"/>
    <xf numFmtId="0" fontId="19" fillId="6" borderId="30" xfId="0" applyFont="1" applyFill="1" applyBorder="1"/>
    <xf numFmtId="0" fontId="24" fillId="21" borderId="37" xfId="0" applyFont="1" applyFill="1" applyBorder="1"/>
    <xf numFmtId="0" fontId="24" fillId="21" borderId="38" xfId="0" applyFont="1" applyFill="1" applyBorder="1"/>
    <xf numFmtId="0" fontId="24" fillId="21" borderId="39" xfId="0" applyFont="1" applyFill="1" applyBorder="1"/>
    <xf numFmtId="0" fontId="24" fillId="21" borderId="34" xfId="0" applyFont="1" applyFill="1" applyBorder="1"/>
    <xf numFmtId="0" fontId="24" fillId="21" borderId="35" xfId="0" applyFont="1" applyFill="1" applyBorder="1"/>
    <xf numFmtId="0" fontId="24" fillId="21" borderId="36" xfId="0" applyFont="1" applyFill="1" applyBorder="1"/>
    <xf numFmtId="0" fontId="19" fillId="23" borderId="40" xfId="0" applyFont="1" applyFill="1" applyBorder="1"/>
    <xf numFmtId="0" fontId="19" fillId="23" borderId="41" xfId="0" applyFont="1" applyFill="1" applyBorder="1"/>
    <xf numFmtId="0" fontId="19" fillId="23" borderId="42" xfId="0" applyFont="1" applyFill="1" applyBorder="1"/>
    <xf numFmtId="0" fontId="22" fillId="17" borderId="36" xfId="0" applyFont="1" applyFill="1" applyBorder="1"/>
    <xf numFmtId="0" fontId="22" fillId="11" borderId="28" xfId="0" applyFont="1" applyFill="1" applyBorder="1"/>
    <xf numFmtId="0" fontId="22" fillId="11" borderId="29" xfId="0" applyFont="1" applyFill="1" applyBorder="1"/>
    <xf numFmtId="0" fontId="22" fillId="11" borderId="30" xfId="0" applyFont="1" applyFill="1" applyBorder="1"/>
    <xf numFmtId="164" fontId="22" fillId="11" borderId="35" xfId="0" applyNumberFormat="1" applyFont="1" applyFill="1" applyBorder="1"/>
    <xf numFmtId="0" fontId="19" fillId="7" borderId="37" xfId="0" applyFont="1" applyFill="1" applyBorder="1"/>
    <xf numFmtId="0" fontId="19" fillId="7" borderId="38" xfId="0" applyFont="1" applyFill="1" applyBorder="1"/>
    <xf numFmtId="0" fontId="19" fillId="7" borderId="39" xfId="0" applyFont="1" applyFill="1" applyBorder="1"/>
    <xf numFmtId="165" fontId="22" fillId="11" borderId="32" xfId="0" applyNumberFormat="1" applyFont="1" applyFill="1" applyBorder="1"/>
    <xf numFmtId="167" fontId="22" fillId="11" borderId="32" xfId="0" applyNumberFormat="1" applyFont="1" applyFill="1" applyBorder="1"/>
    <xf numFmtId="165" fontId="22" fillId="17" borderId="32" xfId="0" applyNumberFormat="1" applyFont="1" applyFill="1" applyBorder="1"/>
    <xf numFmtId="167" fontId="22" fillId="17" borderId="32" xfId="0" applyNumberFormat="1" applyFont="1" applyFill="1" applyBorder="1"/>
    <xf numFmtId="165" fontId="22" fillId="21" borderId="35" xfId="0" applyNumberFormat="1" applyFont="1" applyFill="1" applyBorder="1"/>
    <xf numFmtId="167" fontId="22" fillId="21" borderId="35" xfId="0" applyNumberFormat="1" applyFont="1" applyFill="1" applyBorder="1"/>
    <xf numFmtId="165" fontId="22" fillId="11" borderId="35" xfId="0" applyNumberFormat="1" applyFont="1" applyFill="1" applyBorder="1"/>
    <xf numFmtId="167" fontId="22" fillId="11" borderId="35" xfId="0" applyNumberFormat="1" applyFont="1" applyFill="1" applyBorder="1"/>
    <xf numFmtId="165" fontId="19" fillId="6" borderId="29" xfId="0" applyNumberFormat="1" applyFont="1" applyFill="1" applyBorder="1"/>
    <xf numFmtId="167" fontId="19" fillId="6" borderId="29" xfId="0" applyNumberFormat="1" applyFont="1" applyFill="1" applyBorder="1"/>
    <xf numFmtId="165" fontId="24" fillId="21" borderId="38" xfId="0" applyNumberFormat="1" applyFont="1" applyFill="1" applyBorder="1"/>
    <xf numFmtId="167" fontId="24" fillId="21" borderId="38" xfId="0" applyNumberFormat="1" applyFont="1" applyFill="1" applyBorder="1"/>
    <xf numFmtId="165" fontId="22" fillId="17" borderId="35" xfId="0" applyNumberFormat="1" applyFont="1" applyFill="1" applyBorder="1"/>
    <xf numFmtId="167" fontId="22" fillId="17" borderId="35" xfId="0" applyNumberFormat="1" applyFont="1" applyFill="1" applyBorder="1"/>
    <xf numFmtId="165" fontId="19" fillId="23" borderId="38" xfId="0" applyNumberFormat="1" applyFont="1" applyFill="1" applyBorder="1"/>
    <xf numFmtId="167" fontId="19" fillId="23" borderId="38" xfId="0" applyNumberFormat="1" applyFont="1" applyFill="1" applyBorder="1"/>
    <xf numFmtId="0" fontId="19" fillId="23" borderId="39" xfId="0" applyFont="1" applyFill="1" applyBorder="1"/>
    <xf numFmtId="0" fontId="22" fillId="11" borderId="43" xfId="0" applyFont="1" applyFill="1" applyBorder="1"/>
    <xf numFmtId="165" fontId="22" fillId="11" borderId="44" xfId="0" applyNumberFormat="1" applyFont="1" applyFill="1" applyBorder="1"/>
    <xf numFmtId="0" fontId="22" fillId="11" borderId="44" xfId="0" applyFont="1" applyFill="1" applyBorder="1"/>
    <xf numFmtId="167" fontId="22" fillId="11" borderId="44" xfId="0" applyNumberFormat="1" applyFont="1" applyFill="1" applyBorder="1"/>
    <xf numFmtId="0" fontId="22" fillId="11" borderId="45" xfId="0" applyFont="1" applyFill="1" applyBorder="1"/>
    <xf numFmtId="165" fontId="22" fillId="21" borderId="29" xfId="0" applyNumberFormat="1" applyFont="1" applyFill="1" applyBorder="1"/>
    <xf numFmtId="167" fontId="22" fillId="21" borderId="29" xfId="0" applyNumberFormat="1" applyFont="1" applyFill="1" applyBorder="1"/>
    <xf numFmtId="165" fontId="19" fillId="7" borderId="38" xfId="0" applyNumberFormat="1" applyFont="1" applyFill="1" applyBorder="1"/>
    <xf numFmtId="167" fontId="19" fillId="7" borderId="38" xfId="0" applyNumberFormat="1" applyFont="1" applyFill="1" applyBorder="1"/>
    <xf numFmtId="0" fontId="19" fillId="119" borderId="29" xfId="0" applyFont="1" applyFill="1" applyBorder="1"/>
    <xf numFmtId="0" fontId="19" fillId="119" borderId="30" xfId="0" applyFont="1" applyFill="1" applyBorder="1"/>
    <xf numFmtId="9" fontId="22" fillId="17" borderId="32" xfId="0" applyNumberFormat="1" applyFont="1" applyFill="1" applyBorder="1"/>
    <xf numFmtId="9" fontId="22" fillId="11" borderId="35" xfId="0" applyNumberFormat="1" applyFont="1" applyFill="1" applyBorder="1"/>
    <xf numFmtId="0" fontId="22" fillId="12" borderId="31" xfId="0" applyFont="1" applyFill="1" applyBorder="1"/>
    <xf numFmtId="0" fontId="22" fillId="12" borderId="32" xfId="0" applyFont="1" applyFill="1" applyBorder="1"/>
    <xf numFmtId="10" fontId="22" fillId="12" borderId="32" xfId="0" applyNumberFormat="1" applyFont="1" applyFill="1" applyBorder="1"/>
    <xf numFmtId="164" fontId="22" fillId="12" borderId="32" xfId="0" applyNumberFormat="1" applyFont="1" applyFill="1" applyBorder="1"/>
    <xf numFmtId="9" fontId="22" fillId="12" borderId="32" xfId="0" applyNumberFormat="1" applyFont="1" applyFill="1" applyBorder="1"/>
    <xf numFmtId="9" fontId="22" fillId="17" borderId="35" xfId="0" applyNumberFormat="1" applyFont="1" applyFill="1" applyBorder="1"/>
    <xf numFmtId="0" fontId="22" fillId="78" borderId="32" xfId="0" applyFont="1" applyFill="1" applyBorder="1"/>
    <xf numFmtId="0" fontId="22" fillId="78" borderId="33" xfId="0" applyFont="1" applyFill="1" applyBorder="1"/>
    <xf numFmtId="0" fontId="22" fillId="78" borderId="35" xfId="0" applyFont="1" applyFill="1" applyBorder="1"/>
    <xf numFmtId="0" fontId="22" fillId="78" borderId="36" xfId="0" applyFont="1" applyFill="1" applyBorder="1"/>
    <xf numFmtId="173" fontId="22" fillId="17" borderId="32" xfId="0" applyNumberFormat="1" applyFont="1" applyFill="1" applyBorder="1" applyAlignment="1">
      <alignment horizontal="center"/>
    </xf>
    <xf numFmtId="164" fontId="22" fillId="17" borderId="33" xfId="0" applyNumberFormat="1" applyFont="1" applyFill="1" applyBorder="1" applyAlignment="1">
      <alignment horizontal="center"/>
    </xf>
    <xf numFmtId="173" fontId="22" fillId="26" borderId="32" xfId="0" applyNumberFormat="1" applyFont="1" applyFill="1" applyBorder="1" applyAlignment="1">
      <alignment horizontal="center"/>
    </xf>
    <xf numFmtId="164" fontId="22" fillId="26" borderId="33" xfId="0" applyNumberFormat="1" applyFont="1" applyFill="1" applyBorder="1" applyAlignment="1">
      <alignment horizontal="center"/>
    </xf>
    <xf numFmtId="173" fontId="22" fillId="17" borderId="35" xfId="0" applyNumberFormat="1" applyFont="1" applyFill="1" applyBorder="1" applyAlignment="1">
      <alignment horizontal="center"/>
    </xf>
    <xf numFmtId="164" fontId="22" fillId="17" borderId="36" xfId="0" applyNumberFormat="1" applyFont="1" applyFill="1" applyBorder="1" applyAlignment="1">
      <alignment horizontal="center"/>
    </xf>
    <xf numFmtId="173" fontId="19" fillId="23" borderId="38" xfId="0" applyNumberFormat="1" applyFont="1" applyFill="1" applyBorder="1" applyAlignment="1">
      <alignment horizontal="center"/>
    </xf>
    <xf numFmtId="164" fontId="19" fillId="23" borderId="39" xfId="0" applyNumberFormat="1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173" fontId="22" fillId="26" borderId="35" xfId="0" applyNumberFormat="1" applyFont="1" applyFill="1" applyBorder="1" applyAlignment="1">
      <alignment horizontal="center"/>
    </xf>
    <xf numFmtId="164" fontId="22" fillId="26" borderId="36" xfId="0" applyNumberFormat="1" applyFont="1" applyFill="1" applyBorder="1" applyAlignment="1">
      <alignment horizontal="center"/>
    </xf>
    <xf numFmtId="173" fontId="19" fillId="23" borderId="35" xfId="0" applyNumberFormat="1" applyFont="1" applyFill="1" applyBorder="1" applyAlignment="1">
      <alignment horizontal="center"/>
    </xf>
    <xf numFmtId="164" fontId="19" fillId="23" borderId="36" xfId="0" applyNumberFormat="1" applyFont="1" applyFill="1" applyBorder="1" applyAlignment="1">
      <alignment horizontal="center"/>
    </xf>
    <xf numFmtId="173" fontId="2" fillId="4" borderId="41" xfId="0" applyNumberFormat="1" applyFont="1" applyFill="1" applyBorder="1" applyAlignment="1">
      <alignment horizontal="center"/>
    </xf>
    <xf numFmtId="164" fontId="2" fillId="4" borderId="42" xfId="0" applyNumberFormat="1" applyFont="1" applyFill="1" applyBorder="1" applyAlignment="1">
      <alignment horizontal="center"/>
    </xf>
    <xf numFmtId="173" fontId="22" fillId="26" borderId="44" xfId="0" applyNumberFormat="1" applyFont="1" applyFill="1" applyBorder="1" applyAlignment="1">
      <alignment horizontal="center"/>
    </xf>
    <xf numFmtId="164" fontId="22" fillId="26" borderId="45" xfId="0" applyNumberFormat="1" applyFont="1" applyFill="1" applyBorder="1" applyAlignment="1">
      <alignment horizontal="center"/>
    </xf>
    <xf numFmtId="173" fontId="29" fillId="3" borderId="38" xfId="0" applyNumberFormat="1" applyFont="1" applyFill="1" applyBorder="1" applyAlignment="1">
      <alignment horizontal="center"/>
    </xf>
    <xf numFmtId="164" fontId="29" fillId="3" borderId="39" xfId="0" applyNumberFormat="1" applyFont="1" applyFill="1" applyBorder="1" applyAlignment="1">
      <alignment horizontal="center"/>
    </xf>
    <xf numFmtId="173" fontId="22" fillId="21" borderId="29" xfId="0" applyNumberFormat="1" applyFont="1" applyFill="1" applyBorder="1" applyAlignment="1">
      <alignment horizontal="center"/>
    </xf>
    <xf numFmtId="0" fontId="22" fillId="21" borderId="30" xfId="0" applyFont="1" applyFill="1" applyBorder="1" applyAlignment="1">
      <alignment horizontal="center"/>
    </xf>
    <xf numFmtId="173" fontId="22" fillId="21" borderId="35" xfId="0" applyNumberFormat="1" applyFont="1" applyFill="1" applyBorder="1" applyAlignment="1">
      <alignment horizontal="center"/>
    </xf>
    <xf numFmtId="173" fontId="69" fillId="21" borderId="35" xfId="0" applyNumberFormat="1" applyFont="1" applyFill="1" applyBorder="1" applyAlignment="1">
      <alignment horizontal="center"/>
    </xf>
    <xf numFmtId="0" fontId="22" fillId="21" borderId="36" xfId="0" applyFont="1" applyFill="1" applyBorder="1" applyAlignment="1">
      <alignment horizontal="center"/>
    </xf>
    <xf numFmtId="164" fontId="0" fillId="16" borderId="0" xfId="0" applyNumberFormat="1" applyFill="1" applyAlignment="1">
      <alignment horizontal="right"/>
    </xf>
    <xf numFmtId="174" fontId="0" fillId="16" borderId="0" xfId="0" applyNumberFormat="1" applyFill="1" applyAlignment="1">
      <alignment horizontal="right"/>
    </xf>
    <xf numFmtId="167" fontId="5" fillId="7" borderId="30" xfId="0" applyNumberFormat="1" applyFont="1" applyFill="1" applyBorder="1" applyAlignment="1">
      <alignment horizontal="center"/>
    </xf>
    <xf numFmtId="173" fontId="22" fillId="22" borderId="32" xfId="0" applyNumberFormat="1" applyFont="1" applyFill="1" applyBorder="1" applyAlignment="1">
      <alignment horizontal="center"/>
    </xf>
    <xf numFmtId="164" fontId="22" fillId="22" borderId="33" xfId="0" applyNumberFormat="1" applyFont="1" applyFill="1" applyBorder="1" applyAlignment="1">
      <alignment horizontal="center"/>
    </xf>
    <xf numFmtId="173" fontId="26" fillId="3" borderId="41" xfId="0" applyNumberFormat="1" applyFont="1" applyFill="1" applyBorder="1" applyAlignment="1">
      <alignment horizontal="center"/>
    </xf>
    <xf numFmtId="164" fontId="26" fillId="3" borderId="42" xfId="0" applyNumberFormat="1" applyFont="1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167" fontId="0" fillId="16" borderId="30" xfId="0" applyNumberFormat="1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167" fontId="5" fillId="7" borderId="33" xfId="0" applyNumberFormat="1" applyFont="1" applyFill="1" applyBorder="1" applyAlignment="1">
      <alignment horizontal="center"/>
    </xf>
    <xf numFmtId="167" fontId="22" fillId="17" borderId="33" xfId="0" applyNumberFormat="1" applyFont="1" applyFill="1" applyBorder="1" applyAlignment="1">
      <alignment horizontal="center"/>
    </xf>
    <xf numFmtId="167" fontId="22" fillId="26" borderId="33" xfId="0" applyNumberFormat="1" applyFont="1" applyFill="1" applyBorder="1" applyAlignment="1">
      <alignment horizontal="center"/>
    </xf>
    <xf numFmtId="173" fontId="68" fillId="26" borderId="32" xfId="0" applyNumberFormat="1" applyFont="1" applyFill="1" applyBorder="1" applyAlignment="1">
      <alignment horizontal="center"/>
    </xf>
    <xf numFmtId="167" fontId="22" fillId="17" borderId="36" xfId="0" applyNumberFormat="1" applyFont="1" applyFill="1" applyBorder="1" applyAlignment="1">
      <alignment horizontal="center"/>
    </xf>
    <xf numFmtId="173" fontId="136" fillId="26" borderId="32" xfId="0" applyNumberFormat="1" applyFont="1" applyFill="1" applyBorder="1" applyAlignment="1">
      <alignment horizontal="center"/>
    </xf>
    <xf numFmtId="173" fontId="134" fillId="26" borderId="32" xfId="0" applyNumberFormat="1" applyFont="1" applyFill="1" applyBorder="1" applyAlignment="1">
      <alignment horizontal="center"/>
    </xf>
    <xf numFmtId="173" fontId="136" fillId="17" borderId="32" xfId="0" applyNumberFormat="1" applyFont="1" applyFill="1" applyBorder="1" applyAlignment="1">
      <alignment horizontal="center"/>
    </xf>
    <xf numFmtId="0" fontId="132" fillId="17" borderId="32" xfId="0" applyFont="1" applyFill="1" applyBorder="1" applyAlignment="1">
      <alignment horizontal="center"/>
    </xf>
    <xf numFmtId="173" fontId="15" fillId="23" borderId="38" xfId="0" applyNumberFormat="1" applyFont="1" applyFill="1" applyBorder="1" applyAlignment="1">
      <alignment horizontal="center"/>
    </xf>
    <xf numFmtId="173" fontId="0" fillId="16" borderId="29" xfId="0" applyNumberFormat="1" applyFill="1" applyBorder="1" applyAlignment="1">
      <alignment horizontal="center"/>
    </xf>
    <xf numFmtId="173" fontId="22" fillId="22" borderId="35" xfId="0" applyNumberFormat="1" applyFont="1" applyFill="1" applyBorder="1" applyAlignment="1">
      <alignment horizontal="center"/>
    </xf>
    <xf numFmtId="173" fontId="22" fillId="22" borderId="44" xfId="0" applyNumberFormat="1" applyFont="1" applyFill="1" applyBorder="1" applyAlignment="1">
      <alignment horizontal="center"/>
    </xf>
    <xf numFmtId="173" fontId="30" fillId="3" borderId="38" xfId="0" applyNumberFormat="1" applyFont="1" applyFill="1" applyBorder="1" applyAlignment="1">
      <alignment horizontal="center"/>
    </xf>
    <xf numFmtId="173" fontId="31" fillId="3" borderId="38" xfId="0" applyNumberFormat="1" applyFont="1" applyFill="1" applyBorder="1" applyAlignment="1">
      <alignment horizontal="center"/>
    </xf>
    <xf numFmtId="0" fontId="67" fillId="78" borderId="32" xfId="0" applyFont="1" applyFill="1" applyBorder="1" applyAlignment="1">
      <alignment horizontal="right"/>
    </xf>
    <xf numFmtId="0" fontId="67" fillId="78" borderId="35" xfId="0" applyFont="1" applyFill="1" applyBorder="1" applyAlignment="1">
      <alignment horizontal="right"/>
    </xf>
    <xf numFmtId="0" fontId="67" fillId="78" borderId="0" xfId="0" applyFont="1" applyFill="1" applyAlignment="1">
      <alignment horizontal="right"/>
    </xf>
    <xf numFmtId="0" fontId="67" fillId="51" borderId="0" xfId="0" applyFont="1" applyFill="1" applyAlignment="1">
      <alignment horizontal="right"/>
    </xf>
    <xf numFmtId="0" fontId="67" fillId="16" borderId="0" xfId="0" applyFont="1" applyFill="1" applyAlignment="1">
      <alignment horizontal="right"/>
    </xf>
    <xf numFmtId="9" fontId="67" fillId="16" borderId="0" xfId="0" applyNumberFormat="1" applyFont="1" applyFill="1" applyAlignment="1">
      <alignment horizontal="right"/>
    </xf>
    <xf numFmtId="0" fontId="22" fillId="78" borderId="31" xfId="0" applyFont="1" applyFill="1" applyBorder="1" applyAlignment="1">
      <alignment horizontal="center"/>
    </xf>
    <xf numFmtId="0" fontId="22" fillId="78" borderId="34" xfId="0" applyFont="1" applyFill="1" applyBorder="1" applyAlignment="1">
      <alignment horizontal="center"/>
    </xf>
    <xf numFmtId="0" fontId="22" fillId="78" borderId="0" xfId="0" applyFont="1" applyFill="1" applyAlignment="1">
      <alignment horizontal="center"/>
    </xf>
    <xf numFmtId="0" fontId="22" fillId="51" borderId="0" xfId="0" applyFont="1" applyFill="1" applyAlignment="1">
      <alignment horizontal="center"/>
    </xf>
    <xf numFmtId="0" fontId="22" fillId="16" borderId="0" xfId="0" applyFont="1" applyFill="1" applyAlignment="1">
      <alignment horizontal="center"/>
    </xf>
    <xf numFmtId="173" fontId="22" fillId="11" borderId="32" xfId="0" applyNumberFormat="1" applyFont="1" applyFill="1" applyBorder="1" applyAlignment="1">
      <alignment horizontal="center"/>
    </xf>
    <xf numFmtId="173" fontId="22" fillId="11" borderId="35" xfId="0" applyNumberFormat="1" applyFont="1" applyFill="1" applyBorder="1" applyAlignment="1">
      <alignment horizontal="center"/>
    </xf>
    <xf numFmtId="173" fontId="24" fillId="21" borderId="38" xfId="0" applyNumberFormat="1" applyFont="1" applyFill="1" applyBorder="1" applyAlignment="1">
      <alignment horizontal="center"/>
    </xf>
    <xf numFmtId="173" fontId="19" fillId="6" borderId="29" xfId="0" applyNumberFormat="1" applyFont="1" applyFill="1" applyBorder="1" applyAlignment="1">
      <alignment horizontal="center"/>
    </xf>
    <xf numFmtId="173" fontId="24" fillId="21" borderId="35" xfId="0" applyNumberFormat="1" applyFont="1" applyFill="1" applyBorder="1" applyAlignment="1">
      <alignment horizontal="center"/>
    </xf>
    <xf numFmtId="173" fontId="19" fillId="23" borderId="41" xfId="0" applyNumberFormat="1" applyFont="1" applyFill="1" applyBorder="1" applyAlignment="1">
      <alignment horizontal="center"/>
    </xf>
    <xf numFmtId="164" fontId="22" fillId="11" borderId="32" xfId="0" applyNumberFormat="1" applyFont="1" applyFill="1" applyBorder="1" applyAlignment="1">
      <alignment horizontal="center"/>
    </xf>
    <xf numFmtId="164" fontId="22" fillId="17" borderId="32" xfId="0" applyNumberFormat="1" applyFont="1" applyFill="1" applyBorder="1" applyAlignment="1">
      <alignment horizontal="center"/>
    </xf>
    <xf numFmtId="164" fontId="22" fillId="17" borderId="35" xfId="0" applyNumberFormat="1" applyFont="1" applyFill="1" applyBorder="1" applyAlignment="1">
      <alignment horizontal="center"/>
    </xf>
    <xf numFmtId="164" fontId="24" fillId="21" borderId="38" xfId="0" applyNumberFormat="1" applyFont="1" applyFill="1" applyBorder="1" applyAlignment="1">
      <alignment horizontal="center"/>
    </xf>
    <xf numFmtId="173" fontId="22" fillId="11" borderId="29" xfId="0" applyNumberFormat="1" applyFont="1" applyFill="1" applyBorder="1" applyAlignment="1">
      <alignment horizontal="center"/>
    </xf>
    <xf numFmtId="164" fontId="22" fillId="11" borderId="29" xfId="0" applyNumberFormat="1" applyFont="1" applyFill="1" applyBorder="1" applyAlignment="1">
      <alignment horizontal="center"/>
    </xf>
    <xf numFmtId="164" fontId="22" fillId="11" borderId="35" xfId="0" applyNumberFormat="1" applyFont="1" applyFill="1" applyBorder="1" applyAlignment="1">
      <alignment horizontal="center"/>
    </xf>
    <xf numFmtId="173" fontId="19" fillId="7" borderId="38" xfId="0" applyNumberFormat="1" applyFont="1" applyFill="1" applyBorder="1" applyAlignment="1">
      <alignment horizontal="center"/>
    </xf>
    <xf numFmtId="164" fontId="19" fillId="7" borderId="38" xfId="0" applyNumberFormat="1" applyFont="1" applyFill="1" applyBorder="1" applyAlignment="1">
      <alignment horizontal="center"/>
    </xf>
    <xf numFmtId="173" fontId="22" fillId="11" borderId="0" xfId="0" applyNumberFormat="1" applyFont="1" applyFill="1" applyAlignment="1">
      <alignment horizontal="center"/>
    </xf>
    <xf numFmtId="173" fontId="22" fillId="17" borderId="0" xfId="0" applyNumberFormat="1" applyFont="1" applyFill="1" applyAlignment="1">
      <alignment horizontal="center"/>
    </xf>
    <xf numFmtId="173" fontId="19" fillId="21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173" fontId="22" fillId="22" borderId="0" xfId="0" applyNumberFormat="1" applyFont="1" applyFill="1" applyAlignment="1">
      <alignment horizontal="center"/>
    </xf>
    <xf numFmtId="173" fontId="19" fillId="23" borderId="0" xfId="0" applyNumberFormat="1" applyFont="1" applyFill="1" applyAlignment="1">
      <alignment horizontal="center"/>
    </xf>
    <xf numFmtId="164" fontId="19" fillId="23" borderId="0" xfId="0" applyNumberFormat="1" applyFont="1" applyFill="1" applyAlignment="1">
      <alignment horizontal="center"/>
    </xf>
    <xf numFmtId="173" fontId="0" fillId="20" borderId="0" xfId="0" applyNumberFormat="1" applyFill="1" applyAlignment="1">
      <alignment horizontal="center"/>
    </xf>
    <xf numFmtId="164" fontId="0" fillId="20" borderId="0" xfId="0" applyNumberFormat="1" applyFill="1" applyAlignment="1">
      <alignment horizontal="center"/>
    </xf>
    <xf numFmtId="173" fontId="23" fillId="18" borderId="0" xfId="0" applyNumberFormat="1" applyFont="1" applyFill="1" applyAlignment="1">
      <alignment horizontal="center"/>
    </xf>
    <xf numFmtId="164" fontId="23" fillId="18" borderId="0" xfId="0" applyNumberFormat="1" applyFont="1" applyFill="1" applyAlignment="1">
      <alignment horizontal="center"/>
    </xf>
    <xf numFmtId="173" fontId="19" fillId="2" borderId="29" xfId="0" applyNumberFormat="1" applyFont="1" applyFill="1" applyBorder="1" applyAlignment="1">
      <alignment horizontal="center"/>
    </xf>
    <xf numFmtId="164" fontId="19" fillId="2" borderId="29" xfId="0" applyNumberFormat="1" applyFont="1" applyFill="1" applyBorder="1" applyAlignment="1">
      <alignment horizontal="center"/>
    </xf>
    <xf numFmtId="173" fontId="19" fillId="6" borderId="32" xfId="0" applyNumberFormat="1" applyFont="1" applyFill="1" applyBorder="1" applyAlignment="1">
      <alignment horizontal="center"/>
    </xf>
    <xf numFmtId="164" fontId="19" fillId="6" borderId="32" xfId="0" applyNumberFormat="1" applyFont="1" applyFill="1" applyBorder="1" applyAlignment="1">
      <alignment horizontal="center"/>
    </xf>
    <xf numFmtId="0" fontId="12" fillId="93" borderId="0" xfId="0" applyFont="1" applyFill="1" applyAlignment="1">
      <alignment horizontal="center" vertical="center"/>
    </xf>
    <xf numFmtId="0" fontId="37" fillId="36" borderId="0" xfId="0" applyFont="1" applyFill="1" applyAlignment="1">
      <alignment horizontal="center"/>
    </xf>
    <xf numFmtId="0" fontId="143" fillId="36" borderId="0" xfId="0" applyFont="1" applyFill="1" applyAlignment="1">
      <alignment horizontal="center" vertical="center"/>
    </xf>
    <xf numFmtId="0" fontId="37" fillId="35" borderId="0" xfId="0" applyFont="1" applyFill="1" applyAlignment="1">
      <alignment horizontal="center"/>
    </xf>
    <xf numFmtId="175" fontId="38" fillId="35" borderId="0" xfId="0" applyNumberFormat="1" applyFont="1" applyFill="1" applyAlignment="1">
      <alignment horizontal="center"/>
    </xf>
    <xf numFmtId="0" fontId="143" fillId="35" borderId="0" xfId="0" applyFont="1" applyFill="1" applyAlignment="1">
      <alignment horizontal="center" vertical="center"/>
    </xf>
    <xf numFmtId="0" fontId="37" fillId="37" borderId="0" xfId="0" applyFont="1" applyFill="1" applyAlignment="1">
      <alignment horizontal="center"/>
    </xf>
    <xf numFmtId="164" fontId="38" fillId="37" borderId="0" xfId="0" applyNumberFormat="1" applyFont="1" applyFill="1" applyAlignment="1">
      <alignment horizontal="center"/>
    </xf>
    <xf numFmtId="0" fontId="143" fillId="37" borderId="0" xfId="0" applyFont="1" applyFill="1" applyAlignment="1">
      <alignment horizontal="center" vertical="center"/>
    </xf>
    <xf numFmtId="0" fontId="37" fillId="15" borderId="0" xfId="0" applyFont="1" applyFill="1" applyAlignment="1">
      <alignment horizontal="center"/>
    </xf>
    <xf numFmtId="175" fontId="21" fillId="15" borderId="0" xfId="0" applyNumberFormat="1" applyFont="1" applyFill="1" applyAlignment="1">
      <alignment horizontal="center" vertical="center"/>
    </xf>
    <xf numFmtId="0" fontId="37" fillId="38" borderId="0" xfId="0" applyFont="1" applyFill="1" applyAlignment="1">
      <alignment horizontal="center"/>
    </xf>
    <xf numFmtId="175" fontId="38" fillId="38" borderId="0" xfId="0" applyNumberFormat="1" applyFont="1" applyFill="1" applyAlignment="1">
      <alignment horizontal="center"/>
    </xf>
    <xf numFmtId="0" fontId="39" fillId="38" borderId="0" xfId="0" applyFont="1" applyFill="1" applyAlignment="1">
      <alignment horizontal="center" vertical="center"/>
    </xf>
    <xf numFmtId="0" fontId="37" fillId="30" borderId="0" xfId="0" applyFont="1" applyFill="1" applyAlignment="1">
      <alignment horizontal="center"/>
    </xf>
    <xf numFmtId="175" fontId="21" fillId="30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175" fontId="38" fillId="4" borderId="0" xfId="0" applyNumberFormat="1" applyFont="1" applyFill="1" applyAlignment="1">
      <alignment horizontal="center" vertical="center"/>
    </xf>
    <xf numFmtId="0" fontId="143" fillId="4" borderId="0" xfId="0" applyFont="1" applyFill="1" applyAlignment="1">
      <alignment horizontal="center" vertical="center"/>
    </xf>
    <xf numFmtId="0" fontId="37" fillId="19" borderId="0" xfId="0" applyFont="1" applyFill="1" applyAlignment="1">
      <alignment horizontal="center"/>
    </xf>
    <xf numFmtId="175" fontId="21" fillId="19" borderId="0" xfId="0" applyNumberFormat="1" applyFont="1" applyFill="1" applyAlignment="1">
      <alignment horizontal="center" vertical="center"/>
    </xf>
    <xf numFmtId="0" fontId="144" fillId="3" borderId="0" xfId="0" applyFont="1" applyFill="1"/>
    <xf numFmtId="175" fontId="21" fillId="39" borderId="0" xfId="0" applyNumberFormat="1" applyFont="1" applyFill="1" applyAlignment="1">
      <alignment horizontal="center" vertical="center"/>
    </xf>
    <xf numFmtId="0" fontId="19" fillId="39" borderId="0" xfId="0" applyFont="1" applyFill="1" applyAlignment="1">
      <alignment horizontal="center"/>
    </xf>
    <xf numFmtId="0" fontId="145" fillId="18" borderId="0" xfId="0" applyFont="1" applyFill="1" applyAlignment="1">
      <alignment horizontal="center"/>
    </xf>
    <xf numFmtId="164" fontId="146" fillId="18" borderId="0" xfId="0" applyNumberFormat="1" applyFont="1" applyFill="1" applyAlignment="1">
      <alignment horizontal="center" vertical="center"/>
    </xf>
    <xf numFmtId="0" fontId="1" fillId="5" borderId="0" xfId="0" applyFont="1" applyFill="1"/>
    <xf numFmtId="0" fontId="1" fillId="2" borderId="0" xfId="0" applyFont="1" applyFill="1"/>
    <xf numFmtId="3" fontId="1" fillId="5" borderId="0" xfId="0" applyNumberFormat="1" applyFont="1" applyFill="1"/>
    <xf numFmtId="164" fontId="1" fillId="5" borderId="0" xfId="0" applyNumberFormat="1" applyFont="1" applyFill="1"/>
    <xf numFmtId="3" fontId="1" fillId="2" borderId="0" xfId="0" applyNumberFormat="1" applyFont="1" applyFill="1"/>
    <xf numFmtId="164" fontId="1" fillId="2" borderId="0" xfId="0" applyNumberFormat="1" applyFont="1" applyFill="1"/>
    <xf numFmtId="0" fontId="82" fillId="18" borderId="0" xfId="0" applyFont="1" applyFill="1" applyAlignment="1">
      <alignment horizontal="center" vertical="center"/>
    </xf>
    <xf numFmtId="0" fontId="41" fillId="18" borderId="0" xfId="0" applyFont="1" applyFill="1" applyAlignment="1">
      <alignment horizontal="center"/>
    </xf>
    <xf numFmtId="0" fontId="19" fillId="23" borderId="0" xfId="0" applyFont="1" applyFill="1" applyAlignment="1">
      <alignment horizontal="center" vertical="center"/>
    </xf>
    <xf numFmtId="0" fontId="41" fillId="23" borderId="0" xfId="0" applyFont="1" applyFill="1" applyAlignment="1">
      <alignment horizontal="center"/>
    </xf>
    <xf numFmtId="0" fontId="19" fillId="30" borderId="0" xfId="0" applyFont="1" applyFill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41" fillId="19" borderId="0" xfId="0" applyFont="1" applyFill="1" applyAlignment="1">
      <alignment horizontal="center"/>
    </xf>
    <xf numFmtId="0" fontId="41" fillId="30" borderId="0" xfId="0" applyFont="1" applyFill="1" applyAlignment="1">
      <alignment horizontal="center"/>
    </xf>
    <xf numFmtId="0" fontId="148" fillId="18" borderId="47" xfId="0" applyFont="1" applyFill="1" applyBorder="1" applyAlignment="1">
      <alignment horizontal="center"/>
    </xf>
    <xf numFmtId="0" fontId="148" fillId="18" borderId="27" xfId="0" applyFont="1" applyFill="1" applyBorder="1" applyAlignment="1">
      <alignment horizontal="center"/>
    </xf>
    <xf numFmtId="0" fontId="148" fillId="18" borderId="2" xfId="0" applyFont="1" applyFill="1" applyBorder="1" applyAlignment="1">
      <alignment horizontal="center"/>
    </xf>
    <xf numFmtId="0" fontId="149" fillId="23" borderId="47" xfId="0" applyFont="1" applyFill="1" applyBorder="1" applyAlignment="1">
      <alignment horizontal="center"/>
    </xf>
    <xf numFmtId="0" fontId="149" fillId="23" borderId="27" xfId="0" applyFont="1" applyFill="1" applyBorder="1" applyAlignment="1">
      <alignment horizontal="center"/>
    </xf>
    <xf numFmtId="0" fontId="149" fillId="23" borderId="2" xfId="0" applyFont="1" applyFill="1" applyBorder="1" applyAlignment="1">
      <alignment horizontal="center"/>
    </xf>
    <xf numFmtId="0" fontId="148" fillId="30" borderId="47" xfId="0" applyFont="1" applyFill="1" applyBorder="1" applyAlignment="1">
      <alignment horizontal="center" vertical="center"/>
    </xf>
    <xf numFmtId="0" fontId="148" fillId="30" borderId="27" xfId="0" applyFont="1" applyFill="1" applyBorder="1" applyAlignment="1">
      <alignment horizontal="center" vertical="center"/>
    </xf>
    <xf numFmtId="0" fontId="148" fillId="30" borderId="2" xfId="0" applyFont="1" applyFill="1" applyBorder="1" applyAlignment="1">
      <alignment horizontal="center" vertical="center"/>
    </xf>
    <xf numFmtId="0" fontId="148" fillId="19" borderId="47" xfId="0" applyFont="1" applyFill="1" applyBorder="1" applyAlignment="1">
      <alignment horizontal="center" vertical="center"/>
    </xf>
    <xf numFmtId="0" fontId="148" fillId="19" borderId="27" xfId="0" applyFont="1" applyFill="1" applyBorder="1" applyAlignment="1">
      <alignment horizontal="center" vertical="center"/>
    </xf>
    <xf numFmtId="0" fontId="148" fillId="19" borderId="2" xfId="0" applyFont="1" applyFill="1" applyBorder="1" applyAlignment="1">
      <alignment horizontal="center" vertical="center"/>
    </xf>
    <xf numFmtId="0" fontId="147" fillId="2" borderId="0" xfId="0" applyFont="1" applyFill="1" applyAlignment="1">
      <alignment horizontal="center"/>
    </xf>
    <xf numFmtId="0" fontId="150" fillId="99" borderId="15" xfId="0" applyFont="1" applyFill="1" applyBorder="1" applyAlignment="1">
      <alignment horizontal="center" vertical="center"/>
    </xf>
    <xf numFmtId="0" fontId="150" fillId="99" borderId="0" xfId="0" applyFont="1" applyFill="1" applyAlignment="1">
      <alignment horizontal="center" vertical="center"/>
    </xf>
    <xf numFmtId="0" fontId="151" fillId="94" borderId="15" xfId="0" applyFont="1" applyFill="1" applyBorder="1" applyAlignment="1">
      <alignment horizontal="center" vertical="center"/>
    </xf>
    <xf numFmtId="0" fontId="151" fillId="94" borderId="0" xfId="0" applyFont="1" applyFill="1" applyAlignment="1">
      <alignment horizontal="center" vertical="center"/>
    </xf>
    <xf numFmtId="0" fontId="101" fillId="112" borderId="0" xfId="0" applyFont="1" applyFill="1" applyAlignment="1">
      <alignment horizontal="center" vertical="center"/>
    </xf>
    <xf numFmtId="0" fontId="101" fillId="97" borderId="0" xfId="0" applyFont="1" applyFill="1" applyAlignment="1">
      <alignment horizontal="center"/>
    </xf>
    <xf numFmtId="0" fontId="102" fillId="17" borderId="0" xfId="0" applyFont="1" applyFill="1" applyAlignment="1">
      <alignment horizontal="center"/>
    </xf>
    <xf numFmtId="0" fontId="102" fillId="113" borderId="0" xfId="0" applyFont="1" applyFill="1" applyAlignment="1">
      <alignment horizontal="center"/>
    </xf>
    <xf numFmtId="0" fontId="23" fillId="93" borderId="0" xfId="0" applyFont="1" applyFill="1" applyAlignment="1">
      <alignment horizontal="center" vertical="center"/>
    </xf>
    <xf numFmtId="0" fontId="24" fillId="21" borderId="33" xfId="0" applyFont="1" applyFill="1" applyBorder="1" applyAlignment="1">
      <alignment horizontal="center"/>
    </xf>
    <xf numFmtId="9" fontId="24" fillId="21" borderId="33" xfId="0" applyNumberFormat="1" applyFont="1" applyFill="1" applyBorder="1" applyAlignment="1">
      <alignment horizontal="center"/>
    </xf>
    <xf numFmtId="9" fontId="24" fillId="21" borderId="36" xfId="0" applyNumberFormat="1" applyFont="1" applyFill="1" applyBorder="1" applyAlignment="1">
      <alignment horizontal="center"/>
    </xf>
    <xf numFmtId="10" fontId="24" fillId="21" borderId="33" xfId="0" applyNumberFormat="1" applyFont="1" applyFill="1" applyBorder="1" applyAlignment="1">
      <alignment horizontal="center"/>
    </xf>
    <xf numFmtId="0" fontId="22" fillId="29" borderId="46" xfId="0" applyFont="1" applyFill="1" applyBorder="1"/>
    <xf numFmtId="3" fontId="22" fillId="29" borderId="46" xfId="0" applyNumberFormat="1" applyFont="1" applyFill="1" applyBorder="1" applyAlignment="1">
      <alignment horizontal="center"/>
    </xf>
    <xf numFmtId="164" fontId="22" fillId="29" borderId="46" xfId="0" applyNumberFormat="1" applyFont="1" applyFill="1" applyBorder="1" applyAlignment="1">
      <alignment horizontal="center"/>
    </xf>
    <xf numFmtId="0" fontId="22" fillId="29" borderId="46" xfId="0" applyFont="1" applyFill="1" applyBorder="1" applyAlignment="1">
      <alignment horizontal="center"/>
    </xf>
    <xf numFmtId="0" fontId="23" fillId="19" borderId="0" xfId="0" applyFont="1" applyFill="1" applyAlignment="1">
      <alignment horizontal="left"/>
    </xf>
    <xf numFmtId="175" fontId="38" fillId="36" borderId="0" xfId="0" applyNumberFormat="1" applyFont="1" applyFill="1" applyAlignment="1">
      <alignment horizontal="center"/>
    </xf>
    <xf numFmtId="0" fontId="147" fillId="145" borderId="46" xfId="0" applyFont="1" applyFill="1" applyBorder="1"/>
  </cellXfs>
  <cellStyles count="1">
    <cellStyle name="Normal" xfId="0" builtinId="0"/>
  </cellStyles>
  <dxfs count="56">
    <dxf>
      <font>
        <color rgb="FF375623"/>
      </font>
    </dxf>
    <dxf>
      <font>
        <b/>
        <i val="0"/>
        <color rgb="FF375623"/>
      </font>
    </dxf>
    <dxf>
      <font>
        <b/>
        <i val="0"/>
        <color rgb="FFC0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E8449"/>
      </font>
      <fill>
        <patternFill patternType="solid">
          <fgColor indexed="64"/>
          <bgColor rgb="FFD5F5E3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</dxf>
    <dxf>
      <font>
        <color rgb="FF375623"/>
      </font>
    </dxf>
    <dxf>
      <font>
        <color rgb="FF375623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</dxf>
    <dxf>
      <font>
        <color rgb="FF375623"/>
      </font>
    </dxf>
    <dxf>
      <font>
        <color rgb="FF375623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</dxf>
    <dxf>
      <font>
        <color rgb="FF375623"/>
      </font>
    </dxf>
    <dxf>
      <font>
        <color rgb="FF375623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</dxf>
    <dxf>
      <font>
        <color rgb="FF375623"/>
      </font>
    </dxf>
    <dxf>
      <font>
        <color rgb="FF375623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</dxf>
    <dxf>
      <font>
        <color rgb="FF375623"/>
      </font>
    </dxf>
    <dxf>
      <font>
        <color rgb="FF9C0006"/>
      </font>
    </dxf>
    <dxf>
      <font>
        <color rgb="FF375623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&amp; EBIT par Entité (k€) – Groupe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2.7810799744308057E-2"/>
          <c:y val="0.19418685121107265"/>
          <c:w val="0.96021763272856886"/>
          <c:h val="0.72222252495254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DASHBOARD_FIN!$C$37</c:f>
              <c:strCache>
                <c:ptCount val="1"/>
                <c:pt idx="0">
                  <c:v>CA Groupe (k€)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DASHBOARD_FIN!$B$38:$B$42</c:f>
              <c:strCache>
                <c:ptCount val="5"/>
                <c:pt idx="0">
                  <c:v>FR_ParentCo</c:v>
                </c:pt>
                <c:pt idx="1">
                  <c:v>DE_Filiale</c:v>
                </c:pt>
                <c:pt idx="2">
                  <c:v>UK_Filiale</c:v>
                </c:pt>
                <c:pt idx="3">
                  <c:v>US_Filiale</c:v>
                </c:pt>
                <c:pt idx="4">
                  <c:v>SG_Filiale</c:v>
                </c:pt>
              </c:strCache>
            </c:strRef>
          </c:cat>
          <c:val>
            <c:numRef>
              <c:f>DASHBOARD_FIN!$C$38:$C$42</c:f>
              <c:numCache>
                <c:formatCode>#,##0</c:formatCode>
                <c:ptCount val="5"/>
                <c:pt idx="0">
                  <c:v>285000</c:v>
                </c:pt>
                <c:pt idx="1">
                  <c:v>168000</c:v>
                </c:pt>
                <c:pt idx="2">
                  <c:v>163584</c:v>
                </c:pt>
                <c:pt idx="3">
                  <c:v>180375</c:v>
                </c:pt>
                <c:pt idx="4">
                  <c:v>60016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E-4EF5-85FE-5CF77D47A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778031"/>
        <c:axId val="1605766031"/>
      </c:barChart>
      <c:catAx>
        <c:axId val="160577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5766031"/>
        <c:crosses val="autoZero"/>
        <c:auto val="1"/>
        <c:lblAlgn val="ctr"/>
        <c:lblOffset val="100"/>
        <c:noMultiLvlLbl val="0"/>
      </c:catAx>
      <c:valAx>
        <c:axId val="160576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577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Décomposition Résultat IFRS 18 – 5 Catégories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2B-428B-920F-D030C2822B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2B-428B-920F-D030C2822B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2B-428B-920F-D030C2822B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2B-428B-920F-D030C2822B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2B-428B-920F-D030C2822BAF}"/>
              </c:ext>
            </c:extLst>
          </c:dPt>
          <c:cat>
            <c:strRef>
              <c:f>DASHBOARD_FIN!$G$38:$G$42</c:f>
              <c:strCache>
                <c:ptCount val="5"/>
                <c:pt idx="0">
                  <c:v>Exploitation (EBIT)</c:v>
                </c:pt>
                <c:pt idx="1">
                  <c:v>Investissement</c:v>
                </c:pt>
                <c:pt idx="2">
                  <c:v>Financement</c:v>
                </c:pt>
                <c:pt idx="3">
                  <c:v>Impôts</c:v>
                </c:pt>
                <c:pt idx="4">
                  <c:v>Résultat Net</c:v>
                </c:pt>
              </c:strCache>
            </c:strRef>
          </c:cat>
          <c:val>
            <c:numRef>
              <c:f>DASHBOARD_FIN!$H$38:$H$42</c:f>
              <c:numCache>
                <c:formatCode>#\ ##0;\(#\ ##0\)</c:formatCode>
                <c:ptCount val="5"/>
                <c:pt idx="0">
                  <c:v>153798</c:v>
                </c:pt>
                <c:pt idx="1">
                  <c:v>6521</c:v>
                </c:pt>
                <c:pt idx="2">
                  <c:v>-33718</c:v>
                </c:pt>
                <c:pt idx="3">
                  <c:v>-44491</c:v>
                </c:pt>
                <c:pt idx="4">
                  <c:v>82110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8-4867-8E1F-7B8D49A25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2025 par Entité (k€)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DASHBOARD!$B$28:$B$33</c:f>
              <c:strCache>
                <c:ptCount val="6"/>
                <c:pt idx="0">
                  <c:v>   Impôts différés actifs</c:v>
                </c:pt>
                <c:pt idx="1">
                  <c:v>▶  ACTIFS COURANTS</c:v>
                </c:pt>
                <c:pt idx="2">
                  <c:v>   Stocks &amp; créances</c:v>
                </c:pt>
                <c:pt idx="3">
                  <c:v>   Trésorerie &amp; équiv. (IAS 7)</c:v>
                </c:pt>
                <c:pt idx="4">
                  <c:v>🔷  TOTAL ACTIF</c:v>
                </c:pt>
                <c:pt idx="5">
                  <c:v>▶  CAPITAUX PROPRES CONSOLID.</c:v>
                </c:pt>
              </c:strCache>
            </c:strRef>
          </c:cat>
          <c:val>
            <c:numRef>
              <c:f>DASHBOARD!$C$28:$C$33</c:f>
              <c:numCache>
                <c:formatCode>#,##0</c:formatCode>
                <c:ptCount val="6"/>
                <c:pt idx="0">
                  <c:v>36341</c:v>
                </c:pt>
                <c:pt idx="1">
                  <c:v>624116</c:v>
                </c:pt>
                <c:pt idx="2">
                  <c:v>417748</c:v>
                </c:pt>
                <c:pt idx="3">
                  <c:v>170012</c:v>
                </c:pt>
                <c:pt idx="4">
                  <c:v>1385405</c:v>
                </c:pt>
                <c:pt idx="5">
                  <c:v>259679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D-466C-8053-ECE70821F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2250767"/>
        <c:axId val="1812235407"/>
      </c:barChart>
      <c:catAx>
        <c:axId val="1812250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35407"/>
        <c:crosses val="autoZero"/>
        <c:auto val="1"/>
        <c:lblAlgn val="ctr"/>
        <c:lblOffset val="100"/>
        <c:noMultiLvlLbl val="0"/>
      </c:catAx>
      <c:valAx>
        <c:axId val="181223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50767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IFRS 18 Waterfall — CR Consolidé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DASHBOARD!$B$11:$B$21</c:f>
              <c:strCache>
                <c:ptCount val="11"/>
                <c:pt idx="0">
                  <c:v>CA net IFRS 15</c:v>
                </c:pt>
                <c:pt idx="1">
                  <c:v>Var.stks+Autres prod.</c:v>
                </c:pt>
                <c:pt idx="2">
                  <c:v>Achats &amp; charges ext.</c:v>
                </c:pt>
                <c:pt idx="3">
                  <c:v>Charges de personnel</c:v>
                </c:pt>
                <c:pt idx="4">
                  <c:v>Amort. D&amp;A (IFRS16)</c:v>
                </c:pt>
                <c:pt idx="5">
                  <c:v>EBIT IFRS 18 §65</c:v>
                </c:pt>
                <c:pt idx="6">
                  <c:v>Divid.+Cessions</c:v>
                </c:pt>
                <c:pt idx="7">
                  <c:v>Int.IFRS16+Emprts</c:v>
                </c:pt>
                <c:pt idx="8">
                  <c:v>Profit av.fin.&amp;impôt</c:v>
                </c:pt>
                <c:pt idx="9">
                  <c:v>Impôts (IAS 12)</c:v>
                </c:pt>
                <c:pt idx="10">
                  <c:v>Act.abandonnées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C-42E5-99A6-63EE1AA3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2254127"/>
        <c:axId val="1812240207"/>
      </c:barChart>
      <c:catAx>
        <c:axId val="1812254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40207"/>
        <c:crosses val="autoZero"/>
        <c:auto val="1"/>
        <c:lblAlgn val="ctr"/>
        <c:lblOffset val="100"/>
        <c:noMultiLvlLbl val="0"/>
      </c:catAx>
      <c:valAx>
        <c:axId val="181224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54127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CO₂ par Entité et Scope 2025 (tCO₂eq)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DASHBOARD!$M$25:$M$30</c:f>
              <c:strCache>
                <c:ptCount val="6"/>
                <c:pt idx="0">
                  <c:v>FR_ParentCo</c:v>
                </c:pt>
                <c:pt idx="1">
                  <c:v>DE_Filiale</c:v>
                </c:pt>
                <c:pt idx="2">
                  <c:v>UK_Filiale</c:v>
                </c:pt>
                <c:pt idx="3">
                  <c:v>US_Filiale</c:v>
                </c:pt>
                <c:pt idx="4">
                  <c:v>SG_Filiale</c:v>
                </c:pt>
                <c:pt idx="5">
                  <c:v>TOTAL Scope 1</c:v>
                </c:pt>
              </c:strCache>
            </c:strRef>
          </c:cat>
          <c:val>
            <c:numRef>
              <c:f>DASHBOARD!$N$25:$N$30</c:f>
              <c:numCache>
                <c:formatCode>#,##0</c:formatCode>
                <c:ptCount val="6"/>
                <c:pt idx="0">
                  <c:v>12400</c:v>
                </c:pt>
                <c:pt idx="1">
                  <c:v>29600</c:v>
                </c:pt>
                <c:pt idx="2">
                  <c:v>8200</c:v>
                </c:pt>
                <c:pt idx="3">
                  <c:v>18900</c:v>
                </c:pt>
                <c:pt idx="4">
                  <c:v>5400</c:v>
                </c:pt>
                <c:pt idx="5">
                  <c:v>74500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2-4A58-963B-F1E6E2AC309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DASHBOARD!$M$25:$M$30</c:f>
              <c:strCache>
                <c:ptCount val="6"/>
                <c:pt idx="0">
                  <c:v>FR_ParentCo</c:v>
                </c:pt>
                <c:pt idx="1">
                  <c:v>DE_Filiale</c:v>
                </c:pt>
                <c:pt idx="2">
                  <c:v>UK_Filiale</c:v>
                </c:pt>
                <c:pt idx="3">
                  <c:v>US_Filiale</c:v>
                </c:pt>
                <c:pt idx="4">
                  <c:v>SG_Filiale</c:v>
                </c:pt>
                <c:pt idx="5">
                  <c:v>TOTAL Scope 1</c:v>
                </c:pt>
              </c:strCache>
            </c:strRef>
          </c:cat>
          <c:val>
            <c:numRef>
              <c:f>DASHBOARD!$O$25:$O$30</c:f>
              <c:numCache>
                <c:formatCode>#,##0</c:formatCode>
                <c:ptCount val="6"/>
                <c:pt idx="0">
                  <c:v>8900</c:v>
                </c:pt>
                <c:pt idx="1">
                  <c:v>15600</c:v>
                </c:pt>
                <c:pt idx="2">
                  <c:v>6100</c:v>
                </c:pt>
                <c:pt idx="3">
                  <c:v>14100</c:v>
                </c:pt>
                <c:pt idx="4">
                  <c:v>3800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2-4A58-963B-F1E6E2AC309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DASHBOARD!$M$25:$M$30</c:f>
              <c:strCache>
                <c:ptCount val="6"/>
                <c:pt idx="0">
                  <c:v>FR_ParentCo</c:v>
                </c:pt>
                <c:pt idx="1">
                  <c:v>DE_Filiale</c:v>
                </c:pt>
                <c:pt idx="2">
                  <c:v>UK_Filiale</c:v>
                </c:pt>
                <c:pt idx="3">
                  <c:v>US_Filiale</c:v>
                </c:pt>
                <c:pt idx="4">
                  <c:v>SG_Filiale</c:v>
                </c:pt>
                <c:pt idx="5">
                  <c:v>TOTAL Scope 1</c:v>
                </c:pt>
              </c:strCache>
            </c:strRef>
          </c:cat>
          <c:val>
            <c:numRef>
              <c:f>DASHBOARD!$P$25:$P$30</c:f>
              <c:numCache>
                <c:formatCode>#,##0</c:formatCode>
                <c:ptCount val="6"/>
                <c:pt idx="0">
                  <c:v>85000</c:v>
                </c:pt>
                <c:pt idx="1">
                  <c:v>142000</c:v>
                </c:pt>
                <c:pt idx="2">
                  <c:v>62000</c:v>
                </c:pt>
                <c:pt idx="3">
                  <c:v>195000</c:v>
                </c:pt>
                <c:pt idx="4">
                  <c:v>28000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F2-4A58-963B-F1E6E2AC309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DASHBOARD!$M$25:$M$30</c:f>
              <c:strCache>
                <c:ptCount val="6"/>
                <c:pt idx="0">
                  <c:v>FR_ParentCo</c:v>
                </c:pt>
                <c:pt idx="1">
                  <c:v>DE_Filiale</c:v>
                </c:pt>
                <c:pt idx="2">
                  <c:v>UK_Filiale</c:v>
                </c:pt>
                <c:pt idx="3">
                  <c:v>US_Filiale</c:v>
                </c:pt>
                <c:pt idx="4">
                  <c:v>SG_Filiale</c:v>
                </c:pt>
                <c:pt idx="5">
                  <c:v>TOTAL Scope 1</c:v>
                </c:pt>
              </c:strCache>
            </c:strRef>
          </c:cat>
          <c:val>
            <c:numRef>
              <c:f>DASHBOARD!$Q$25:$Q$30</c:f>
              <c:numCache>
                <c:formatCode>#,##0</c:formatCode>
                <c:ptCount val="6"/>
                <c:pt idx="0">
                  <c:v>106300</c:v>
                </c:pt>
                <c:pt idx="1">
                  <c:v>187200</c:v>
                </c:pt>
                <c:pt idx="2">
                  <c:v>76300</c:v>
                </c:pt>
                <c:pt idx="3">
                  <c:v>228000</c:v>
                </c:pt>
                <c:pt idx="4">
                  <c:v>37200</c:v>
                </c:pt>
                <c:pt idx="5">
                  <c:v>74500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F2-4A58-963B-F1E6E2AC3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226767"/>
        <c:axId val="1812243567"/>
      </c:barChart>
      <c:catAx>
        <c:axId val="181222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43567"/>
        <c:crosses val="autoZero"/>
        <c:auto val="1"/>
        <c:lblAlgn val="ctr"/>
        <c:lblOffset val="100"/>
        <c:noMultiLvlLbl val="0"/>
      </c:catAx>
      <c:valAx>
        <c:axId val="18122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26767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Carbone — Scope 1+2+3 (tCO₂eq)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DASHBOARD!$M$25:$M$34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9-417D-AD38-24B2978E808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DASHBOARD!$N$25:$N$34</c:f>
              <c:numCache>
                <c:formatCode>#,##0</c:formatCode>
                <c:ptCount val="10"/>
                <c:pt idx="0">
                  <c:v>12400</c:v>
                </c:pt>
                <c:pt idx="1">
                  <c:v>29600</c:v>
                </c:pt>
                <c:pt idx="2">
                  <c:v>8200</c:v>
                </c:pt>
                <c:pt idx="3">
                  <c:v>18900</c:v>
                </c:pt>
                <c:pt idx="4">
                  <c:v>5400</c:v>
                </c:pt>
                <c:pt idx="5">
                  <c:v>74500</c:v>
                </c:pt>
                <c:pt idx="6">
                  <c:v>0</c:v>
                </c:pt>
                <c:pt idx="7">
                  <c:v>0</c:v>
                </c:pt>
                <c:pt idx="8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9-417D-AD38-24B2978E8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2251247"/>
        <c:axId val="1812242607"/>
      </c:lineChart>
      <c:catAx>
        <c:axId val="1812251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42607"/>
        <c:crosses val="autoZero"/>
        <c:auto val="1"/>
        <c:lblAlgn val="ctr"/>
        <c:lblOffset val="100"/>
        <c:noMultiLvlLbl val="0"/>
      </c:catAx>
      <c:valAx>
        <c:axId val="18122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51247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Bilan — N vs N-1 (k€)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DASHBOARD!$B$25:$B$40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B-460B-806F-4F3A17316D5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DASHBOARD!$C$25:$C$40</c:f>
              <c:numCache>
                <c:formatCode>#,##0</c:formatCode>
                <c:ptCount val="16"/>
                <c:pt idx="0">
                  <c:v>761289</c:v>
                </c:pt>
                <c:pt idx="1">
                  <c:v>59135</c:v>
                </c:pt>
                <c:pt idx="2">
                  <c:v>551938</c:v>
                </c:pt>
                <c:pt idx="3">
                  <c:v>36341</c:v>
                </c:pt>
                <c:pt idx="4">
                  <c:v>624116</c:v>
                </c:pt>
                <c:pt idx="5">
                  <c:v>417748</c:v>
                </c:pt>
                <c:pt idx="6">
                  <c:v>170012</c:v>
                </c:pt>
                <c:pt idx="7">
                  <c:v>1385405</c:v>
                </c:pt>
                <c:pt idx="8">
                  <c:v>259679</c:v>
                </c:pt>
                <c:pt idx="9">
                  <c:v>198747</c:v>
                </c:pt>
                <c:pt idx="10">
                  <c:v>60932</c:v>
                </c:pt>
                <c:pt idx="11">
                  <c:v>459039</c:v>
                </c:pt>
                <c:pt idx="12">
                  <c:v>365785</c:v>
                </c:pt>
                <c:pt idx="13">
                  <c:v>251736</c:v>
                </c:pt>
                <c:pt idx="14">
                  <c:v>1385405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B-460B-806F-4F3A17316D5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DASHBOARD!$D$25:$D$40</c:f>
              <c:numCache>
                <c:formatCode>#,##0</c:formatCode>
                <c:ptCount val="16"/>
                <c:pt idx="0">
                  <c:v>720000</c:v>
                </c:pt>
                <c:pt idx="1">
                  <c:v>85000</c:v>
                </c:pt>
                <c:pt idx="2">
                  <c:v>515000</c:v>
                </c:pt>
                <c:pt idx="3">
                  <c:v>32000</c:v>
                </c:pt>
                <c:pt idx="4">
                  <c:v>578000</c:v>
                </c:pt>
                <c:pt idx="5">
                  <c:v>388000</c:v>
                </c:pt>
                <c:pt idx="6">
                  <c:v>158000</c:v>
                </c:pt>
                <c:pt idx="7">
                  <c:v>1298000</c:v>
                </c:pt>
                <c:pt idx="8">
                  <c:v>232200</c:v>
                </c:pt>
                <c:pt idx="9">
                  <c:v>190000</c:v>
                </c:pt>
                <c:pt idx="10">
                  <c:v>42200</c:v>
                </c:pt>
                <c:pt idx="11">
                  <c:v>440000</c:v>
                </c:pt>
                <c:pt idx="12">
                  <c:v>350000</c:v>
                </c:pt>
                <c:pt idx="13">
                  <c:v>243000</c:v>
                </c:pt>
                <c:pt idx="14">
                  <c:v>1298000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B-460B-806F-4F3A17316D5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DASHBOARD!$E$25:$E$40</c:f>
              <c:numCache>
                <c:formatCode>#\ ##0;\(#\ ##0\)</c:formatCode>
                <c:ptCount val="16"/>
                <c:pt idx="0">
                  <c:v>41289</c:v>
                </c:pt>
                <c:pt idx="1">
                  <c:v>-25865</c:v>
                </c:pt>
                <c:pt idx="2">
                  <c:v>36938</c:v>
                </c:pt>
                <c:pt idx="3">
                  <c:v>4341</c:v>
                </c:pt>
                <c:pt idx="4">
                  <c:v>46116</c:v>
                </c:pt>
                <c:pt idx="5">
                  <c:v>29748</c:v>
                </c:pt>
                <c:pt idx="6">
                  <c:v>12012</c:v>
                </c:pt>
                <c:pt idx="7">
                  <c:v>87405</c:v>
                </c:pt>
                <c:pt idx="8">
                  <c:v>27479</c:v>
                </c:pt>
                <c:pt idx="9">
                  <c:v>8747</c:v>
                </c:pt>
                <c:pt idx="10">
                  <c:v>18732</c:v>
                </c:pt>
                <c:pt idx="11">
                  <c:v>19039</c:v>
                </c:pt>
                <c:pt idx="12">
                  <c:v>15785</c:v>
                </c:pt>
                <c:pt idx="13">
                  <c:v>8736</c:v>
                </c:pt>
                <c:pt idx="14">
                  <c:v>87405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7B-460B-806F-4F3A17316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2228687"/>
        <c:axId val="1812229167"/>
      </c:barChart>
      <c:catAx>
        <c:axId val="1812228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29167"/>
        <c:crosses val="autoZero"/>
        <c:auto val="1"/>
        <c:lblAlgn val="ctr"/>
        <c:lblOffset val="100"/>
        <c:noMultiLvlLbl val="0"/>
      </c:catAx>
      <c:valAx>
        <c:axId val="1812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228687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74</xdr:row>
      <xdr:rowOff>114300</xdr:rowOff>
    </xdr:from>
    <xdr:to>
      <xdr:col>11</xdr:col>
      <xdr:colOff>114300</xdr:colOff>
      <xdr:row>89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8148EB-7034-1A9E-6B14-E5EEAB15C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15</xdr:col>
      <xdr:colOff>0</xdr:colOff>
      <xdr:row>57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5855F46-9632-0849-D22F-B4E754C4D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114</xdr:row>
      <xdr:rowOff>0</xdr:rowOff>
    </xdr:from>
    <xdr:to>
      <xdr:col>8</xdr:col>
      <xdr:colOff>0</xdr:colOff>
      <xdr:row>130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21EC5F-E4A7-57F5-E3D0-3BC0A301C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114</xdr:row>
      <xdr:rowOff>0</xdr:rowOff>
    </xdr:from>
    <xdr:to>
      <xdr:col>16</xdr:col>
      <xdr:colOff>0</xdr:colOff>
      <xdr:row>130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10550A0-22BF-0F81-E64F-1FEBB1AB4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114</xdr:row>
      <xdr:rowOff>0</xdr:rowOff>
    </xdr:from>
    <xdr:to>
      <xdr:col>24</xdr:col>
      <xdr:colOff>0</xdr:colOff>
      <xdr:row>130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0C472F8-EBAA-0F30-6872-8EB16155C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8</xdr:col>
      <xdr:colOff>0</xdr:colOff>
      <xdr:row>146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9311805-5ED0-FF10-FAA8-80E86AB31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130</xdr:row>
      <xdr:rowOff>0</xdr:rowOff>
    </xdr:from>
    <xdr:to>
      <xdr:col>16</xdr:col>
      <xdr:colOff>0</xdr:colOff>
      <xdr:row>146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36409A0-7714-316C-DC87-840EF0688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do" refreshedDate="46080.882436805558" createdVersion="8" refreshedVersion="8" minRefreshableVersion="3" recordCount="31" xr:uid="{565C095F-E2AF-4A1E-BAF9-98F61301BB5A}">
  <cacheSource type="worksheet">
    <worksheetSource ref="B42:X73" sheet="DASHBOARD"/>
  </cacheSource>
  <cacheFields count="23">
    <cacheField name="Année" numFmtId="0">
      <sharedItems containsSemiMixedTypes="0" containsString="0" containsNumber="1" containsInteger="1" minValue="2024" maxValue="2025"/>
    </cacheField>
    <cacheField name="Scénario" numFmtId="0">
      <sharedItems count="3">
        <s v="Base"/>
        <s v="Bull"/>
        <s v="Bear"/>
      </sharedItems>
    </cacheField>
    <cacheField name="Entité" numFmtId="0">
      <sharedItems count="6">
        <s v="FR_ParentCo"/>
        <s v="DE_Filiale"/>
        <s v="UK_Filiale"/>
        <s v="US_Filiale"/>
        <s v="SG_Filiale"/>
        <s v="ÉLIM_IC"/>
      </sharedItems>
    </cacheField>
    <cacheField name="Devise" numFmtId="0">
      <sharedItems/>
    </cacheField>
    <cacheField name="Taux IAS21" numFmtId="0">
      <sharedItems containsSemiMixedTypes="0" containsString="0" containsNumber="1" minValue="0.68" maxValue="1.1519999999999999"/>
    </cacheField>
    <cacheField name="Poste IFRS 18" numFmtId="0">
      <sharedItems count="12">
        <s v="CA net IFRS 15"/>
        <s v="Achats &amp; charges ext."/>
        <s v="Charges de personnel"/>
        <s v="Amort. D&amp;A (IFRS 16)"/>
        <s v="Dividendes reçus"/>
        <s v="Intérêts emprunts"/>
        <s v="Impôt IS courant"/>
        <s v="Élim. CA interco."/>
        <s v="Élim. Dividendes IC"/>
        <s v="Élim. Achats IC"/>
        <s v="CA net (Scénario Bull)"/>
        <s v="CA net (Scénario Bear)"/>
      </sharedItems>
    </cacheField>
    <cacheField name="Catégorie §65" numFmtId="0">
      <sharedItems count="4">
        <s v="① Exploitation"/>
        <s v="② Investissement"/>
        <s v="③ Financement"/>
        <s v="④ Impôts"/>
      </sharedItems>
    </cacheField>
    <cacheField name="Compte GL" numFmtId="0">
      <sharedItems containsSemiMixedTypes="0" containsString="0" containsNumber="1" containsInteger="1" minValue="6010" maxValue="9200" count="10">
        <n v="7010"/>
        <n v="6010"/>
        <n v="6400"/>
        <n v="6811"/>
        <n v="7610"/>
        <n v="6610"/>
        <n v="6950"/>
        <n v="9100"/>
        <n v="9200"/>
        <n v="9110"/>
      </sharedItems>
    </cacheField>
    <cacheField name="Libellé compte" numFmtId="0">
      <sharedItems/>
    </cacheField>
    <cacheField name="Montant Orig." numFmtId="0">
      <sharedItems containsSemiMixedTypes="0" containsString="0" containsNumber="1" containsInteger="1" minValue="-95000" maxValue="304950"/>
    </cacheField>
    <cacheField name="Montant EUR" numFmtId="0">
      <sharedItems containsSemiMixedTypes="0" containsString="0" containsNumber="1" containsInteger="1" minValue="-95000" maxValue="304950"/>
    </cacheField>
    <cacheField name="Élim. IC" numFmtId="0">
      <sharedItems containsSemiMixedTypes="0" containsString="0" containsNumber="1" containsInteger="1" minValue="-39900" maxValue="28000"/>
    </cacheField>
    <cacheField name="Mont. Consolid." numFmtId="0">
      <sharedItems containsSemiMixedTypes="0" containsString="0" containsNumber="1" containsInteger="1" minValue="-95000" maxValue="304950"/>
    </cacheField>
    <cacheField name="Réf.Écriture" numFmtId="0">
      <sharedItems/>
    </cacheField>
    <cacheField name="Date" numFmtId="0">
      <sharedItems/>
    </cacheField>
    <cacheField name="Note IFRS" numFmtId="0">
      <sharedItems/>
    </cacheField>
    <cacheField name="Scope CO₂" numFmtId="0">
      <sharedItems/>
    </cacheField>
    <cacheField name="tCO₂eq" numFmtId="0">
      <sharedItems containsSemiMixedTypes="0" containsString="0" containsNumber="1" containsInteger="1" minValue="-87750" maxValue="0"/>
    </cacheField>
    <cacheField name="ESRS" numFmtId="0">
      <sharedItems/>
    </cacheField>
    <cacheField name="Bull" numFmtId="0">
      <sharedItems containsString="0" containsBlank="1" containsNumber="1" containsInteger="1" minValue="64217" maxValue="304950"/>
    </cacheField>
    <cacheField name="Bear" numFmtId="0">
      <sharedItems containsString="0" containsBlank="1" containsNumber="1" containsInteger="1" minValue="54014" maxValue="256500"/>
    </cacheField>
    <cacheField name="Auditeur" numFmtId="0">
      <sharedItems/>
    </cacheField>
    <cacheField name="Statu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x v="0"/>
    <x v="0"/>
    <s v="EUR"/>
    <n v="1"/>
    <x v="0"/>
    <x v="0"/>
    <x v="0"/>
    <s v="Ventes produits finis"/>
    <n v="285000"/>
    <n v="285000"/>
    <n v="0"/>
    <n v="285000"/>
    <s v="FR-2025-001"/>
    <s v="31/12/2025"/>
    <s v="IFRS 15"/>
    <s v="—"/>
    <n v="0"/>
    <s v="E1-6"/>
    <n v="304950"/>
    <n v="256500"/>
    <s v="Deloitte"/>
    <s v="✅ Validé"/>
  </r>
  <r>
    <n v="2025"/>
    <x v="0"/>
    <x v="0"/>
    <s v="EUR"/>
    <n v="1"/>
    <x v="1"/>
    <x v="0"/>
    <x v="1"/>
    <s v="Achats matières premières"/>
    <n v="-95000"/>
    <n v="-95000"/>
    <n v="0"/>
    <n v="-95000"/>
    <s v="FR-2025-010"/>
    <s v="31/12/2025"/>
    <s v="IAS 2"/>
    <s v="Scope 3"/>
    <n v="-39900"/>
    <s v="E1-6"/>
    <m/>
    <m/>
    <s v="Deloitte"/>
    <s v="✅ Validé"/>
  </r>
  <r>
    <n v="2025"/>
    <x v="0"/>
    <x v="0"/>
    <s v="EUR"/>
    <n v="1"/>
    <x v="2"/>
    <x v="0"/>
    <x v="2"/>
    <s v="Salaires &amp; charges soc."/>
    <n v="-68000"/>
    <n v="-68000"/>
    <n v="0"/>
    <n v="-68000"/>
    <s v="FR-2025-020"/>
    <s v="31/12/2025"/>
    <s v="IAS 19"/>
    <s v="—"/>
    <n v="0"/>
    <s v="S1-6"/>
    <m/>
    <m/>
    <s v="Deloitte"/>
    <s v="✅ Validé"/>
  </r>
  <r>
    <n v="2025"/>
    <x v="0"/>
    <x v="0"/>
    <s v="EUR"/>
    <n v="1"/>
    <x v="3"/>
    <x v="0"/>
    <x v="3"/>
    <s v="Dotations amortissements"/>
    <n v="-22000"/>
    <n v="-22000"/>
    <n v="0"/>
    <n v="-22000"/>
    <s v="FR-2025-030"/>
    <s v="31/12/2025"/>
    <s v="IAS 16"/>
    <s v="—"/>
    <n v="0"/>
    <s v="—"/>
    <m/>
    <m/>
    <s v="Deloitte"/>
    <s v="✅ Validé"/>
  </r>
  <r>
    <n v="2025"/>
    <x v="0"/>
    <x v="0"/>
    <s v="EUR"/>
    <n v="1"/>
    <x v="4"/>
    <x v="1"/>
    <x v="4"/>
    <s v="Dividendes filiales IC"/>
    <n v="4200"/>
    <n v="4200"/>
    <n v="-4200"/>
    <n v="0"/>
    <s v="FR-2025-040"/>
    <s v="31/12/2025"/>
    <s v="IAS 28"/>
    <s v="—"/>
    <n v="0"/>
    <s v="—"/>
    <m/>
    <m/>
    <s v="Deloitte"/>
    <s v="✅ IC élim."/>
  </r>
  <r>
    <n v="2025"/>
    <x v="0"/>
    <x v="0"/>
    <s v="EUR"/>
    <n v="1"/>
    <x v="5"/>
    <x v="2"/>
    <x v="5"/>
    <s v="Intérêts financiers"/>
    <n v="-8200"/>
    <n v="-8200"/>
    <n v="0"/>
    <n v="-8200"/>
    <s v="FR-2025-050"/>
    <s v="31/12/2025"/>
    <s v="IFRS 9"/>
    <s v="—"/>
    <n v="0"/>
    <s v="—"/>
    <m/>
    <m/>
    <s v="Deloitte"/>
    <s v="✅ Validé"/>
  </r>
  <r>
    <n v="2025"/>
    <x v="0"/>
    <x v="0"/>
    <s v="EUR"/>
    <n v="1"/>
    <x v="6"/>
    <x v="3"/>
    <x v="6"/>
    <s v="IS courant IAS 12"/>
    <n v="-12400"/>
    <n v="-12400"/>
    <n v="0"/>
    <n v="-12400"/>
    <s v="FR-2025-060"/>
    <s v="31/12/2025"/>
    <s v="IAS 12"/>
    <s v="—"/>
    <n v="0"/>
    <s v="—"/>
    <m/>
    <m/>
    <s v="Deloitte"/>
    <s v="✅ Validé"/>
  </r>
  <r>
    <n v="2025"/>
    <x v="0"/>
    <x v="1"/>
    <s v="EUR"/>
    <n v="1"/>
    <x v="0"/>
    <x v="0"/>
    <x v="0"/>
    <s v="Umsatz Produkte"/>
    <n v="168000"/>
    <n v="168000"/>
    <n v="0"/>
    <n v="168000"/>
    <s v="DE-2025-001"/>
    <s v="31/12/2025"/>
    <s v="IFRS 15"/>
    <s v="—"/>
    <n v="0"/>
    <s v="E1-6"/>
    <n v="179760"/>
    <n v="151200"/>
    <s v="PwC"/>
    <s v="✅ Validé"/>
  </r>
  <r>
    <n v="2025"/>
    <x v="0"/>
    <x v="1"/>
    <s v="EUR"/>
    <n v="1"/>
    <x v="1"/>
    <x v="0"/>
    <x v="1"/>
    <s v="Materialeinkauf"/>
    <n v="-82000"/>
    <n v="-82000"/>
    <n v="0"/>
    <n v="-82000"/>
    <s v="DE-2025-010"/>
    <s v="31/12/2025"/>
    <s v="IAS 2"/>
    <s v="Scope 3"/>
    <n v="-47620"/>
    <s v="E1-6"/>
    <m/>
    <m/>
    <s v="PwC"/>
    <s v="✅ Validé"/>
  </r>
  <r>
    <n v="2025"/>
    <x v="0"/>
    <x v="1"/>
    <s v="EUR"/>
    <n v="1"/>
    <x v="2"/>
    <x v="0"/>
    <x v="2"/>
    <s v="Personalkosten"/>
    <n v="-45000"/>
    <n v="-45000"/>
    <n v="0"/>
    <n v="-45000"/>
    <s v="DE-2025-020"/>
    <s v="31/12/2025"/>
    <s v="IAS 19"/>
    <s v="—"/>
    <n v="0"/>
    <s v="S1-6"/>
    <m/>
    <m/>
    <s v="PwC"/>
    <s v="✅ Validé"/>
  </r>
  <r>
    <n v="2025"/>
    <x v="0"/>
    <x v="1"/>
    <s v="EUR"/>
    <n v="1"/>
    <x v="5"/>
    <x v="2"/>
    <x v="5"/>
    <s v="Zinsaufwand"/>
    <n v="-4500"/>
    <n v="-4500"/>
    <n v="0"/>
    <n v="-4500"/>
    <s v="DE-2025-050"/>
    <s v="31/12/2025"/>
    <s v="IFRS 9"/>
    <s v="—"/>
    <n v="0"/>
    <s v="—"/>
    <m/>
    <m/>
    <s v="PwC"/>
    <s v="✅ Validé"/>
  </r>
  <r>
    <n v="2025"/>
    <x v="0"/>
    <x v="2"/>
    <s v="GBP"/>
    <n v="1.1519999999999999"/>
    <x v="0"/>
    <x v="0"/>
    <x v="0"/>
    <s v="Revenue GBP (x1.152)"/>
    <n v="142000"/>
    <n v="163584"/>
    <n v="0"/>
    <n v="163584"/>
    <s v="UK-2025-001"/>
    <s v="31/12/2025"/>
    <s v="IFRS 15/IAS 21"/>
    <s v="—"/>
    <n v="0"/>
    <s v="E1-6"/>
    <n v="174934"/>
    <n v="147226"/>
    <s v="KPMG"/>
    <s v="✅ Validé"/>
  </r>
  <r>
    <n v="2025"/>
    <x v="0"/>
    <x v="2"/>
    <s v="GBP"/>
    <n v="1.1519999999999999"/>
    <x v="1"/>
    <x v="0"/>
    <x v="1"/>
    <s v="Cost of Goods Sold"/>
    <n v="-68000"/>
    <n v="-78336"/>
    <n v="0"/>
    <n v="-78336"/>
    <s v="UK-2025-010"/>
    <s v="31/12/2025"/>
    <s v="IAS 21"/>
    <s v="Scope 3"/>
    <n v="-25233"/>
    <s v="E1-6"/>
    <m/>
    <m/>
    <s v="KPMG"/>
    <s v="✅ Validé"/>
  </r>
  <r>
    <n v="2025"/>
    <x v="0"/>
    <x v="2"/>
    <s v="GBP"/>
    <n v="1.1519999999999999"/>
    <x v="2"/>
    <x v="0"/>
    <x v="2"/>
    <s v="Staff costs GBP"/>
    <n v="-38000"/>
    <n v="-43776"/>
    <n v="0"/>
    <n v="-43776"/>
    <s v="UK-2025-020"/>
    <s v="31/12/2025"/>
    <s v="IAS 19/21"/>
    <s v="—"/>
    <n v="0"/>
    <s v="S1-6"/>
    <m/>
    <m/>
    <s v="KPMG"/>
    <s v="✅ Validé"/>
  </r>
  <r>
    <n v="2025"/>
    <x v="0"/>
    <x v="3"/>
    <s v="USD"/>
    <n v="0.92500000000000004"/>
    <x v="0"/>
    <x v="0"/>
    <x v="0"/>
    <s v="Revenue USD (x0.925)"/>
    <n v="195000"/>
    <n v="180375"/>
    <n v="0"/>
    <n v="180375"/>
    <s v="US-2025-001"/>
    <s v="31/12/2025"/>
    <s v="IFRS 15/IAS 21"/>
    <s v="—"/>
    <n v="0"/>
    <s v="E1-6"/>
    <n v="192701"/>
    <n v="162338"/>
    <s v="EY"/>
    <s v="✅ Validé"/>
  </r>
  <r>
    <n v="2025"/>
    <x v="0"/>
    <x v="3"/>
    <s v="USD"/>
    <n v="0.92500000000000004"/>
    <x v="1"/>
    <x v="0"/>
    <x v="1"/>
    <s v="COGS USD→EUR"/>
    <n v="-92000"/>
    <n v="-85100"/>
    <n v="0"/>
    <n v="-85100"/>
    <s v="US-2025-010"/>
    <s v="31/12/2025"/>
    <s v="IAS 21"/>
    <s v="Scope 3"/>
    <n v="-87750"/>
    <s v="E1-6"/>
    <m/>
    <m/>
    <s v="EY"/>
    <s v="✅ Validé"/>
  </r>
  <r>
    <n v="2025"/>
    <x v="0"/>
    <x v="3"/>
    <s v="USD"/>
    <n v="0.92500000000000004"/>
    <x v="2"/>
    <x v="0"/>
    <x v="2"/>
    <s v="Payroll USD→EUR"/>
    <n v="-52000"/>
    <n v="-48100"/>
    <n v="0"/>
    <n v="-48100"/>
    <s v="US-2025-020"/>
    <s v="31/12/2025"/>
    <s v="IAS 19/21"/>
    <s v="—"/>
    <n v="0"/>
    <s v="S1-6"/>
    <m/>
    <m/>
    <s v="EY"/>
    <s v="✅ Validé"/>
  </r>
  <r>
    <n v="2025"/>
    <x v="0"/>
    <x v="3"/>
    <s v="USD"/>
    <n v="0.92500000000000004"/>
    <x v="5"/>
    <x v="2"/>
    <x v="5"/>
    <s v="Interest expense"/>
    <n v="-7800"/>
    <n v="-7215"/>
    <n v="0"/>
    <n v="-7215"/>
    <s v="US-2025-050"/>
    <s v="31/12/2025"/>
    <s v="IFRS 9/21"/>
    <s v="—"/>
    <n v="0"/>
    <s v="—"/>
    <m/>
    <m/>
    <s v="EY"/>
    <s v="✅ Validé"/>
  </r>
  <r>
    <n v="2025"/>
    <x v="0"/>
    <x v="4"/>
    <s v="SGD"/>
    <n v="0.68200000000000005"/>
    <x v="0"/>
    <x v="0"/>
    <x v="0"/>
    <s v="Revenue SGD (x0.682)"/>
    <n v="88000"/>
    <n v="60016"/>
    <n v="0"/>
    <n v="60016"/>
    <s v="SG-2025-001"/>
    <s v="31/12/2025"/>
    <s v="IFRS 15/IAS 21"/>
    <s v="—"/>
    <n v="0"/>
    <s v="E1-6"/>
    <n v="64217"/>
    <n v="54014"/>
    <s v="Mazars"/>
    <s v="✅ Validé"/>
  </r>
  <r>
    <n v="2025"/>
    <x v="0"/>
    <x v="4"/>
    <s v="SGD"/>
    <n v="0.68200000000000005"/>
    <x v="1"/>
    <x v="0"/>
    <x v="1"/>
    <s v="Cost of sales SGD"/>
    <n v="-38000"/>
    <n v="-25916"/>
    <n v="0"/>
    <n v="-25916"/>
    <s v="SG-2025-010"/>
    <s v="31/12/2025"/>
    <s v="IAS 21"/>
    <s v="Scope 3"/>
    <n v="-19096"/>
    <s v="E1-6"/>
    <m/>
    <m/>
    <s v="Mazars"/>
    <s v="✅ Validé"/>
  </r>
  <r>
    <n v="2025"/>
    <x v="0"/>
    <x v="4"/>
    <s v="SGD"/>
    <n v="0.68200000000000005"/>
    <x v="2"/>
    <x v="0"/>
    <x v="2"/>
    <s v="Staff costs SGD"/>
    <n v="-22000"/>
    <n v="-15004"/>
    <n v="0"/>
    <n v="-15004"/>
    <s v="SG-2025-020"/>
    <s v="31/12/2025"/>
    <s v="IAS 19/21"/>
    <s v="—"/>
    <n v="0"/>
    <s v="S1-6"/>
    <m/>
    <m/>
    <s v="Mazars"/>
    <s v="✅ Validé"/>
  </r>
  <r>
    <n v="2025"/>
    <x v="0"/>
    <x v="5"/>
    <s v="EUR"/>
    <n v="1"/>
    <x v="7"/>
    <x v="0"/>
    <x v="7"/>
    <s v="Élim.ventes interco."/>
    <n v="0"/>
    <n v="0"/>
    <n v="-39900"/>
    <n v="-39900"/>
    <s v="ELIM-2025-001"/>
    <s v="31/12/2025"/>
    <s v="IFRS 10"/>
    <s v="—"/>
    <n v="0"/>
    <s v="—"/>
    <m/>
    <m/>
    <s v="CAC Groupe"/>
    <s v="✅ Éliminé"/>
  </r>
  <r>
    <n v="2025"/>
    <x v="0"/>
    <x v="5"/>
    <s v="EUR"/>
    <n v="1"/>
    <x v="8"/>
    <x v="1"/>
    <x v="8"/>
    <s v="Élim.dividendes IC"/>
    <n v="0"/>
    <n v="0"/>
    <n v="-4200"/>
    <n v="-4200"/>
    <s v="ELIM-2025-002"/>
    <s v="31/12/2025"/>
    <s v="IFRS 10"/>
    <s v="—"/>
    <n v="0"/>
    <s v="—"/>
    <m/>
    <m/>
    <s v="CAC Groupe"/>
    <s v="✅ Éliminé"/>
  </r>
  <r>
    <n v="2025"/>
    <x v="0"/>
    <x v="5"/>
    <s v="EUR"/>
    <n v="1"/>
    <x v="9"/>
    <x v="0"/>
    <x v="9"/>
    <s v="Élim.achats IC"/>
    <n v="0"/>
    <n v="0"/>
    <n v="28000"/>
    <n v="28000"/>
    <s v="ELIM-2025-003"/>
    <s v="31/12/2025"/>
    <s v="IFRS 10"/>
    <s v="—"/>
    <n v="0"/>
    <s v="—"/>
    <m/>
    <m/>
    <s v="CAC Groupe"/>
    <s v="✅ Éliminé"/>
  </r>
  <r>
    <n v="2025"/>
    <x v="1"/>
    <x v="0"/>
    <s v="EUR"/>
    <n v="1"/>
    <x v="10"/>
    <x v="0"/>
    <x v="0"/>
    <s v="Ventes +7% scénario Bull"/>
    <n v="304950"/>
    <n v="304950"/>
    <n v="0"/>
    <n v="304950"/>
    <s v="FR-BULL-001"/>
    <s v="31/12/2025"/>
    <s v="IFRS 15"/>
    <s v="—"/>
    <n v="0"/>
    <s v="E1-6"/>
    <n v="304950"/>
    <n v="256500"/>
    <s v="Deloitte"/>
    <s v="📋 Projection"/>
  </r>
  <r>
    <n v="2025"/>
    <x v="2"/>
    <x v="0"/>
    <s v="EUR"/>
    <n v="1"/>
    <x v="11"/>
    <x v="0"/>
    <x v="0"/>
    <s v="Ventes -10% scénario Bear"/>
    <n v="256500"/>
    <n v="256500"/>
    <n v="0"/>
    <n v="256500"/>
    <s v="FR-BEAR-001"/>
    <s v="31/12/2025"/>
    <s v="IFRS 15"/>
    <s v="—"/>
    <n v="0"/>
    <s v="E1-6"/>
    <n v="304950"/>
    <n v="256500"/>
    <s v="Deloitte"/>
    <s v="📋 Projection"/>
  </r>
  <r>
    <n v="2024"/>
    <x v="0"/>
    <x v="0"/>
    <s v="EUR"/>
    <n v="1"/>
    <x v="0"/>
    <x v="0"/>
    <x v="0"/>
    <s v="Ventes produits finis N-1"/>
    <n v="270000"/>
    <n v="270000"/>
    <n v="0"/>
    <n v="270000"/>
    <s v="FR-2024-001"/>
    <s v="31/12/2024"/>
    <s v="IFRS 15"/>
    <s v="—"/>
    <n v="0"/>
    <s v="E1-6"/>
    <m/>
    <m/>
    <s v="Deloitte"/>
    <s v="✅ Archivé"/>
  </r>
  <r>
    <n v="2024"/>
    <x v="0"/>
    <x v="1"/>
    <s v="EUR"/>
    <n v="1"/>
    <x v="0"/>
    <x v="0"/>
    <x v="0"/>
    <s v="Umsatz Produkte N-1"/>
    <n v="158000"/>
    <n v="158000"/>
    <n v="0"/>
    <n v="158000"/>
    <s v="DE-2024-001"/>
    <s v="31/12/2024"/>
    <s v="IFRS 15"/>
    <s v="—"/>
    <n v="0"/>
    <s v="E1-6"/>
    <m/>
    <m/>
    <s v="PwC"/>
    <s v="✅ Archivé"/>
  </r>
  <r>
    <n v="2024"/>
    <x v="0"/>
    <x v="2"/>
    <s v="GBP"/>
    <n v="1.1479999999999999"/>
    <x v="0"/>
    <x v="0"/>
    <x v="0"/>
    <s v="Revenue GBP (x1.148)"/>
    <n v="131500"/>
    <n v="151000"/>
    <n v="0"/>
    <n v="151000"/>
    <s v="UK-2024-001"/>
    <s v="31/12/2024"/>
    <s v="IFRS 15/IAS 21"/>
    <s v="—"/>
    <n v="0"/>
    <s v="E1-6"/>
    <m/>
    <m/>
    <s v="KPMG"/>
    <s v="✅ Archivé"/>
  </r>
  <r>
    <n v="2024"/>
    <x v="0"/>
    <x v="3"/>
    <s v="USD"/>
    <n v="0.93"/>
    <x v="0"/>
    <x v="0"/>
    <x v="0"/>
    <s v="Revenue USD (x0.930)"/>
    <n v="181000"/>
    <n v="168330"/>
    <n v="0"/>
    <n v="168330"/>
    <s v="US-2024-001"/>
    <s v="31/12/2024"/>
    <s v="IFRS 15/IAS 21"/>
    <s v="—"/>
    <n v="0"/>
    <s v="E1-6"/>
    <m/>
    <m/>
    <s v="EY"/>
    <s v="✅ Archivé"/>
  </r>
  <r>
    <n v="2024"/>
    <x v="0"/>
    <x v="4"/>
    <s v="SGD"/>
    <n v="0.68"/>
    <x v="0"/>
    <x v="0"/>
    <x v="0"/>
    <s v="Revenue SGD N-1"/>
    <n v="85000"/>
    <n v="57800"/>
    <n v="0"/>
    <n v="57800"/>
    <s v="SG-2024-001"/>
    <s v="31/12/2024"/>
    <s v="IFRS 15/IAS 21"/>
    <s v="—"/>
    <n v="0"/>
    <s v="E1-6"/>
    <m/>
    <m/>
    <s v="Mazars"/>
    <s v="✅ Archivé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FA21F-E7C5-4B64-8DCC-E41AEEE83562}" name="TCD_DRILL_DOWN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148:J221" firstHeaderRow="1" firstDataRow="3" firstDataCol="1"/>
  <pivotFields count="23"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7">
        <item x="1"/>
        <item x="5"/>
        <item x="0"/>
        <item x="4"/>
        <item x="2"/>
        <item x="3"/>
        <item t="default"/>
      </items>
    </pivotField>
    <pivotField showAll="0"/>
    <pivotField showAll="0"/>
    <pivotField axis="axisRow" showAll="0">
      <items count="13">
        <item x="1"/>
        <item x="3"/>
        <item x="11"/>
        <item x="10"/>
        <item x="0"/>
        <item x="2"/>
        <item x="4"/>
        <item x="9"/>
        <item x="7"/>
        <item x="8"/>
        <item x="6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1">
        <item x="1"/>
        <item x="2"/>
        <item x="5"/>
        <item x="3"/>
        <item x="6"/>
        <item x="0"/>
        <item x="4"/>
        <item x="7"/>
        <item x="9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4">
    <field x="2"/>
    <field x="6"/>
    <field x="5"/>
    <field x="7"/>
  </rowFields>
  <rowItems count="71">
    <i>
      <x/>
    </i>
    <i r="1">
      <x/>
    </i>
    <i r="2">
      <x/>
    </i>
    <i r="3">
      <x/>
    </i>
    <i r="2">
      <x v="4"/>
    </i>
    <i r="3">
      <x v="5"/>
    </i>
    <i r="2">
      <x v="5"/>
    </i>
    <i r="3">
      <x v="1"/>
    </i>
    <i r="1">
      <x v="2"/>
    </i>
    <i r="2">
      <x v="11"/>
    </i>
    <i r="3">
      <x v="2"/>
    </i>
    <i>
      <x v="1"/>
    </i>
    <i r="1">
      <x/>
    </i>
    <i r="2">
      <x v="7"/>
    </i>
    <i r="3">
      <x v="8"/>
    </i>
    <i r="2">
      <x v="8"/>
    </i>
    <i r="3">
      <x v="7"/>
    </i>
    <i r="1">
      <x v="1"/>
    </i>
    <i r="2">
      <x v="9"/>
    </i>
    <i r="3">
      <x v="9"/>
    </i>
    <i>
      <x v="2"/>
    </i>
    <i r="1">
      <x/>
    </i>
    <i r="2">
      <x/>
    </i>
    <i r="3">
      <x/>
    </i>
    <i r="2">
      <x v="1"/>
    </i>
    <i r="3">
      <x v="3"/>
    </i>
    <i r="2">
      <x v="2"/>
    </i>
    <i r="3">
      <x v="5"/>
    </i>
    <i r="2">
      <x v="3"/>
    </i>
    <i r="3">
      <x v="5"/>
    </i>
    <i r="2">
      <x v="4"/>
    </i>
    <i r="3">
      <x v="5"/>
    </i>
    <i r="2">
      <x v="5"/>
    </i>
    <i r="3">
      <x v="1"/>
    </i>
    <i r="1">
      <x v="1"/>
    </i>
    <i r="2">
      <x v="6"/>
    </i>
    <i r="3">
      <x v="6"/>
    </i>
    <i r="1">
      <x v="2"/>
    </i>
    <i r="2">
      <x v="11"/>
    </i>
    <i r="3">
      <x v="2"/>
    </i>
    <i r="1">
      <x v="3"/>
    </i>
    <i r="2">
      <x v="10"/>
    </i>
    <i r="3">
      <x v="4"/>
    </i>
    <i>
      <x v="3"/>
    </i>
    <i r="1">
      <x/>
    </i>
    <i r="2">
      <x/>
    </i>
    <i r="3">
      <x/>
    </i>
    <i r="2">
      <x v="4"/>
    </i>
    <i r="3">
      <x v="5"/>
    </i>
    <i r="2">
      <x v="5"/>
    </i>
    <i r="3">
      <x v="1"/>
    </i>
    <i>
      <x v="4"/>
    </i>
    <i r="1">
      <x/>
    </i>
    <i r="2">
      <x/>
    </i>
    <i r="3">
      <x/>
    </i>
    <i r="2">
      <x v="4"/>
    </i>
    <i r="3">
      <x v="5"/>
    </i>
    <i r="2">
      <x v="5"/>
    </i>
    <i r="3">
      <x v="1"/>
    </i>
    <i>
      <x v="5"/>
    </i>
    <i r="1">
      <x/>
    </i>
    <i r="2">
      <x/>
    </i>
    <i r="3">
      <x/>
    </i>
    <i r="2">
      <x v="4"/>
    </i>
    <i r="3">
      <x v="5"/>
    </i>
    <i r="2">
      <x v="5"/>
    </i>
    <i r="3">
      <x v="1"/>
    </i>
    <i r="1">
      <x v="2"/>
    </i>
    <i r="2">
      <x v="11"/>
    </i>
    <i r="3">
      <x v="2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omme de Montant EUR" fld="10" baseField="0" baseItem="0"/>
    <dataField name="Somme de tCO₂eq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76BD5-1511-41F7-B2E1-8A75BCD61E0D}" name="TCD_ECRITURES" displayName="TCD_ECRITURES" ref="B42:X74" totalsRowShown="0" headerRowDxfId="55">
  <autoFilter ref="B42:X74" xr:uid="{C8676BD5-1511-41F7-B2E1-8A75BCD61E0D}"/>
  <tableColumns count="23">
    <tableColumn id="1" xr3:uid="{5279FB22-A3A8-4793-A22B-A594A9E663B8}" name="Année"/>
    <tableColumn id="2" xr3:uid="{A3CF2818-8813-46FC-9CC5-3FAA75D36050}" name="Scénario"/>
    <tableColumn id="3" xr3:uid="{42000B48-C18B-4CC0-BF33-11A9EAA2CDE5}" name="Entité"/>
    <tableColumn id="4" xr3:uid="{D7F74DA2-87D1-4403-85C1-7A74AEA868A0}" name="Devise"/>
    <tableColumn id="5" xr3:uid="{70B83AF6-BCE7-4F1C-AA9A-28775AEFD9D0}" name="Taux IAS21"/>
    <tableColumn id="6" xr3:uid="{6E41064C-2AA3-4AD2-AD80-B1AF942FCBB7}" name="Poste IFRS 18"/>
    <tableColumn id="7" xr3:uid="{B177D155-70F9-4769-8DCF-2984B460964C}" name="Catégorie §65"/>
    <tableColumn id="8" xr3:uid="{8EBC9611-654E-4032-A0FB-5AFCA6258400}" name="Compte GL"/>
    <tableColumn id="9" xr3:uid="{E2A5B6F4-DE2E-4A16-BC2C-CFA5B5AF2F70}" name="Libellé compte"/>
    <tableColumn id="10" xr3:uid="{56F27A49-5D7D-43A5-BD40-F0F4E571C01A}" name="Montant Orig." dataDxfId="54"/>
    <tableColumn id="11" xr3:uid="{7FBB2DF6-50D0-476A-B23C-E4153D7BF5E2}" name="Montant EUR" dataDxfId="53"/>
    <tableColumn id="12" xr3:uid="{B9FAC05C-58FB-4DB5-BAEE-AF6CD117CF95}" name="Élim. IC"/>
    <tableColumn id="13" xr3:uid="{6E456D52-A697-467B-A612-4492D306A2DE}" name="Mont. Consolid." dataDxfId="52"/>
    <tableColumn id="14" xr3:uid="{0EECDBBA-D8C1-4145-BAC7-649A2816A7BD}" name="Réf.Écriture"/>
    <tableColumn id="15" xr3:uid="{21927D51-72AA-4EB9-AE33-91FB4AF3A45A}" name="Date"/>
    <tableColumn id="16" xr3:uid="{F910EDE0-AA77-4E4A-8F9F-4A4D9F40906D}" name="Note IFRS"/>
    <tableColumn id="17" xr3:uid="{13804407-BF8F-4315-BBE0-8CDC275DF538}" name="Scope CO₂"/>
    <tableColumn id="18" xr3:uid="{FF882759-F11F-4BB6-A59E-C64175EEF904}" name="tCO₂eq"/>
    <tableColumn id="19" xr3:uid="{591B1349-7063-44D5-806A-6FC22C467B18}" name="ESRS"/>
    <tableColumn id="20" xr3:uid="{B6DF7329-CDBD-4B10-AE50-ADEE44B49D0F}" name="Bull"/>
    <tableColumn id="21" xr3:uid="{D1E03BBB-39C8-4840-BD6C-3729262BA9C9}" name="Bear"/>
    <tableColumn id="22" xr3:uid="{A80A51FF-A474-441A-95ED-CDEE38C81090}" name="Auditeur"/>
    <tableColumn id="23" xr3:uid="{198A98C8-B876-4D95-A7F9-D3D01698BBC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EBF898-16C6-49DB-B2A8-7ADE447808EC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1BB7-6725-4D81-8647-A7E2907D271A}">
  <sheetPr>
    <tabColor rgb="FF2C3E50"/>
  </sheetPr>
  <dimension ref="A1:P73"/>
  <sheetViews>
    <sheetView showGridLines="0" topLeftCell="A41" workbookViewId="0">
      <selection activeCell="E58" sqref="E58"/>
    </sheetView>
  </sheetViews>
  <sheetFormatPr baseColWidth="10" defaultRowHeight="15" x14ac:dyDescent="0.25"/>
  <cols>
    <col min="1" max="1" width="73" customWidth="1"/>
    <col min="2" max="2" width="24.28515625" bestFit="1" customWidth="1"/>
    <col min="3" max="3" width="19" customWidth="1"/>
    <col min="4" max="4" width="53.28515625" customWidth="1"/>
    <col min="5" max="5" width="15.28515625" customWidth="1"/>
    <col min="6" max="6" width="57" bestFit="1" customWidth="1"/>
    <col min="7" max="7" width="23" bestFit="1" customWidth="1"/>
    <col min="8" max="8" width="24.7109375" bestFit="1" customWidth="1"/>
    <col min="9" max="9" width="3.85546875" customWidth="1"/>
  </cols>
  <sheetData>
    <row r="1" spans="1:16" x14ac:dyDescent="0.25">
      <c r="A1" s="902" t="s">
        <v>3842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0" customHeight="1" x14ac:dyDescent="0.25">
      <c r="A2" s="902"/>
      <c r="B2" s="486" t="s">
        <v>0</v>
      </c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1"/>
    </row>
    <row r="3" spans="1:16" ht="30" customHeight="1" x14ac:dyDescent="0.25">
      <c r="A3" s="902"/>
      <c r="B3" s="486"/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  <c r="N3" s="486"/>
      <c r="O3" s="486"/>
      <c r="P3" s="1"/>
    </row>
    <row r="4" spans="1:16" ht="30" customHeight="1" x14ac:dyDescent="0.25">
      <c r="A4" s="902"/>
      <c r="B4" s="486"/>
      <c r="C4" s="486"/>
      <c r="D4" s="486"/>
      <c r="E4" s="486"/>
      <c r="F4" s="486"/>
      <c r="G4" s="486"/>
      <c r="H4" s="486"/>
      <c r="I4" s="486"/>
      <c r="J4" s="486"/>
      <c r="K4" s="486"/>
      <c r="L4" s="486"/>
      <c r="M4" s="486"/>
      <c r="N4" s="486"/>
      <c r="O4" s="486"/>
      <c r="P4" s="1"/>
    </row>
    <row r="5" spans="1:16" x14ac:dyDescent="0.25">
      <c r="A5" s="902"/>
      <c r="B5" s="487" t="s">
        <v>1</v>
      </c>
      <c r="C5" s="487"/>
      <c r="D5" s="487"/>
      <c r="E5" s="487"/>
      <c r="F5" s="487"/>
      <c r="G5" s="487"/>
      <c r="H5" s="487"/>
      <c r="I5" s="487"/>
      <c r="J5" s="487"/>
      <c r="K5" s="487"/>
      <c r="L5" s="487"/>
      <c r="M5" s="487"/>
      <c r="N5" s="487"/>
      <c r="O5" s="487"/>
      <c r="P5" s="1"/>
    </row>
    <row r="6" spans="1:16" x14ac:dyDescent="0.25">
      <c r="A6" s="90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902"/>
      <c r="B7" s="488" t="s">
        <v>2</v>
      </c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1"/>
    </row>
    <row r="8" spans="1:16" x14ac:dyDescent="0.25">
      <c r="A8" s="902"/>
      <c r="B8" s="2" t="s">
        <v>3</v>
      </c>
      <c r="C8" s="1"/>
      <c r="D8" s="1"/>
      <c r="E8" s="3" t="s">
        <v>4</v>
      </c>
      <c r="F8" s="1"/>
      <c r="G8" s="1"/>
      <c r="H8" s="4" t="s">
        <v>5</v>
      </c>
      <c r="I8" s="1"/>
      <c r="J8" s="1"/>
      <c r="K8" s="5" t="s">
        <v>6</v>
      </c>
      <c r="L8" s="1"/>
      <c r="M8" s="1"/>
      <c r="N8" s="1"/>
      <c r="O8" s="1"/>
      <c r="P8" s="1"/>
    </row>
    <row r="9" spans="1:16" x14ac:dyDescent="0.25">
      <c r="A9" s="902"/>
      <c r="B9" s="6" t="s">
        <v>7</v>
      </c>
      <c r="C9" s="1"/>
      <c r="D9" s="1"/>
      <c r="E9" s="6" t="s">
        <v>8</v>
      </c>
      <c r="F9" s="1"/>
      <c r="G9" s="1"/>
      <c r="H9" s="6" t="s">
        <v>9</v>
      </c>
      <c r="I9" s="1"/>
      <c r="J9" s="1"/>
      <c r="K9" s="6" t="s">
        <v>10</v>
      </c>
      <c r="L9" s="1"/>
      <c r="M9" s="1"/>
      <c r="N9" s="1"/>
      <c r="O9" s="1"/>
      <c r="P9" s="1"/>
    </row>
    <row r="10" spans="1:16" x14ac:dyDescent="0.25">
      <c r="A10" s="90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7.25" x14ac:dyDescent="0.3">
      <c r="A11" s="902"/>
      <c r="B11" s="489" t="s">
        <v>11</v>
      </c>
      <c r="C11" s="489"/>
      <c r="D11" s="489"/>
      <c r="E11" s="489"/>
      <c r="F11" s="489"/>
      <c r="G11" s="489"/>
      <c r="H11" s="489"/>
      <c r="I11" s="489"/>
      <c r="J11" s="489"/>
      <c r="K11" s="489"/>
      <c r="L11" s="489"/>
      <c r="M11" s="489"/>
      <c r="N11" s="489"/>
      <c r="O11" s="489"/>
      <c r="P11" s="1"/>
    </row>
    <row r="12" spans="1:16" ht="21.95" customHeight="1" x14ac:dyDescent="0.25">
      <c r="A12" s="902"/>
      <c r="B12" s="7" t="s">
        <v>12</v>
      </c>
      <c r="C12" s="7" t="s">
        <v>13</v>
      </c>
      <c r="D12" s="7" t="s">
        <v>14</v>
      </c>
      <c r="E12" s="7" t="s">
        <v>15</v>
      </c>
      <c r="F12" s="7" t="s">
        <v>16</v>
      </c>
      <c r="G12" s="7" t="s">
        <v>17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902"/>
      <c r="B13" s="8">
        <v>1</v>
      </c>
      <c r="C13" s="8" t="s">
        <v>18</v>
      </c>
      <c r="D13" s="8" t="s">
        <v>19</v>
      </c>
      <c r="E13" s="8" t="s">
        <v>20</v>
      </c>
      <c r="F13" s="8" t="s">
        <v>21</v>
      </c>
      <c r="G13" s="8" t="s">
        <v>22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902"/>
      <c r="B14" s="8">
        <v>2</v>
      </c>
      <c r="C14" s="8" t="s">
        <v>23</v>
      </c>
      <c r="D14" s="8" t="s">
        <v>19</v>
      </c>
      <c r="E14" s="8" t="s">
        <v>20</v>
      </c>
      <c r="F14" s="8" t="s">
        <v>24</v>
      </c>
      <c r="G14" s="8" t="s">
        <v>25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902"/>
      <c r="B15" s="9">
        <v>3</v>
      </c>
      <c r="C15" s="9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ht="26.1" customHeight="1" x14ac:dyDescent="0.25">
      <c r="A16" s="902"/>
      <c r="B16" s="9">
        <v>4</v>
      </c>
      <c r="C16" s="9" t="s">
        <v>31</v>
      </c>
      <c r="D16" s="9" t="s">
        <v>27</v>
      </c>
      <c r="E16" s="9" t="s">
        <v>28</v>
      </c>
      <c r="F16" s="9" t="s">
        <v>32</v>
      </c>
      <c r="G16" s="9" t="s">
        <v>30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309" t="s">
        <v>3843</v>
      </c>
      <c r="B17" s="321" t="s">
        <v>13</v>
      </c>
      <c r="C17" s="321" t="s">
        <v>268</v>
      </c>
      <c r="D17" s="321" t="s">
        <v>16</v>
      </c>
      <c r="E17" s="321" t="s">
        <v>378</v>
      </c>
      <c r="F17" s="9" t="s">
        <v>34</v>
      </c>
      <c r="G17" s="9" t="s">
        <v>30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365">
        <v>1</v>
      </c>
      <c r="B18" s="366" t="s">
        <v>18</v>
      </c>
      <c r="C18" s="366" t="s">
        <v>19</v>
      </c>
      <c r="D18" s="366" t="s">
        <v>3844</v>
      </c>
      <c r="E18" s="366" t="s">
        <v>3845</v>
      </c>
      <c r="F18" s="9" t="s">
        <v>36</v>
      </c>
      <c r="G18" s="9" t="s">
        <v>30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63">
        <v>2</v>
      </c>
      <c r="B19" s="367" t="s">
        <v>23</v>
      </c>
      <c r="C19" s="367" t="s">
        <v>3846</v>
      </c>
      <c r="D19" s="367" t="s">
        <v>3847</v>
      </c>
      <c r="E19" s="367" t="s">
        <v>3845</v>
      </c>
      <c r="F19" s="9" t="s">
        <v>38</v>
      </c>
      <c r="G19" s="9" t="s">
        <v>30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349">
        <v>3</v>
      </c>
      <c r="B20" s="368" t="s">
        <v>3848</v>
      </c>
      <c r="C20" s="368" t="s">
        <v>3846</v>
      </c>
      <c r="D20" s="368" t="s">
        <v>3849</v>
      </c>
      <c r="E20" s="369" t="s">
        <v>3850</v>
      </c>
      <c r="F20" s="10" t="s">
        <v>41</v>
      </c>
      <c r="G20" s="10" t="s">
        <v>42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63">
        <v>4</v>
      </c>
      <c r="B21" s="367" t="s">
        <v>26</v>
      </c>
      <c r="C21" s="367" t="s">
        <v>3851</v>
      </c>
      <c r="D21" s="367" t="s">
        <v>3852</v>
      </c>
      <c r="E21" s="367" t="s">
        <v>3845</v>
      </c>
      <c r="F21" s="10" t="s">
        <v>44</v>
      </c>
      <c r="G21" s="10" t="s">
        <v>45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365">
        <v>5</v>
      </c>
      <c r="B22" s="366" t="s">
        <v>31</v>
      </c>
      <c r="C22" s="366" t="s">
        <v>3851</v>
      </c>
      <c r="D22" s="366" t="s">
        <v>3853</v>
      </c>
      <c r="E22" s="366" t="s">
        <v>3845</v>
      </c>
      <c r="F22" s="10" t="s">
        <v>47</v>
      </c>
      <c r="G22" s="10" t="s">
        <v>48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63">
        <v>6</v>
      </c>
      <c r="B23" s="367" t="s">
        <v>33</v>
      </c>
      <c r="C23" s="367" t="s">
        <v>3851</v>
      </c>
      <c r="D23" s="367" t="s">
        <v>3854</v>
      </c>
      <c r="E23" s="367" t="s">
        <v>3845</v>
      </c>
      <c r="F23" s="10" t="s">
        <v>50</v>
      </c>
      <c r="G23" s="10" t="s">
        <v>51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65">
        <v>7</v>
      </c>
      <c r="B24" s="366" t="s">
        <v>35</v>
      </c>
      <c r="C24" s="366" t="s">
        <v>3851</v>
      </c>
      <c r="D24" s="366" t="s">
        <v>3855</v>
      </c>
      <c r="E24" s="366" t="s">
        <v>3845</v>
      </c>
      <c r="F24" s="10" t="s">
        <v>53</v>
      </c>
      <c r="G24" s="10" t="s">
        <v>54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63">
        <v>8</v>
      </c>
      <c r="B25" s="367" t="s">
        <v>37</v>
      </c>
      <c r="C25" s="367" t="s">
        <v>3851</v>
      </c>
      <c r="D25" s="367" t="s">
        <v>3856</v>
      </c>
      <c r="E25" s="367" t="s">
        <v>3845</v>
      </c>
      <c r="F25" s="10" t="s">
        <v>56</v>
      </c>
      <c r="G25" s="10" t="s">
        <v>57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365">
        <v>9</v>
      </c>
      <c r="B26" s="366" t="s">
        <v>39</v>
      </c>
      <c r="C26" s="366" t="s">
        <v>3857</v>
      </c>
      <c r="D26" s="366" t="s">
        <v>3858</v>
      </c>
      <c r="E26" s="366" t="s">
        <v>3845</v>
      </c>
      <c r="F26" s="9" t="s">
        <v>59</v>
      </c>
      <c r="G26" s="9" t="s">
        <v>60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63">
        <v>10</v>
      </c>
      <c r="B27" s="367" t="s">
        <v>43</v>
      </c>
      <c r="C27" s="367" t="s">
        <v>3857</v>
      </c>
      <c r="D27" s="367" t="s">
        <v>3859</v>
      </c>
      <c r="E27" s="367" t="s">
        <v>3845</v>
      </c>
      <c r="F27" s="9" t="s">
        <v>62</v>
      </c>
      <c r="G27" s="9" t="s">
        <v>63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365">
        <v>11</v>
      </c>
      <c r="B28" s="366" t="s">
        <v>46</v>
      </c>
      <c r="C28" s="366" t="s">
        <v>3857</v>
      </c>
      <c r="D28" s="366" t="s">
        <v>3860</v>
      </c>
      <c r="E28" s="366" t="s">
        <v>3845</v>
      </c>
      <c r="F28" s="11" t="s">
        <v>65</v>
      </c>
      <c r="G28" s="11" t="s">
        <v>66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63">
        <v>12</v>
      </c>
      <c r="B29" s="367" t="s">
        <v>49</v>
      </c>
      <c r="C29" s="367" t="s">
        <v>3857</v>
      </c>
      <c r="D29" s="367" t="s">
        <v>3861</v>
      </c>
      <c r="E29" s="367" t="s">
        <v>3845</v>
      </c>
      <c r="F29" s="11" t="s">
        <v>68</v>
      </c>
      <c r="G29" s="11" t="s">
        <v>69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365">
        <v>13</v>
      </c>
      <c r="B30" s="364" t="s">
        <v>52</v>
      </c>
      <c r="C30" s="364" t="s">
        <v>333</v>
      </c>
      <c r="D30" s="364" t="s">
        <v>3862</v>
      </c>
      <c r="E30" s="364" t="s">
        <v>3845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7.25" x14ac:dyDescent="0.3">
      <c r="A31" s="63">
        <v>14</v>
      </c>
      <c r="B31" s="490" t="s">
        <v>55</v>
      </c>
      <c r="C31" s="490"/>
      <c r="D31" s="490"/>
      <c r="E31" s="490"/>
      <c r="F31" s="489"/>
      <c r="G31" s="489"/>
      <c r="H31" s="489"/>
      <c r="I31" s="489"/>
      <c r="J31" s="489"/>
      <c r="K31" s="489"/>
      <c r="L31" s="489"/>
      <c r="M31" s="489"/>
      <c r="N31" s="489"/>
      <c r="O31" s="489"/>
      <c r="P31" s="1"/>
    </row>
    <row r="32" spans="1:16" ht="21.95" customHeight="1" x14ac:dyDescent="0.25">
      <c r="A32" s="365">
        <v>15</v>
      </c>
      <c r="B32" s="370" t="s">
        <v>58</v>
      </c>
      <c r="C32" s="370" t="s">
        <v>3863</v>
      </c>
      <c r="D32" s="370" t="s">
        <v>3864</v>
      </c>
      <c r="E32" s="370" t="s">
        <v>3845</v>
      </c>
      <c r="F32" s="7" t="s">
        <v>73</v>
      </c>
      <c r="G32" s="7" t="s">
        <v>74</v>
      </c>
      <c r="H32" s="7" t="s">
        <v>75</v>
      </c>
      <c r="I32" s="7" t="s">
        <v>76</v>
      </c>
      <c r="J32" s="1"/>
      <c r="K32" s="1"/>
      <c r="L32" s="1"/>
      <c r="M32" s="1"/>
      <c r="N32" s="1"/>
      <c r="O32" s="1"/>
      <c r="P32" s="1"/>
    </row>
    <row r="33" spans="1:16" x14ac:dyDescent="0.25">
      <c r="A33" s="63">
        <v>16</v>
      </c>
      <c r="B33" s="367" t="s">
        <v>61</v>
      </c>
      <c r="C33" s="367" t="s">
        <v>3863</v>
      </c>
      <c r="D33" s="367" t="s">
        <v>3865</v>
      </c>
      <c r="E33" s="371" t="s">
        <v>3845</v>
      </c>
      <c r="F33" s="10" t="s">
        <v>78</v>
      </c>
      <c r="G33" s="10">
        <v>1</v>
      </c>
      <c r="H33" s="10">
        <v>1</v>
      </c>
      <c r="I33" s="10" t="s">
        <v>79</v>
      </c>
      <c r="J33" s="1"/>
      <c r="K33" s="1"/>
      <c r="L33" s="1"/>
      <c r="M33" s="1"/>
      <c r="N33" s="1"/>
      <c r="O33" s="1"/>
      <c r="P33" s="1"/>
    </row>
    <row r="34" spans="1:16" x14ac:dyDescent="0.25">
      <c r="A34" s="365">
        <v>17</v>
      </c>
      <c r="B34" s="366" t="s">
        <v>64</v>
      </c>
      <c r="C34" s="366" t="s">
        <v>3866</v>
      </c>
      <c r="D34" s="366" t="s">
        <v>3867</v>
      </c>
      <c r="E34" s="372" t="s">
        <v>3845</v>
      </c>
      <c r="F34" s="12" t="s">
        <v>80</v>
      </c>
      <c r="G34" s="12">
        <v>1</v>
      </c>
      <c r="H34" s="12">
        <v>1</v>
      </c>
      <c r="I34" s="12" t="s">
        <v>81</v>
      </c>
      <c r="J34" s="1"/>
      <c r="K34" s="1"/>
      <c r="L34" s="1"/>
      <c r="M34" s="1"/>
      <c r="N34" s="1"/>
      <c r="O34" s="1"/>
      <c r="P34" s="1"/>
    </row>
    <row r="35" spans="1:16" x14ac:dyDescent="0.25">
      <c r="A35" s="63">
        <v>18</v>
      </c>
      <c r="B35" s="367" t="s">
        <v>67</v>
      </c>
      <c r="C35" s="367" t="s">
        <v>3866</v>
      </c>
      <c r="D35" s="367" t="s">
        <v>3868</v>
      </c>
      <c r="E35" s="371" t="s">
        <v>3845</v>
      </c>
      <c r="F35" s="10" t="s">
        <v>80</v>
      </c>
      <c r="G35" s="10">
        <v>1.165</v>
      </c>
      <c r="H35" s="10">
        <v>1.1519999999999999</v>
      </c>
      <c r="I35" s="10" t="s">
        <v>83</v>
      </c>
      <c r="J35" s="1"/>
      <c r="K35" s="1"/>
      <c r="L35" s="1"/>
      <c r="M35" s="1"/>
      <c r="N35" s="1"/>
      <c r="O35" s="1"/>
      <c r="P35" s="1"/>
    </row>
    <row r="36" spans="1:16" x14ac:dyDescent="0.25">
      <c r="A36" s="365">
        <v>19</v>
      </c>
      <c r="B36" s="366" t="s">
        <v>3869</v>
      </c>
      <c r="C36" s="366" t="s">
        <v>3866</v>
      </c>
      <c r="D36" s="366" t="s">
        <v>3870</v>
      </c>
      <c r="E36" s="372" t="s">
        <v>3845</v>
      </c>
      <c r="F36" s="12" t="s">
        <v>80</v>
      </c>
      <c r="G36" s="12">
        <v>0.91800000000000004</v>
      </c>
      <c r="H36" s="12">
        <v>0.92500000000000004</v>
      </c>
      <c r="I36" s="12" t="s">
        <v>85</v>
      </c>
      <c r="J36" s="1"/>
      <c r="K36" s="1"/>
      <c r="L36" s="1"/>
      <c r="M36" s="1"/>
      <c r="N36" s="1"/>
      <c r="O36" s="1"/>
      <c r="P36" s="1"/>
    </row>
    <row r="37" spans="1:16" x14ac:dyDescent="0.25">
      <c r="A37" s="63">
        <v>20</v>
      </c>
      <c r="B37" s="367" t="s">
        <v>3871</v>
      </c>
      <c r="C37" s="367" t="s">
        <v>3872</v>
      </c>
      <c r="D37" s="367" t="s">
        <v>3873</v>
      </c>
      <c r="E37" s="371" t="s">
        <v>3845</v>
      </c>
      <c r="F37" s="10" t="s">
        <v>80</v>
      </c>
      <c r="G37" s="10">
        <v>0.67800000000000005</v>
      </c>
      <c r="H37" s="10">
        <v>0.68200000000000005</v>
      </c>
      <c r="I37" s="10" t="s">
        <v>87</v>
      </c>
      <c r="J37" s="1"/>
      <c r="K37" s="1"/>
      <c r="L37" s="1"/>
      <c r="M37" s="1"/>
      <c r="N37" s="1"/>
      <c r="O37" s="1"/>
      <c r="P37" s="1"/>
    </row>
    <row r="38" spans="1:16" x14ac:dyDescent="0.25">
      <c r="A38" s="365">
        <v>21</v>
      </c>
      <c r="B38" s="364" t="s">
        <v>3874</v>
      </c>
      <c r="C38" s="364" t="s">
        <v>3872</v>
      </c>
      <c r="D38" s="364" t="s">
        <v>3875</v>
      </c>
      <c r="E38" s="364" t="s">
        <v>3845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63">
        <v>22</v>
      </c>
      <c r="B39" s="21" t="s">
        <v>3876</v>
      </c>
      <c r="C39" s="21" t="s">
        <v>3872</v>
      </c>
      <c r="D39" s="21" t="s">
        <v>3877</v>
      </c>
      <c r="E39" s="21" t="s">
        <v>3845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365">
        <v>23</v>
      </c>
      <c r="B40" s="491" t="s">
        <v>3878</v>
      </c>
      <c r="C40" s="491"/>
      <c r="D40" s="491"/>
      <c r="E40" s="491"/>
      <c r="F40" s="492"/>
      <c r="G40" s="492"/>
      <c r="H40" s="492"/>
      <c r="I40" s="492"/>
      <c r="J40" s="492"/>
      <c r="K40" s="492"/>
      <c r="L40" s="492"/>
      <c r="M40" s="492"/>
      <c r="N40" s="492"/>
      <c r="O40" s="492"/>
      <c r="P40" s="1"/>
    </row>
    <row r="41" spans="1:16" x14ac:dyDescent="0.25">
      <c r="A41" s="63">
        <v>24</v>
      </c>
      <c r="B41" s="21" t="s">
        <v>3879</v>
      </c>
      <c r="C41" s="21" t="s">
        <v>3872</v>
      </c>
      <c r="D41" s="21" t="s">
        <v>3880</v>
      </c>
      <c r="E41" s="21" t="s">
        <v>3845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365">
        <v>25</v>
      </c>
      <c r="B42" s="364" t="s">
        <v>2117</v>
      </c>
      <c r="C42" s="364" t="s">
        <v>3881</v>
      </c>
      <c r="D42" s="364" t="s">
        <v>3882</v>
      </c>
      <c r="E42" s="364" t="s">
        <v>3845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x14ac:dyDescent="0.25">
      <c r="A43" s="63">
        <v>26</v>
      </c>
      <c r="B43" s="493" t="s">
        <v>3883</v>
      </c>
      <c r="C43" s="493"/>
      <c r="D43" s="493"/>
      <c r="E43" s="493"/>
      <c r="F43" s="494"/>
      <c r="G43" s="494"/>
      <c r="H43" s="494"/>
      <c r="I43" s="494"/>
      <c r="J43" s="494"/>
      <c r="K43" s="494"/>
      <c r="L43" s="494"/>
      <c r="M43" s="494"/>
      <c r="N43" s="494"/>
      <c r="O43" s="494"/>
      <c r="P43" s="1"/>
    </row>
    <row r="44" spans="1:16" x14ac:dyDescent="0.25">
      <c r="A44" s="365">
        <v>27</v>
      </c>
      <c r="B44" s="483" t="s">
        <v>3715</v>
      </c>
      <c r="C44" s="483"/>
      <c r="D44" s="483"/>
      <c r="E44" s="483"/>
      <c r="F44" s="482"/>
      <c r="G44" s="482"/>
      <c r="H44" s="482"/>
      <c r="I44" s="482"/>
      <c r="J44" s="482"/>
      <c r="K44" s="482"/>
      <c r="L44" s="482"/>
      <c r="M44" s="482"/>
      <c r="N44" s="482"/>
      <c r="O44" s="482"/>
      <c r="P44" s="1"/>
    </row>
    <row r="45" spans="1:16" x14ac:dyDescent="0.25">
      <c r="A45" s="63">
        <v>28</v>
      </c>
      <c r="B45" s="21" t="s">
        <v>2078</v>
      </c>
      <c r="C45" s="21" t="s">
        <v>3881</v>
      </c>
      <c r="D45" s="21" t="s">
        <v>3884</v>
      </c>
      <c r="E45" s="21" t="s">
        <v>3845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365">
        <v>29</v>
      </c>
      <c r="B46" s="495" t="s">
        <v>1722</v>
      </c>
      <c r="C46" s="495"/>
      <c r="D46" s="495"/>
      <c r="E46" s="495"/>
      <c r="F46" s="496"/>
      <c r="G46" s="496"/>
      <c r="H46" s="496"/>
      <c r="I46" s="496"/>
      <c r="J46" s="496"/>
      <c r="K46" s="496"/>
      <c r="L46" s="496"/>
      <c r="M46" s="496"/>
      <c r="N46" s="496"/>
      <c r="O46" s="496"/>
      <c r="P46" s="1"/>
    </row>
    <row r="47" spans="1:16" x14ac:dyDescent="0.25">
      <c r="A47" s="63">
        <v>30</v>
      </c>
      <c r="B47" s="21" t="s">
        <v>2082</v>
      </c>
      <c r="C47" s="21" t="s">
        <v>3881</v>
      </c>
      <c r="D47" s="21" t="s">
        <v>3885</v>
      </c>
      <c r="E47" s="21" t="s">
        <v>3845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365">
        <v>31</v>
      </c>
      <c r="B48" s="495" t="s">
        <v>3886</v>
      </c>
      <c r="C48" s="495"/>
      <c r="D48" s="495"/>
      <c r="E48" s="495"/>
      <c r="F48" s="496"/>
      <c r="G48" s="496"/>
      <c r="H48" s="496"/>
      <c r="I48" s="496"/>
      <c r="J48" s="496"/>
      <c r="K48" s="496"/>
      <c r="L48" s="496"/>
      <c r="M48" s="496"/>
      <c r="N48" s="496"/>
      <c r="O48" s="496"/>
      <c r="P48" s="1"/>
    </row>
    <row r="49" spans="1:16" x14ac:dyDescent="0.25">
      <c r="A49" s="63">
        <v>32</v>
      </c>
      <c r="B49" s="481" t="s">
        <v>3887</v>
      </c>
      <c r="C49" s="481"/>
      <c r="D49" s="481"/>
      <c r="E49" s="481"/>
      <c r="F49" s="482"/>
      <c r="G49" s="482"/>
      <c r="H49" s="482"/>
      <c r="I49" s="482"/>
      <c r="J49" s="482"/>
      <c r="K49" s="482"/>
      <c r="L49" s="482"/>
      <c r="M49" s="482"/>
      <c r="N49" s="482"/>
      <c r="O49" s="482"/>
      <c r="P49" s="1"/>
    </row>
    <row r="50" spans="1:16" x14ac:dyDescent="0.25">
      <c r="A50" s="365">
        <v>33</v>
      </c>
      <c r="B50" s="483" t="s">
        <v>3888</v>
      </c>
      <c r="C50" s="483"/>
      <c r="D50" s="483"/>
      <c r="E50" s="483"/>
      <c r="F50" s="482"/>
      <c r="G50" s="482"/>
      <c r="H50" s="482"/>
      <c r="I50" s="482"/>
      <c r="J50" s="482"/>
      <c r="K50" s="482"/>
      <c r="L50" s="482"/>
      <c r="M50" s="482"/>
      <c r="N50" s="482"/>
      <c r="O50" s="482"/>
      <c r="P50" s="1"/>
    </row>
    <row r="51" spans="1:16" x14ac:dyDescent="0.25">
      <c r="A51" s="63">
        <v>34</v>
      </c>
      <c r="B51" s="481" t="s">
        <v>2316</v>
      </c>
      <c r="C51" s="481"/>
      <c r="D51" s="481"/>
      <c r="E51" s="481"/>
      <c r="F51" s="482"/>
      <c r="G51" s="482"/>
      <c r="H51" s="482"/>
      <c r="I51" s="482"/>
      <c r="J51" s="482"/>
      <c r="K51" s="482"/>
      <c r="L51" s="482"/>
      <c r="M51" s="482"/>
      <c r="N51" s="482"/>
      <c r="O51" s="482"/>
    </row>
    <row r="52" spans="1:16" x14ac:dyDescent="0.25">
      <c r="A52" s="365">
        <v>35</v>
      </c>
      <c r="B52" s="483" t="s">
        <v>2381</v>
      </c>
      <c r="C52" s="483"/>
      <c r="D52" s="483"/>
      <c r="E52" s="483"/>
      <c r="F52" s="482"/>
      <c r="G52" s="482"/>
      <c r="H52" s="482"/>
      <c r="I52" s="482"/>
      <c r="J52" s="482"/>
      <c r="K52" s="482"/>
      <c r="L52" s="482"/>
      <c r="M52" s="482"/>
      <c r="N52" s="482"/>
      <c r="O52" s="482"/>
    </row>
    <row r="53" spans="1:16" x14ac:dyDescent="0.25">
      <c r="A53" s="63">
        <v>36</v>
      </c>
      <c r="B53" s="481" t="s">
        <v>2747</v>
      </c>
      <c r="C53" s="481"/>
      <c r="D53" s="481"/>
      <c r="E53" s="481"/>
      <c r="F53" s="482"/>
      <c r="G53" s="482"/>
      <c r="H53" s="482"/>
      <c r="I53" s="482"/>
      <c r="J53" s="482"/>
      <c r="K53" s="482"/>
      <c r="L53" s="482"/>
      <c r="M53" s="482"/>
      <c r="N53" s="482"/>
      <c r="O53" s="482"/>
    </row>
    <row r="54" spans="1:16" x14ac:dyDescent="0.25">
      <c r="A54" s="365">
        <v>37</v>
      </c>
      <c r="B54" s="483" t="s">
        <v>2755</v>
      </c>
      <c r="C54" s="483"/>
      <c r="D54" s="483"/>
      <c r="E54" s="483"/>
      <c r="F54" s="482"/>
      <c r="G54" s="482"/>
      <c r="H54" s="482"/>
      <c r="I54" s="482"/>
      <c r="J54" s="482"/>
      <c r="K54" s="482"/>
      <c r="L54" s="482"/>
      <c r="M54" s="482"/>
      <c r="N54" s="482"/>
      <c r="O54" s="482"/>
    </row>
    <row r="55" spans="1:16" x14ac:dyDescent="0.25">
      <c r="A55" s="63">
        <v>38</v>
      </c>
      <c r="B55" s="21" t="s">
        <v>2340</v>
      </c>
      <c r="C55" s="21" t="s">
        <v>3863</v>
      </c>
      <c r="D55" s="21" t="s">
        <v>3889</v>
      </c>
      <c r="E55" s="21" t="s">
        <v>3845</v>
      </c>
    </row>
    <row r="56" spans="1:16" ht="30" customHeight="1" x14ac:dyDescent="0.25">
      <c r="A56" s="415" t="s">
        <v>4269</v>
      </c>
      <c r="B56" s="484" t="s">
        <v>2104</v>
      </c>
      <c r="C56" s="484"/>
      <c r="D56" s="484"/>
      <c r="E56" s="484"/>
      <c r="F56" s="484"/>
      <c r="G56" s="484"/>
      <c r="H56" s="484"/>
      <c r="I56" s="484"/>
      <c r="J56" s="484"/>
      <c r="K56" s="484"/>
      <c r="L56" s="484"/>
      <c r="M56" s="484"/>
      <c r="N56" s="484"/>
      <c r="O56" s="484"/>
    </row>
    <row r="57" spans="1:16" x14ac:dyDescent="0.25">
      <c r="B57" s="116" t="s">
        <v>2105</v>
      </c>
      <c r="C57" s="116" t="s">
        <v>2106</v>
      </c>
      <c r="D57" s="116"/>
      <c r="E57" s="116" t="s">
        <v>2107</v>
      </c>
      <c r="F57" s="116" t="s">
        <v>2106</v>
      </c>
      <c r="G57" s="116" t="s">
        <v>2108</v>
      </c>
      <c r="H57" s="116" t="s">
        <v>91</v>
      </c>
    </row>
    <row r="58" spans="1:16" x14ac:dyDescent="0.25">
      <c r="B58" s="126" t="s">
        <v>1659</v>
      </c>
      <c r="C58" s="126" t="s">
        <v>2109</v>
      </c>
      <c r="D58" s="126" t="s">
        <v>2110</v>
      </c>
      <c r="E58" s="126" t="s">
        <v>1722</v>
      </c>
      <c r="F58" s="126" t="s">
        <v>2111</v>
      </c>
      <c r="G58" s="126" t="s">
        <v>2112</v>
      </c>
      <c r="H58" s="126" t="s">
        <v>2113</v>
      </c>
    </row>
    <row r="59" spans="1:16" x14ac:dyDescent="0.25">
      <c r="B59" s="127" t="s">
        <v>1659</v>
      </c>
      <c r="C59" s="127" t="s">
        <v>2114</v>
      </c>
      <c r="D59" s="127" t="s">
        <v>2110</v>
      </c>
      <c r="E59" s="127" t="s">
        <v>2078</v>
      </c>
      <c r="F59" s="127" t="s">
        <v>2114</v>
      </c>
      <c r="G59" s="127" t="s">
        <v>2112</v>
      </c>
      <c r="H59" s="127" t="s">
        <v>2115</v>
      </c>
    </row>
    <row r="60" spans="1:16" x14ac:dyDescent="0.25">
      <c r="B60" s="128" t="s">
        <v>1659</v>
      </c>
      <c r="C60" s="128" t="s">
        <v>2116</v>
      </c>
      <c r="D60" s="128" t="s">
        <v>2110</v>
      </c>
      <c r="E60" s="128" t="s">
        <v>2117</v>
      </c>
      <c r="F60" s="128" t="s">
        <v>2118</v>
      </c>
      <c r="G60" s="128" t="s">
        <v>2112</v>
      </c>
      <c r="H60" s="128" t="s">
        <v>2119</v>
      </c>
    </row>
    <row r="61" spans="1:16" x14ac:dyDescent="0.25">
      <c r="B61" s="127" t="s">
        <v>1659</v>
      </c>
      <c r="C61" s="127" t="s">
        <v>2120</v>
      </c>
      <c r="D61" s="127" t="s">
        <v>2110</v>
      </c>
      <c r="E61" s="127" t="s">
        <v>2121</v>
      </c>
      <c r="F61" s="127" t="s">
        <v>2120</v>
      </c>
      <c r="G61" s="127" t="s">
        <v>2112</v>
      </c>
      <c r="H61" s="127" t="s">
        <v>2122</v>
      </c>
    </row>
    <row r="62" spans="1:16" x14ac:dyDescent="0.25">
      <c r="B62" s="126" t="s">
        <v>2082</v>
      </c>
      <c r="C62" s="126" t="s">
        <v>2123</v>
      </c>
      <c r="D62" s="126" t="s">
        <v>2110</v>
      </c>
      <c r="E62" s="126" t="s">
        <v>1722</v>
      </c>
      <c r="F62" s="126" t="s">
        <v>2111</v>
      </c>
      <c r="G62" s="126" t="s">
        <v>2112</v>
      </c>
      <c r="H62" s="126" t="s">
        <v>2124</v>
      </c>
    </row>
    <row r="65" spans="2:15" x14ac:dyDescent="0.25">
      <c r="B65" s="485" t="s">
        <v>2125</v>
      </c>
      <c r="C65" s="485"/>
      <c r="D65" s="485"/>
      <c r="E65" s="485"/>
      <c r="F65" s="485"/>
      <c r="G65" s="485"/>
      <c r="H65" s="485"/>
      <c r="I65" s="485"/>
      <c r="J65" s="485"/>
      <c r="K65" s="485"/>
      <c r="L65" s="485"/>
      <c r="M65" s="485"/>
      <c r="N65" s="485"/>
      <c r="O65" s="485"/>
    </row>
    <row r="68" spans="2:15" x14ac:dyDescent="0.25">
      <c r="B68" s="480" t="s">
        <v>2769</v>
      </c>
      <c r="C68" s="480"/>
      <c r="D68" s="480"/>
      <c r="E68" s="480"/>
      <c r="F68" s="480"/>
      <c r="G68" s="480"/>
    </row>
    <row r="69" spans="2:15" x14ac:dyDescent="0.25">
      <c r="B69" s="98" t="s">
        <v>2316</v>
      </c>
      <c r="C69" s="98" t="s">
        <v>2770</v>
      </c>
      <c r="D69" s="98" t="s">
        <v>2312</v>
      </c>
      <c r="E69" s="98" t="s">
        <v>2771</v>
      </c>
      <c r="F69" s="98" t="s">
        <v>28</v>
      </c>
      <c r="G69" s="98"/>
    </row>
    <row r="70" spans="2:15" x14ac:dyDescent="0.25">
      <c r="B70" s="98" t="s">
        <v>2381</v>
      </c>
      <c r="C70" s="98" t="s">
        <v>2772</v>
      </c>
      <c r="D70" s="98" t="s">
        <v>2773</v>
      </c>
      <c r="E70" s="98" t="s">
        <v>2774</v>
      </c>
      <c r="F70" s="98" t="s">
        <v>28</v>
      </c>
      <c r="G70" s="98"/>
    </row>
    <row r="71" spans="2:15" x14ac:dyDescent="0.25">
      <c r="B71" s="98" t="s">
        <v>2747</v>
      </c>
      <c r="C71" s="98" t="s">
        <v>2775</v>
      </c>
      <c r="D71" s="98" t="s">
        <v>2776</v>
      </c>
      <c r="E71" s="98" t="s">
        <v>2777</v>
      </c>
      <c r="F71" s="98" t="s">
        <v>28</v>
      </c>
      <c r="G71" s="98"/>
    </row>
    <row r="72" spans="2:15" x14ac:dyDescent="0.25">
      <c r="B72" s="98" t="s">
        <v>2755</v>
      </c>
      <c r="C72" s="98" t="s">
        <v>2778</v>
      </c>
      <c r="D72" s="98" t="s">
        <v>2779</v>
      </c>
      <c r="E72" s="98" t="s">
        <v>2780</v>
      </c>
      <c r="F72" s="98" t="s">
        <v>40</v>
      </c>
      <c r="G72" s="98"/>
    </row>
    <row r="73" spans="2:15" x14ac:dyDescent="0.25">
      <c r="B73" s="98" t="s">
        <v>2340</v>
      </c>
      <c r="C73" s="98" t="s">
        <v>2781</v>
      </c>
      <c r="D73" s="98" t="s">
        <v>2782</v>
      </c>
      <c r="E73" s="98" t="s">
        <v>2783</v>
      </c>
      <c r="F73" s="98" t="s">
        <v>28</v>
      </c>
      <c r="G73" s="98"/>
    </row>
  </sheetData>
  <mergeCells count="20">
    <mergeCell ref="A1:A16"/>
    <mergeCell ref="B50:O50"/>
    <mergeCell ref="B2:O4"/>
    <mergeCell ref="B5:O5"/>
    <mergeCell ref="B7:O7"/>
    <mergeCell ref="B11:O11"/>
    <mergeCell ref="B31:O31"/>
    <mergeCell ref="B40:O40"/>
    <mergeCell ref="B43:O43"/>
    <mergeCell ref="B44:O44"/>
    <mergeCell ref="B46:O46"/>
    <mergeCell ref="B48:O48"/>
    <mergeCell ref="B49:O49"/>
    <mergeCell ref="B68:G68"/>
    <mergeCell ref="B51:O51"/>
    <mergeCell ref="B52:O52"/>
    <mergeCell ref="B53:O53"/>
    <mergeCell ref="B54:O54"/>
    <mergeCell ref="B56:O56"/>
    <mergeCell ref="B65:O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8ED1-FE38-4E1C-8488-D956ED084D52}">
  <sheetPr>
    <tabColor rgb="FFFF6600"/>
  </sheetPr>
  <dimension ref="A1:E200"/>
  <sheetViews>
    <sheetView zoomScale="166" zoomScaleNormal="166" workbookViewId="0">
      <pane ySplit="2" topLeftCell="A10" activePane="bottomLeft" state="frozen"/>
      <selection pane="bottomLeft" activeCell="B16" sqref="B16"/>
    </sheetView>
  </sheetViews>
  <sheetFormatPr baseColWidth="10" defaultRowHeight="15" x14ac:dyDescent="0.25"/>
  <cols>
    <col min="1" max="1" width="24.7109375" customWidth="1"/>
    <col min="2" max="2" width="39.140625" customWidth="1"/>
    <col min="3" max="3" width="61.85546875" customWidth="1"/>
    <col min="4" max="4" width="28.5703125" customWidth="1"/>
    <col min="5" max="5" width="21.85546875" customWidth="1"/>
  </cols>
  <sheetData>
    <row r="1" spans="1:5" ht="42" customHeight="1" x14ac:dyDescent="0.3">
      <c r="A1" s="511" t="s">
        <v>4270</v>
      </c>
      <c r="B1" s="500"/>
      <c r="C1" s="500"/>
      <c r="D1" s="500"/>
      <c r="E1" s="500"/>
    </row>
    <row r="2" spans="1:5" ht="20.100000000000001" customHeight="1" x14ac:dyDescent="0.25">
      <c r="A2" s="512" t="s">
        <v>4271</v>
      </c>
      <c r="B2" s="500"/>
      <c r="C2" s="500"/>
      <c r="D2" s="500"/>
      <c r="E2" s="500"/>
    </row>
    <row r="3" spans="1:5" ht="8.1" customHeight="1" x14ac:dyDescent="0.25"/>
    <row r="4" spans="1:5" ht="27.95" customHeight="1" x14ac:dyDescent="0.25">
      <c r="A4" s="508" t="s">
        <v>4272</v>
      </c>
      <c r="B4" s="500"/>
      <c r="C4" s="500"/>
      <c r="D4" s="500"/>
      <c r="E4" s="500"/>
    </row>
    <row r="5" spans="1:5" ht="20.100000000000001" customHeight="1" x14ac:dyDescent="0.25">
      <c r="A5" s="478"/>
      <c r="B5" s="380" t="s">
        <v>4273</v>
      </c>
      <c r="C5" s="342" t="s">
        <v>4274</v>
      </c>
      <c r="D5" s="513" t="s">
        <v>4275</v>
      </c>
      <c r="E5" s="500"/>
    </row>
    <row r="6" spans="1:5" ht="20.100000000000001" customHeight="1" x14ac:dyDescent="0.25">
      <c r="A6" s="478"/>
      <c r="B6" s="364" t="s">
        <v>4276</v>
      </c>
      <c r="C6" s="416" t="s">
        <v>4277</v>
      </c>
      <c r="D6" s="507" t="s">
        <v>4278</v>
      </c>
      <c r="E6" s="500"/>
    </row>
    <row r="7" spans="1:5" ht="20.100000000000001" customHeight="1" x14ac:dyDescent="0.25">
      <c r="A7" s="478"/>
      <c r="B7" s="364" t="s">
        <v>4279</v>
      </c>
      <c r="C7" s="416" t="s">
        <v>4280</v>
      </c>
      <c r="D7" s="507" t="s">
        <v>4281</v>
      </c>
      <c r="E7" s="500"/>
    </row>
    <row r="8" spans="1:5" ht="20.100000000000001" customHeight="1" x14ac:dyDescent="0.25">
      <c r="A8" s="478"/>
      <c r="B8" s="364" t="s">
        <v>4282</v>
      </c>
      <c r="C8" s="416" t="s">
        <v>4283</v>
      </c>
      <c r="D8" s="507" t="s">
        <v>4284</v>
      </c>
      <c r="E8" s="500"/>
    </row>
    <row r="9" spans="1:5" ht="20.100000000000001" customHeight="1" x14ac:dyDescent="0.25">
      <c r="A9" s="478"/>
      <c r="B9" s="364" t="s">
        <v>4285</v>
      </c>
      <c r="C9" s="416" t="s">
        <v>4286</v>
      </c>
      <c r="D9" s="507" t="s">
        <v>4287</v>
      </c>
      <c r="E9" s="507"/>
    </row>
    <row r="10" spans="1:5" ht="20.100000000000001" customHeight="1" x14ac:dyDescent="0.25">
      <c r="A10" s="478"/>
      <c r="B10" s="364" t="s">
        <v>4288</v>
      </c>
      <c r="C10" s="416" t="s">
        <v>4289</v>
      </c>
      <c r="D10" s="507"/>
      <c r="E10" s="500"/>
    </row>
    <row r="11" spans="1:5" ht="20.100000000000001" customHeight="1" x14ac:dyDescent="0.25">
      <c r="A11" s="478"/>
    </row>
    <row r="12" spans="1:5" ht="9.9499999999999993" customHeight="1" x14ac:dyDescent="0.25"/>
    <row r="13" spans="1:5" ht="27.95" customHeight="1" x14ac:dyDescent="0.25">
      <c r="A13" s="508" t="s">
        <v>4290</v>
      </c>
      <c r="B13" s="500"/>
      <c r="C13" s="500"/>
      <c r="D13" s="500"/>
      <c r="E13" s="500"/>
    </row>
    <row r="14" spans="1:5" ht="20.100000000000001" customHeight="1" x14ac:dyDescent="0.25">
      <c r="A14" s="320" t="s">
        <v>15</v>
      </c>
      <c r="B14" s="417" t="s">
        <v>17</v>
      </c>
      <c r="C14" s="417" t="s">
        <v>3427</v>
      </c>
      <c r="D14" s="417" t="s">
        <v>4291</v>
      </c>
      <c r="E14" s="417"/>
    </row>
    <row r="15" spans="1:5" ht="24" customHeight="1" x14ac:dyDescent="0.25">
      <c r="A15" s="320" t="s">
        <v>4292</v>
      </c>
      <c r="B15" s="416" t="s">
        <v>4293</v>
      </c>
      <c r="C15" s="416" t="s">
        <v>4294</v>
      </c>
      <c r="D15" s="418" t="s">
        <v>4295</v>
      </c>
      <c r="E15" s="416"/>
    </row>
    <row r="16" spans="1:5" ht="24" customHeight="1" x14ac:dyDescent="0.25">
      <c r="A16" s="320" t="s">
        <v>4296</v>
      </c>
      <c r="B16" s="419" t="s">
        <v>4297</v>
      </c>
      <c r="C16" s="419" t="s">
        <v>4298</v>
      </c>
      <c r="D16" s="420" t="s">
        <v>4299</v>
      </c>
      <c r="E16" s="419"/>
    </row>
    <row r="17" spans="1:5" ht="24" customHeight="1" x14ac:dyDescent="0.25">
      <c r="A17" s="320" t="s">
        <v>4300</v>
      </c>
      <c r="B17" s="421" t="s">
        <v>4301</v>
      </c>
      <c r="C17" s="421" t="s">
        <v>4302</v>
      </c>
      <c r="D17" s="422" t="s">
        <v>4303</v>
      </c>
      <c r="E17" s="421"/>
    </row>
    <row r="18" spans="1:5" ht="24" customHeight="1" x14ac:dyDescent="0.25">
      <c r="A18" s="320" t="s">
        <v>4304</v>
      </c>
      <c r="B18" s="423" t="s">
        <v>4305</v>
      </c>
      <c r="C18" s="423" t="s">
        <v>4306</v>
      </c>
      <c r="D18" s="424" t="s">
        <v>4307</v>
      </c>
      <c r="E18" s="423"/>
    </row>
    <row r="19" spans="1:5" ht="24" customHeight="1" x14ac:dyDescent="0.25">
      <c r="A19" s="320" t="s">
        <v>4308</v>
      </c>
      <c r="B19" s="425" t="s">
        <v>4309</v>
      </c>
      <c r="C19" s="425" t="s">
        <v>4310</v>
      </c>
      <c r="D19" s="426" t="s">
        <v>4311</v>
      </c>
      <c r="E19" s="425"/>
    </row>
    <row r="20" spans="1:5" ht="9.9499999999999993" customHeight="1" x14ac:dyDescent="0.25">
      <c r="A20" s="478"/>
    </row>
    <row r="21" spans="1:5" ht="27.95" customHeight="1" x14ac:dyDescent="0.25">
      <c r="A21" s="509" t="s">
        <v>4312</v>
      </c>
      <c r="B21" s="509"/>
      <c r="C21" s="509"/>
      <c r="D21" s="509"/>
      <c r="E21" s="509"/>
    </row>
    <row r="22" spans="1:5" ht="20.100000000000001" customHeight="1" x14ac:dyDescent="0.25">
      <c r="A22" s="427" t="s">
        <v>3843</v>
      </c>
      <c r="B22" s="427" t="s">
        <v>4314</v>
      </c>
      <c r="C22" s="427" t="s">
        <v>4315</v>
      </c>
      <c r="D22" s="427" t="s">
        <v>4316</v>
      </c>
      <c r="E22" s="427" t="s">
        <v>4317</v>
      </c>
    </row>
    <row r="23" spans="1:5" ht="111.95" customHeight="1" x14ac:dyDescent="0.3">
      <c r="A23" s="479">
        <v>1</v>
      </c>
      <c r="B23" s="428" t="s">
        <v>4313</v>
      </c>
      <c r="C23" s="429" t="s">
        <v>4318</v>
      </c>
      <c r="D23" s="430" t="s">
        <v>4257</v>
      </c>
      <c r="E23" s="431" t="s">
        <v>4258</v>
      </c>
    </row>
    <row r="24" spans="1:5" ht="111.95" customHeight="1" x14ac:dyDescent="0.3">
      <c r="A24" s="479">
        <v>2</v>
      </c>
      <c r="B24" s="432" t="s">
        <v>4319</v>
      </c>
      <c r="C24" s="433" t="s">
        <v>4320</v>
      </c>
      <c r="D24" s="434" t="s">
        <v>4321</v>
      </c>
      <c r="E24" s="435" t="s">
        <v>4259</v>
      </c>
    </row>
    <row r="25" spans="1:5" ht="111.95" customHeight="1" x14ac:dyDescent="0.3">
      <c r="A25" s="479">
        <v>3</v>
      </c>
      <c r="B25" s="436" t="s">
        <v>4322</v>
      </c>
      <c r="C25" s="414" t="s">
        <v>4323</v>
      </c>
      <c r="D25" s="437" t="s">
        <v>4324</v>
      </c>
      <c r="E25" s="438" t="s">
        <v>4259</v>
      </c>
    </row>
    <row r="26" spans="1:5" ht="111.95" customHeight="1" x14ac:dyDescent="0.3">
      <c r="A26" s="479">
        <v>4</v>
      </c>
      <c r="B26" s="439" t="s">
        <v>4325</v>
      </c>
      <c r="C26" s="440" t="s">
        <v>4326</v>
      </c>
      <c r="D26" s="441" t="s">
        <v>4327</v>
      </c>
      <c r="E26" s="442" t="s">
        <v>4328</v>
      </c>
    </row>
    <row r="27" spans="1:5" ht="111.95" customHeight="1" x14ac:dyDescent="0.3">
      <c r="A27" s="479">
        <v>5</v>
      </c>
      <c r="B27" s="443" t="s">
        <v>4329</v>
      </c>
      <c r="C27" s="413" t="s">
        <v>4330</v>
      </c>
      <c r="D27" s="444" t="s">
        <v>4331</v>
      </c>
      <c r="E27" s="445" t="s">
        <v>4332</v>
      </c>
    </row>
    <row r="28" spans="1:5" ht="111.95" customHeight="1" x14ac:dyDescent="0.3">
      <c r="A28" s="479">
        <v>6</v>
      </c>
      <c r="B28" s="446" t="s">
        <v>4333</v>
      </c>
      <c r="C28" s="412" t="s">
        <v>4334</v>
      </c>
      <c r="D28" s="447" t="s">
        <v>4335</v>
      </c>
      <c r="E28" s="448" t="s">
        <v>4336</v>
      </c>
    </row>
    <row r="29" spans="1:5" ht="111.95" customHeight="1" x14ac:dyDescent="0.3">
      <c r="A29" s="479">
        <v>7</v>
      </c>
      <c r="B29" s="449" t="s">
        <v>4337</v>
      </c>
      <c r="C29" s="411" t="s">
        <v>4338</v>
      </c>
      <c r="D29" s="450" t="s">
        <v>4339</v>
      </c>
      <c r="E29" s="451" t="s">
        <v>4340</v>
      </c>
    </row>
    <row r="30" spans="1:5" ht="111.95" customHeight="1" x14ac:dyDescent="0.3">
      <c r="A30" s="479">
        <v>8</v>
      </c>
      <c r="B30" s="452" t="s">
        <v>4341</v>
      </c>
      <c r="C30" s="453" t="s">
        <v>4342</v>
      </c>
      <c r="D30" s="454" t="s">
        <v>4260</v>
      </c>
      <c r="E30" s="455" t="s">
        <v>4259</v>
      </c>
    </row>
    <row r="31" spans="1:5" ht="111.95" customHeight="1" x14ac:dyDescent="0.3">
      <c r="A31" s="479">
        <v>9</v>
      </c>
      <c r="B31" s="456" t="s">
        <v>4343</v>
      </c>
      <c r="C31" s="410" t="s">
        <v>4344</v>
      </c>
      <c r="D31" s="457" t="s">
        <v>4261</v>
      </c>
      <c r="E31" s="458" t="s">
        <v>4345</v>
      </c>
    </row>
    <row r="32" spans="1:5" ht="111.95" customHeight="1" x14ac:dyDescent="0.3">
      <c r="A32" s="479">
        <v>10</v>
      </c>
      <c r="B32" s="459" t="s">
        <v>4346</v>
      </c>
      <c r="C32" s="460" t="s">
        <v>4347</v>
      </c>
      <c r="D32" s="461" t="s">
        <v>4348</v>
      </c>
      <c r="E32" s="462" t="s">
        <v>4349</v>
      </c>
    </row>
    <row r="33" spans="1:5" ht="12" customHeight="1" x14ac:dyDescent="0.25"/>
    <row r="34" spans="1:5" ht="27.95" customHeight="1" x14ac:dyDescent="0.25">
      <c r="A34" s="510" t="s">
        <v>4350</v>
      </c>
      <c r="B34" s="500"/>
      <c r="C34" s="500"/>
      <c r="D34" s="500"/>
      <c r="E34" s="500"/>
    </row>
    <row r="35" spans="1:5" ht="20.100000000000001" customHeight="1" x14ac:dyDescent="0.25">
      <c r="A35" s="417" t="s">
        <v>826</v>
      </c>
      <c r="B35" s="417" t="s">
        <v>4351</v>
      </c>
      <c r="C35" s="417" t="s">
        <v>4352</v>
      </c>
      <c r="D35" s="417" t="s">
        <v>4353</v>
      </c>
      <c r="E35" s="417" t="s">
        <v>4354</v>
      </c>
    </row>
    <row r="36" spans="1:5" ht="84" customHeight="1" x14ac:dyDescent="0.25">
      <c r="A36" s="323" t="s">
        <v>4355</v>
      </c>
      <c r="B36" s="463" t="s">
        <v>4356</v>
      </c>
      <c r="C36" s="464" t="s">
        <v>4357</v>
      </c>
      <c r="D36" s="465" t="s">
        <v>4358</v>
      </c>
      <c r="E36" s="463" t="s">
        <v>4359</v>
      </c>
    </row>
    <row r="37" spans="1:5" ht="84" customHeight="1" x14ac:dyDescent="0.25">
      <c r="A37" s="323" t="s">
        <v>4360</v>
      </c>
      <c r="B37" s="466" t="s">
        <v>4361</v>
      </c>
      <c r="C37" s="467" t="s">
        <v>4362</v>
      </c>
      <c r="D37" s="468" t="s">
        <v>4363</v>
      </c>
      <c r="E37" s="466" t="s">
        <v>4364</v>
      </c>
    </row>
    <row r="38" spans="1:5" ht="84" customHeight="1" x14ac:dyDescent="0.25">
      <c r="A38" s="323" t="s">
        <v>4365</v>
      </c>
      <c r="B38" s="463" t="s">
        <v>4366</v>
      </c>
      <c r="C38" s="464" t="s">
        <v>4367</v>
      </c>
      <c r="D38" s="465" t="s">
        <v>4368</v>
      </c>
      <c r="E38" s="463" t="s">
        <v>4369</v>
      </c>
    </row>
    <row r="39" spans="1:5" ht="84" customHeight="1" x14ac:dyDescent="0.25">
      <c r="A39" s="323" t="s">
        <v>4370</v>
      </c>
      <c r="B39" s="466" t="s">
        <v>4371</v>
      </c>
      <c r="C39" s="467" t="s">
        <v>4372</v>
      </c>
      <c r="D39" s="468" t="s">
        <v>4373</v>
      </c>
      <c r="E39" s="466" t="s">
        <v>4374</v>
      </c>
    </row>
    <row r="40" spans="1:5" ht="84" customHeight="1" x14ac:dyDescent="0.25">
      <c r="A40" s="323" t="s">
        <v>4375</v>
      </c>
      <c r="B40" s="463" t="s">
        <v>4376</v>
      </c>
      <c r="C40" s="464" t="s">
        <v>4377</v>
      </c>
      <c r="D40" s="465" t="s">
        <v>4378</v>
      </c>
      <c r="E40" s="463" t="s">
        <v>4379</v>
      </c>
    </row>
    <row r="41" spans="1:5" ht="84" customHeight="1" x14ac:dyDescent="0.25">
      <c r="A41" s="323" t="s">
        <v>4380</v>
      </c>
      <c r="B41" s="466" t="s">
        <v>4381</v>
      </c>
      <c r="C41" s="467" t="s">
        <v>4382</v>
      </c>
      <c r="D41" s="468" t="s">
        <v>4383</v>
      </c>
      <c r="E41" s="466" t="s">
        <v>4384</v>
      </c>
    </row>
    <row r="42" spans="1:5" ht="84" customHeight="1" x14ac:dyDescent="0.25">
      <c r="A42" s="323" t="s">
        <v>4385</v>
      </c>
      <c r="B42" s="463" t="s">
        <v>4386</v>
      </c>
      <c r="C42" s="464" t="s">
        <v>4387</v>
      </c>
      <c r="D42" s="465" t="s">
        <v>4388</v>
      </c>
      <c r="E42" s="463" t="s">
        <v>4389</v>
      </c>
    </row>
    <row r="43" spans="1:5" ht="84" customHeight="1" x14ac:dyDescent="0.25">
      <c r="A43" s="323" t="s">
        <v>4390</v>
      </c>
      <c r="B43" s="466" t="s">
        <v>4391</v>
      </c>
      <c r="C43" s="467" t="s">
        <v>4392</v>
      </c>
      <c r="D43" s="468" t="s">
        <v>4393</v>
      </c>
      <c r="E43" s="466" t="s">
        <v>4394</v>
      </c>
    </row>
    <row r="44" spans="1:5" ht="84" customHeight="1" x14ac:dyDescent="0.25">
      <c r="A44" s="323" t="s">
        <v>4395</v>
      </c>
      <c r="B44" s="463" t="s">
        <v>4396</v>
      </c>
      <c r="C44" s="464" t="s">
        <v>4397</v>
      </c>
      <c r="D44" s="465" t="s">
        <v>4398</v>
      </c>
      <c r="E44" s="463" t="s">
        <v>4399</v>
      </c>
    </row>
    <row r="45" spans="1:5" ht="84" customHeight="1" x14ac:dyDescent="0.25">
      <c r="A45" s="323" t="s">
        <v>4400</v>
      </c>
      <c r="B45" s="466" t="s">
        <v>4401</v>
      </c>
      <c r="C45" s="467" t="s">
        <v>4402</v>
      </c>
      <c r="D45" s="468" t="s">
        <v>4403</v>
      </c>
      <c r="E45" s="466" t="s">
        <v>4404</v>
      </c>
    </row>
    <row r="46" spans="1:5" ht="12" customHeight="1" x14ac:dyDescent="0.25"/>
    <row r="47" spans="1:5" ht="27.95" customHeight="1" x14ac:dyDescent="0.25">
      <c r="A47" s="505" t="s">
        <v>4405</v>
      </c>
      <c r="B47" s="500"/>
      <c r="C47" s="500"/>
      <c r="D47" s="500"/>
      <c r="E47" s="500"/>
    </row>
    <row r="48" spans="1:5" ht="20.100000000000001" customHeight="1" x14ac:dyDescent="0.25">
      <c r="A48" s="469" t="s">
        <v>4406</v>
      </c>
      <c r="B48" s="506" t="s">
        <v>4407</v>
      </c>
      <c r="C48" s="506"/>
      <c r="D48" s="470" t="s">
        <v>4408</v>
      </c>
      <c r="E48" s="470" t="s">
        <v>4409</v>
      </c>
    </row>
    <row r="49" spans="1:5" ht="95.1" customHeight="1" x14ac:dyDescent="0.25">
      <c r="A49" s="471" t="s">
        <v>4410</v>
      </c>
      <c r="B49" s="501" t="s">
        <v>4411</v>
      </c>
      <c r="C49" s="500"/>
      <c r="D49" s="473" t="s">
        <v>4412</v>
      </c>
      <c r="E49" s="472" t="s">
        <v>4413</v>
      </c>
    </row>
    <row r="50" spans="1:5" ht="95.1" customHeight="1" x14ac:dyDescent="0.25">
      <c r="A50" s="471" t="s">
        <v>4414</v>
      </c>
      <c r="B50" s="502" t="s">
        <v>4415</v>
      </c>
      <c r="C50" s="500"/>
      <c r="D50" s="467" t="s">
        <v>4416</v>
      </c>
      <c r="E50" s="466" t="s">
        <v>4417</v>
      </c>
    </row>
    <row r="51" spans="1:5" ht="95.1" customHeight="1" x14ac:dyDescent="0.25">
      <c r="A51" s="471" t="s">
        <v>4418</v>
      </c>
      <c r="B51" s="501" t="s">
        <v>4419</v>
      </c>
      <c r="C51" s="500"/>
      <c r="D51" s="473" t="s">
        <v>4420</v>
      </c>
      <c r="E51" s="472" t="s">
        <v>4413</v>
      </c>
    </row>
    <row r="52" spans="1:5" ht="95.1" customHeight="1" x14ac:dyDescent="0.25">
      <c r="A52" s="471" t="s">
        <v>4421</v>
      </c>
      <c r="B52" s="502" t="s">
        <v>4422</v>
      </c>
      <c r="C52" s="500"/>
      <c r="D52" s="467" t="s">
        <v>4423</v>
      </c>
      <c r="E52" s="466" t="s">
        <v>4424</v>
      </c>
    </row>
    <row r="53" spans="1:5" ht="95.1" customHeight="1" x14ac:dyDescent="0.25">
      <c r="A53" s="471" t="s">
        <v>4425</v>
      </c>
      <c r="B53" s="501" t="s">
        <v>4426</v>
      </c>
      <c r="C53" s="500"/>
      <c r="D53" s="473" t="s">
        <v>4427</v>
      </c>
      <c r="E53" s="472" t="s">
        <v>4424</v>
      </c>
    </row>
    <row r="54" spans="1:5" ht="95.1" customHeight="1" x14ac:dyDescent="0.25">
      <c r="A54" s="471" t="s">
        <v>4428</v>
      </c>
      <c r="B54" s="502" t="s">
        <v>4429</v>
      </c>
      <c r="C54" s="500"/>
      <c r="D54" s="467" t="s">
        <v>4430</v>
      </c>
      <c r="E54" s="466" t="s">
        <v>4431</v>
      </c>
    </row>
    <row r="55" spans="1:5" ht="95.1" customHeight="1" x14ac:dyDescent="0.25">
      <c r="A55" s="471" t="s">
        <v>4432</v>
      </c>
      <c r="B55" s="501" t="s">
        <v>4433</v>
      </c>
      <c r="C55" s="500"/>
      <c r="D55" s="473" t="s">
        <v>4434</v>
      </c>
      <c r="E55" s="472" t="s">
        <v>4435</v>
      </c>
    </row>
    <row r="56" spans="1:5" ht="95.1" customHeight="1" x14ac:dyDescent="0.25">
      <c r="A56" s="471" t="s">
        <v>4436</v>
      </c>
      <c r="B56" s="502" t="s">
        <v>4437</v>
      </c>
      <c r="C56" s="500"/>
      <c r="D56" s="467" t="s">
        <v>798</v>
      </c>
      <c r="E56" s="466" t="s">
        <v>4438</v>
      </c>
    </row>
    <row r="57" spans="1:5" ht="12" customHeight="1" x14ac:dyDescent="0.25"/>
    <row r="58" spans="1:5" ht="27.95" customHeight="1" x14ac:dyDescent="0.25">
      <c r="A58" s="503" t="s">
        <v>4439</v>
      </c>
      <c r="B58" s="500"/>
      <c r="C58" s="500"/>
      <c r="D58" s="500"/>
      <c r="E58" s="500"/>
    </row>
    <row r="59" spans="1:5" ht="20.100000000000001" customHeight="1" x14ac:dyDescent="0.25">
      <c r="A59" s="474" t="s">
        <v>4262</v>
      </c>
      <c r="B59" s="57" t="s">
        <v>4263</v>
      </c>
      <c r="C59" s="57" t="s">
        <v>4440</v>
      </c>
      <c r="D59" s="504" t="s">
        <v>4441</v>
      </c>
      <c r="E59" s="504"/>
    </row>
    <row r="60" spans="1:5" ht="30" customHeight="1" x14ac:dyDescent="0.25">
      <c r="A60" s="475" t="s">
        <v>4442</v>
      </c>
      <c r="B60" s="476" t="s">
        <v>4443</v>
      </c>
      <c r="C60" s="477" t="s">
        <v>4444</v>
      </c>
      <c r="D60" s="497" t="s">
        <v>4445</v>
      </c>
      <c r="E60" s="500"/>
    </row>
    <row r="61" spans="1:5" ht="30" customHeight="1" x14ac:dyDescent="0.25">
      <c r="A61" s="475" t="s">
        <v>4264</v>
      </c>
      <c r="B61" s="313" t="s">
        <v>4446</v>
      </c>
      <c r="C61" s="468" t="s">
        <v>4447</v>
      </c>
      <c r="D61" s="498" t="s">
        <v>4448</v>
      </c>
      <c r="E61" s="500"/>
    </row>
    <row r="62" spans="1:5" ht="30" customHeight="1" x14ac:dyDescent="0.25">
      <c r="A62" s="475" t="s">
        <v>4265</v>
      </c>
      <c r="B62" s="476" t="s">
        <v>4449</v>
      </c>
      <c r="C62" s="477" t="s">
        <v>4450</v>
      </c>
      <c r="D62" s="497" t="s">
        <v>4451</v>
      </c>
      <c r="E62" s="500"/>
    </row>
    <row r="63" spans="1:5" ht="30" customHeight="1" x14ac:dyDescent="0.25">
      <c r="A63" s="475" t="s">
        <v>4266</v>
      </c>
      <c r="B63" s="313" t="s">
        <v>4452</v>
      </c>
      <c r="C63" s="468" t="s">
        <v>4453</v>
      </c>
      <c r="D63" s="498" t="s">
        <v>4454</v>
      </c>
      <c r="E63" s="500"/>
    </row>
    <row r="64" spans="1:5" ht="30" customHeight="1" x14ac:dyDescent="0.25">
      <c r="A64" s="475" t="s">
        <v>4455</v>
      </c>
      <c r="B64" s="476" t="s">
        <v>4456</v>
      </c>
      <c r="C64" s="477" t="s">
        <v>4457</v>
      </c>
      <c r="D64" s="497" t="s">
        <v>4458</v>
      </c>
      <c r="E64" s="500"/>
    </row>
    <row r="65" spans="1:5" ht="30" customHeight="1" x14ac:dyDescent="0.25">
      <c r="A65" s="475" t="s">
        <v>4459</v>
      </c>
      <c r="B65" s="313" t="s">
        <v>4460</v>
      </c>
      <c r="C65" s="468" t="s">
        <v>4461</v>
      </c>
      <c r="D65" s="498" t="s">
        <v>4462</v>
      </c>
      <c r="E65" s="498"/>
    </row>
    <row r="66" spans="1:5" ht="30" customHeight="1" x14ac:dyDescent="0.25">
      <c r="A66" s="475" t="s">
        <v>4267</v>
      </c>
      <c r="B66" s="476" t="s">
        <v>4268</v>
      </c>
      <c r="C66" s="477" t="s">
        <v>4463</v>
      </c>
      <c r="D66" s="497" t="s">
        <v>4464</v>
      </c>
      <c r="E66" s="497"/>
    </row>
    <row r="67" spans="1:5" ht="30" customHeight="1" x14ac:dyDescent="0.25">
      <c r="A67" s="475" t="s">
        <v>4465</v>
      </c>
      <c r="B67" s="313" t="s">
        <v>4466</v>
      </c>
      <c r="C67" s="468" t="s">
        <v>4467</v>
      </c>
      <c r="D67" s="498" t="s">
        <v>4468</v>
      </c>
      <c r="E67" s="498"/>
    </row>
    <row r="68" spans="1:5" ht="30" customHeight="1" x14ac:dyDescent="0.25">
      <c r="A68" s="475" t="s">
        <v>4469</v>
      </c>
      <c r="B68" s="476" t="s">
        <v>4470</v>
      </c>
      <c r="C68" s="477" t="s">
        <v>4471</v>
      </c>
      <c r="D68" s="497" t="s">
        <v>4472</v>
      </c>
      <c r="E68" s="497"/>
    </row>
    <row r="69" spans="1:5" ht="30" customHeight="1" x14ac:dyDescent="0.25">
      <c r="A69" s="475" t="s">
        <v>4473</v>
      </c>
      <c r="B69" s="313" t="s">
        <v>4474</v>
      </c>
      <c r="C69" s="468" t="s">
        <v>4475</v>
      </c>
      <c r="D69" s="498" t="s">
        <v>4476</v>
      </c>
      <c r="E69" s="498"/>
    </row>
    <row r="70" spans="1:5" ht="12" customHeight="1" x14ac:dyDescent="0.25"/>
    <row r="71" spans="1:5" ht="36" customHeight="1" x14ac:dyDescent="0.3">
      <c r="A71" s="499" t="s">
        <v>4477</v>
      </c>
      <c r="B71" s="500"/>
      <c r="C71" s="500"/>
      <c r="D71" s="500"/>
      <c r="E71" s="500"/>
    </row>
    <row r="72" spans="1:5" ht="18" customHeight="1" x14ac:dyDescent="0.25"/>
    <row r="73" spans="1:5" ht="18" customHeight="1" x14ac:dyDescent="0.25"/>
    <row r="74" spans="1:5" ht="18" customHeight="1" x14ac:dyDescent="0.25"/>
    <row r="75" spans="1:5" ht="18" customHeight="1" x14ac:dyDescent="0.25"/>
    <row r="76" spans="1:5" ht="18" customHeight="1" x14ac:dyDescent="0.25"/>
    <row r="77" spans="1:5" ht="18" customHeight="1" x14ac:dyDescent="0.25"/>
    <row r="78" spans="1:5" ht="18" customHeight="1" x14ac:dyDescent="0.25"/>
    <row r="79" spans="1:5" ht="18" customHeight="1" x14ac:dyDescent="0.25"/>
    <row r="80" spans="1:5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</sheetData>
  <mergeCells count="35">
    <mergeCell ref="D7:E7"/>
    <mergeCell ref="A1:E1"/>
    <mergeCell ref="A2:E2"/>
    <mergeCell ref="A4:E4"/>
    <mergeCell ref="D5:E5"/>
    <mergeCell ref="D6:E6"/>
    <mergeCell ref="B52:C52"/>
    <mergeCell ref="D8:E8"/>
    <mergeCell ref="D9:E9"/>
    <mergeCell ref="D10:E10"/>
    <mergeCell ref="A13:E13"/>
    <mergeCell ref="A21:E21"/>
    <mergeCell ref="A34:E34"/>
    <mergeCell ref="A47:E47"/>
    <mergeCell ref="B48:C48"/>
    <mergeCell ref="B49:C49"/>
    <mergeCell ref="B50:C50"/>
    <mergeCell ref="B51:C51"/>
    <mergeCell ref="D65:E65"/>
    <mergeCell ref="B53:C53"/>
    <mergeCell ref="B54:C54"/>
    <mergeCell ref="B55:C55"/>
    <mergeCell ref="B56:C56"/>
    <mergeCell ref="A58:E58"/>
    <mergeCell ref="D59:E59"/>
    <mergeCell ref="D60:E60"/>
    <mergeCell ref="D61:E61"/>
    <mergeCell ref="D62:E62"/>
    <mergeCell ref="D63:E63"/>
    <mergeCell ref="D64:E64"/>
    <mergeCell ref="D66:E66"/>
    <mergeCell ref="D67:E67"/>
    <mergeCell ref="D68:E68"/>
    <mergeCell ref="D69:E69"/>
    <mergeCell ref="A71:E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EF17-8DEF-4EA1-8784-645D1897C090}">
  <sheetPr>
    <tabColor rgb="FF2C3E50"/>
  </sheetPr>
  <dimension ref="A1:R60"/>
  <sheetViews>
    <sheetView workbookViewId="0">
      <selection activeCell="B29" sqref="B29"/>
    </sheetView>
  </sheetViews>
  <sheetFormatPr baseColWidth="10" defaultRowHeight="15" x14ac:dyDescent="0.25"/>
  <cols>
    <col min="1" max="1" width="2.85546875" customWidth="1"/>
    <col min="2" max="2" width="41.85546875" customWidth="1"/>
    <col min="3" max="3" width="43" customWidth="1"/>
    <col min="4" max="4" width="47.140625" bestFit="1" customWidth="1"/>
    <col min="5" max="5" width="26" customWidth="1"/>
    <col min="6" max="6" width="11.28515625" customWidth="1"/>
  </cols>
  <sheetData>
    <row r="1" spans="1:18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21" customHeight="1" x14ac:dyDescent="0.25">
      <c r="A2" s="13"/>
      <c r="B2" s="514" t="s">
        <v>88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13"/>
      <c r="R2" s="13"/>
    </row>
    <row r="3" spans="1:18" x14ac:dyDescent="0.25">
      <c r="A3" s="13"/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13"/>
      <c r="R3" s="13"/>
    </row>
    <row r="4" spans="1:18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ht="15.75" x14ac:dyDescent="0.25">
      <c r="A5" s="13"/>
      <c r="B5" s="515" t="s">
        <v>89</v>
      </c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13"/>
      <c r="R5" s="13"/>
    </row>
    <row r="6" spans="1:18" x14ac:dyDescent="0.25">
      <c r="A6" s="13"/>
      <c r="B6" s="295" t="s">
        <v>90</v>
      </c>
      <c r="C6" s="295" t="s">
        <v>91</v>
      </c>
      <c r="D6" s="295" t="s">
        <v>92</v>
      </c>
      <c r="E6" s="295" t="s">
        <v>93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x14ac:dyDescent="0.25">
      <c r="A7" s="13"/>
      <c r="B7" s="296" t="s">
        <v>94</v>
      </c>
      <c r="C7" s="296" t="s">
        <v>95</v>
      </c>
      <c r="D7" s="296" t="s">
        <v>96</v>
      </c>
      <c r="E7" s="296" t="s">
        <v>97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8" x14ac:dyDescent="0.25">
      <c r="A8" s="13"/>
      <c r="B8" s="297" t="s">
        <v>98</v>
      </c>
      <c r="C8" s="297" t="s">
        <v>99</v>
      </c>
      <c r="D8" s="297" t="s">
        <v>100</v>
      </c>
      <c r="E8" s="297" t="s">
        <v>101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x14ac:dyDescent="0.25">
      <c r="A9" s="13"/>
      <c r="B9" s="298" t="s">
        <v>102</v>
      </c>
      <c r="C9" s="298" t="s">
        <v>103</v>
      </c>
      <c r="D9" s="298" t="s">
        <v>104</v>
      </c>
      <c r="E9" s="298" t="s">
        <v>105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x14ac:dyDescent="0.25">
      <c r="A10" s="13"/>
      <c r="B10" s="299" t="s">
        <v>106</v>
      </c>
      <c r="C10" s="299" t="s">
        <v>107</v>
      </c>
      <c r="D10" s="299" t="s">
        <v>108</v>
      </c>
      <c r="E10" s="299" t="s">
        <v>109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15.75" x14ac:dyDescent="0.25">
      <c r="A12" s="13"/>
      <c r="B12" s="516" t="s">
        <v>110</v>
      </c>
      <c r="C12" s="516"/>
      <c r="D12" s="516"/>
      <c r="E12" s="516"/>
      <c r="F12" s="516"/>
      <c r="G12" s="516"/>
      <c r="H12" s="516"/>
      <c r="I12" s="516"/>
      <c r="J12" s="516"/>
      <c r="K12" s="516"/>
      <c r="L12" s="516"/>
      <c r="M12" s="516"/>
      <c r="N12" s="516"/>
      <c r="O12" s="516"/>
      <c r="P12" s="516"/>
      <c r="Q12" s="13"/>
      <c r="R12" s="13"/>
    </row>
    <row r="13" spans="1:18" x14ac:dyDescent="0.25">
      <c r="A13" s="13"/>
      <c r="B13" s="202" t="s">
        <v>111</v>
      </c>
      <c r="C13" s="202" t="s">
        <v>112</v>
      </c>
      <c r="D13" s="202" t="s">
        <v>113</v>
      </c>
      <c r="E13" s="202" t="s">
        <v>114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x14ac:dyDescent="0.25">
      <c r="A14" s="13"/>
      <c r="B14" s="300" t="s">
        <v>115</v>
      </c>
      <c r="C14" s="300" t="s">
        <v>116</v>
      </c>
      <c r="D14" s="300" t="s">
        <v>117</v>
      </c>
      <c r="E14" s="300" t="s">
        <v>118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25">
      <c r="A15" s="13"/>
      <c r="B15" s="301" t="s">
        <v>119</v>
      </c>
      <c r="C15" s="301" t="s">
        <v>120</v>
      </c>
      <c r="D15" s="301" t="s">
        <v>121</v>
      </c>
      <c r="E15" s="301" t="s">
        <v>122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5">
      <c r="A16" s="13"/>
      <c r="B16" s="300" t="s">
        <v>123</v>
      </c>
      <c r="C16" s="300" t="s">
        <v>124</v>
      </c>
      <c r="D16" s="300" t="s">
        <v>125</v>
      </c>
      <c r="E16" s="300" t="s">
        <v>126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25">
      <c r="A17" s="13"/>
      <c r="B17" s="301" t="s">
        <v>127</v>
      </c>
      <c r="C17" s="301" t="s">
        <v>128</v>
      </c>
      <c r="D17" s="301" t="s">
        <v>129</v>
      </c>
      <c r="E17" s="301" t="s">
        <v>130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x14ac:dyDescent="0.25">
      <c r="A18" s="13"/>
      <c r="B18" s="300" t="s">
        <v>131</v>
      </c>
      <c r="C18" s="300" t="s">
        <v>132</v>
      </c>
      <c r="D18" s="300" t="s">
        <v>133</v>
      </c>
      <c r="E18" s="300" t="s">
        <v>134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15.75" x14ac:dyDescent="0.25">
      <c r="A20" s="13"/>
      <c r="B20" s="515" t="s">
        <v>135</v>
      </c>
      <c r="C20" s="515"/>
      <c r="D20" s="515"/>
      <c r="E20" s="515"/>
      <c r="F20" s="515"/>
      <c r="G20" s="515"/>
      <c r="H20" s="515"/>
      <c r="I20" s="515"/>
      <c r="J20" s="515"/>
      <c r="K20" s="515"/>
      <c r="L20" s="515"/>
      <c r="M20" s="515"/>
      <c r="N20" s="515"/>
      <c r="O20" s="515"/>
      <c r="P20" s="515"/>
      <c r="Q20" s="13"/>
      <c r="R20" s="13"/>
    </row>
    <row r="21" spans="1:18" x14ac:dyDescent="0.25">
      <c r="A21" s="13"/>
      <c r="B21" s="201" t="s">
        <v>136</v>
      </c>
      <c r="C21" s="201" t="s">
        <v>137</v>
      </c>
      <c r="D21" s="201" t="s">
        <v>138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5">
      <c r="A22" s="13"/>
      <c r="B22" s="296" t="s">
        <v>139</v>
      </c>
      <c r="C22" s="296" t="s">
        <v>140</v>
      </c>
      <c r="D22" s="296" t="s">
        <v>141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5">
      <c r="A23" s="13"/>
      <c r="B23" s="301" t="s">
        <v>142</v>
      </c>
      <c r="C23" s="301" t="s">
        <v>143</v>
      </c>
      <c r="D23" s="301" t="s">
        <v>144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25">
      <c r="A24" s="13"/>
      <c r="B24" s="296" t="s">
        <v>145</v>
      </c>
      <c r="C24" s="296" t="s">
        <v>146</v>
      </c>
      <c r="D24" s="296" t="s">
        <v>147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25">
      <c r="A25" s="13"/>
      <c r="B25" s="301" t="s">
        <v>148</v>
      </c>
      <c r="C25" s="301" t="s">
        <v>149</v>
      </c>
      <c r="D25" s="301" t="s">
        <v>150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ht="15.75" x14ac:dyDescent="0.25">
      <c r="A27" s="13"/>
      <c r="B27" s="517" t="s">
        <v>151</v>
      </c>
      <c r="C27" s="517"/>
      <c r="D27" s="517"/>
      <c r="E27" s="517"/>
      <c r="F27" s="517"/>
      <c r="G27" s="517"/>
      <c r="H27" s="517"/>
      <c r="I27" s="517"/>
      <c r="J27" s="517"/>
      <c r="K27" s="517"/>
      <c r="L27" s="517"/>
      <c r="M27" s="517"/>
      <c r="N27" s="517"/>
      <c r="O27" s="517"/>
      <c r="P27" s="517"/>
      <c r="Q27" s="13"/>
      <c r="R27" s="13"/>
    </row>
    <row r="28" spans="1:18" x14ac:dyDescent="0.25">
      <c r="A28" s="13"/>
      <c r="B28" s="18" t="s">
        <v>152</v>
      </c>
      <c r="C28" s="18" t="s">
        <v>153</v>
      </c>
      <c r="D28" s="18" t="s">
        <v>154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5">
      <c r="A29" s="13"/>
      <c r="B29" s="298" t="s">
        <v>155</v>
      </c>
      <c r="C29" s="298" t="s">
        <v>156</v>
      </c>
      <c r="D29" s="298" t="s">
        <v>157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25">
      <c r="A30" s="13"/>
      <c r="B30" s="301" t="s">
        <v>158</v>
      </c>
      <c r="C30" s="301" t="s">
        <v>159</v>
      </c>
      <c r="D30" s="301" t="s">
        <v>160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x14ac:dyDescent="0.25">
      <c r="A31" s="13"/>
      <c r="B31" s="298" t="s">
        <v>161</v>
      </c>
      <c r="C31" s="298" t="s">
        <v>39</v>
      </c>
      <c r="D31" s="298" t="s">
        <v>162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x14ac:dyDescent="0.25">
      <c r="A32" s="13"/>
      <c r="B32" s="301" t="s">
        <v>163</v>
      </c>
      <c r="C32" s="301" t="s">
        <v>164</v>
      </c>
      <c r="D32" s="301" t="s">
        <v>165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x14ac:dyDescent="0.25">
      <c r="A33" s="13"/>
      <c r="B33" s="298" t="s">
        <v>166</v>
      </c>
      <c r="C33" s="298" t="s">
        <v>52</v>
      </c>
      <c r="D33" s="298" t="s">
        <v>167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x14ac:dyDescent="0.25">
      <c r="A34" s="13"/>
      <c r="B34" s="301" t="s">
        <v>168</v>
      </c>
      <c r="C34" s="301" t="s">
        <v>58</v>
      </c>
      <c r="D34" s="301" t="s">
        <v>169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x14ac:dyDescent="0.25">
      <c r="A35" s="13"/>
      <c r="B35" s="298" t="s">
        <v>170</v>
      </c>
      <c r="C35" s="298" t="s">
        <v>171</v>
      </c>
      <c r="D35" s="298" t="s">
        <v>172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</sheetData>
  <mergeCells count="5">
    <mergeCell ref="B2:P3"/>
    <mergeCell ref="B5:P5"/>
    <mergeCell ref="B12:P12"/>
    <mergeCell ref="B20:P20"/>
    <mergeCell ref="B27:P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A1DA-1226-4ABD-9F20-B6482AFE6F53}">
  <sheetPr>
    <tabColor rgb="FF7030A0"/>
  </sheetPr>
  <dimension ref="A1:P750"/>
  <sheetViews>
    <sheetView workbookViewId="0">
      <pane ySplit="2" topLeftCell="A15" activePane="bottomLeft" state="frozen"/>
      <selection pane="bottomLeft" sqref="A1:P1"/>
    </sheetView>
  </sheetViews>
  <sheetFormatPr baseColWidth="10" defaultRowHeight="15" x14ac:dyDescent="0.25"/>
  <cols>
    <col min="1" max="1" width="143.85546875" bestFit="1" customWidth="1"/>
    <col min="2" max="2" width="90.85546875" bestFit="1" customWidth="1"/>
    <col min="3" max="3" width="35.28515625" bestFit="1" customWidth="1"/>
    <col min="4" max="4" width="45.7109375" customWidth="1"/>
    <col min="5" max="5" width="38.140625" customWidth="1"/>
  </cols>
  <sheetData>
    <row r="1" spans="1:16" ht="21" x14ac:dyDescent="0.35">
      <c r="A1" s="518" t="s">
        <v>3179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</row>
    <row r="2" spans="1:16" x14ac:dyDescent="0.25">
      <c r="A2" s="302" t="s">
        <v>3180</v>
      </c>
    </row>
    <row r="4" spans="1:16" ht="17.25" x14ac:dyDescent="0.3">
      <c r="A4" s="303" t="s">
        <v>3181</v>
      </c>
    </row>
    <row r="5" spans="1:16" x14ac:dyDescent="0.25">
      <c r="A5" s="304" t="s">
        <v>3182</v>
      </c>
      <c r="B5" s="304" t="s">
        <v>3183</v>
      </c>
      <c r="C5" s="304" t="s">
        <v>3184</v>
      </c>
      <c r="D5" s="304" t="s">
        <v>3185</v>
      </c>
    </row>
    <row r="6" spans="1:16" x14ac:dyDescent="0.25">
      <c r="A6" s="305" t="s">
        <v>3186</v>
      </c>
      <c r="B6" s="305" t="s">
        <v>3187</v>
      </c>
      <c r="C6" s="305" t="s">
        <v>3188</v>
      </c>
      <c r="D6" s="305" t="s">
        <v>3189</v>
      </c>
    </row>
    <row r="7" spans="1:16" x14ac:dyDescent="0.25">
      <c r="A7" s="306" t="s">
        <v>3190</v>
      </c>
      <c r="B7" s="306" t="s">
        <v>3191</v>
      </c>
      <c r="C7" s="306" t="s">
        <v>3192</v>
      </c>
      <c r="D7" s="306" t="s">
        <v>3193</v>
      </c>
    </row>
    <row r="8" spans="1:16" x14ac:dyDescent="0.25">
      <c r="A8" s="305" t="s">
        <v>3194</v>
      </c>
      <c r="B8" s="305" t="s">
        <v>3195</v>
      </c>
      <c r="C8" s="305" t="s">
        <v>3196</v>
      </c>
      <c r="D8" s="305" t="s">
        <v>3197</v>
      </c>
    </row>
    <row r="9" spans="1:16" x14ac:dyDescent="0.25">
      <c r="A9" s="306" t="s">
        <v>3198</v>
      </c>
      <c r="B9" s="306" t="s">
        <v>3199</v>
      </c>
      <c r="C9" s="306" t="s">
        <v>3200</v>
      </c>
      <c r="D9" s="306" t="s">
        <v>3201</v>
      </c>
    </row>
    <row r="10" spans="1:16" x14ac:dyDescent="0.25">
      <c r="A10" s="305" t="s">
        <v>3202</v>
      </c>
      <c r="B10" s="305" t="s">
        <v>3203</v>
      </c>
      <c r="C10" s="305" t="s">
        <v>3204</v>
      </c>
      <c r="D10" s="305" t="s">
        <v>3205</v>
      </c>
    </row>
    <row r="11" spans="1:16" x14ac:dyDescent="0.25">
      <c r="A11" s="306" t="s">
        <v>3206</v>
      </c>
      <c r="B11" s="306" t="s">
        <v>3207</v>
      </c>
      <c r="C11" s="306" t="s">
        <v>3208</v>
      </c>
      <c r="D11" s="306" t="s">
        <v>3209</v>
      </c>
    </row>
    <row r="12" spans="1:16" x14ac:dyDescent="0.25">
      <c r="A12" s="305" t="s">
        <v>3210</v>
      </c>
      <c r="B12" s="305" t="s">
        <v>3211</v>
      </c>
      <c r="C12" s="305" t="s">
        <v>3212</v>
      </c>
      <c r="D12" s="305" t="s">
        <v>3213</v>
      </c>
    </row>
    <row r="13" spans="1:16" x14ac:dyDescent="0.25">
      <c r="A13" s="306" t="s">
        <v>3214</v>
      </c>
      <c r="B13" s="306" t="s">
        <v>3215</v>
      </c>
      <c r="C13" s="306" t="s">
        <v>3216</v>
      </c>
      <c r="D13" s="306" t="s">
        <v>3217</v>
      </c>
    </row>
    <row r="14" spans="1:16" x14ac:dyDescent="0.25">
      <c r="A14" s="305" t="s">
        <v>3218</v>
      </c>
      <c r="B14" s="305" t="s">
        <v>3219</v>
      </c>
      <c r="C14" s="305" t="s">
        <v>3220</v>
      </c>
      <c r="D14" s="305" t="s">
        <v>3221</v>
      </c>
    </row>
    <row r="15" spans="1:16" x14ac:dyDescent="0.25">
      <c r="A15" s="306" t="s">
        <v>3222</v>
      </c>
      <c r="B15" s="306" t="s">
        <v>3223</v>
      </c>
      <c r="C15" s="306" t="s">
        <v>3224</v>
      </c>
      <c r="D15" s="306" t="s">
        <v>3225</v>
      </c>
    </row>
    <row r="17" spans="1:5" ht="27.95" customHeight="1" x14ac:dyDescent="0.3">
      <c r="A17" s="307" t="s">
        <v>3237</v>
      </c>
    </row>
    <row r="18" spans="1:5" ht="39.950000000000003" customHeight="1" x14ac:dyDescent="0.25">
      <c r="A18" s="308" t="s">
        <v>3238</v>
      </c>
    </row>
    <row r="20" spans="1:5" x14ac:dyDescent="0.25">
      <c r="A20" s="309" t="s">
        <v>552</v>
      </c>
      <c r="B20" s="309" t="s">
        <v>3239</v>
      </c>
      <c r="C20" s="309" t="s">
        <v>3226</v>
      </c>
      <c r="D20" s="309" t="s">
        <v>3240</v>
      </c>
      <c r="E20" s="309" t="s">
        <v>3241</v>
      </c>
    </row>
    <row r="21" spans="1:5" ht="48" customHeight="1" x14ac:dyDescent="0.25">
      <c r="A21" s="312" t="s">
        <v>562</v>
      </c>
      <c r="B21" s="311" t="s">
        <v>3227</v>
      </c>
      <c r="C21" s="311" t="s">
        <v>3242</v>
      </c>
      <c r="D21" s="311" t="s">
        <v>3243</v>
      </c>
      <c r="E21" s="311" t="s">
        <v>3244</v>
      </c>
    </row>
    <row r="22" spans="1:5" ht="48" customHeight="1" x14ac:dyDescent="0.25">
      <c r="A22" s="315" t="s">
        <v>572</v>
      </c>
      <c r="B22" s="314" t="s">
        <v>3228</v>
      </c>
      <c r="C22" s="314" t="s">
        <v>3245</v>
      </c>
      <c r="D22" s="314" t="s">
        <v>3246</v>
      </c>
      <c r="E22" s="314" t="s">
        <v>3247</v>
      </c>
    </row>
    <row r="23" spans="1:5" ht="48" customHeight="1" x14ac:dyDescent="0.25">
      <c r="A23" s="312" t="s">
        <v>581</v>
      </c>
      <c r="B23" s="311" t="s">
        <v>3229</v>
      </c>
      <c r="C23" s="311" t="s">
        <v>3248</v>
      </c>
      <c r="D23" s="311" t="s">
        <v>3249</v>
      </c>
      <c r="E23" s="311" t="s">
        <v>3250</v>
      </c>
    </row>
    <row r="24" spans="1:5" ht="48" customHeight="1" x14ac:dyDescent="0.25">
      <c r="A24" s="315" t="s">
        <v>587</v>
      </c>
      <c r="B24" s="314" t="s">
        <v>3230</v>
      </c>
      <c r="C24" s="314" t="s">
        <v>3251</v>
      </c>
      <c r="D24" s="314" t="s">
        <v>3252</v>
      </c>
      <c r="E24" s="314" t="s">
        <v>3253</v>
      </c>
    </row>
    <row r="25" spans="1:5" ht="48" customHeight="1" x14ac:dyDescent="0.25">
      <c r="A25" s="312" t="s">
        <v>593</v>
      </c>
      <c r="B25" s="311" t="s">
        <v>3231</v>
      </c>
      <c r="C25" s="311" t="s">
        <v>3254</v>
      </c>
      <c r="D25" s="311" t="s">
        <v>3255</v>
      </c>
      <c r="E25" s="311" t="s">
        <v>3256</v>
      </c>
    </row>
    <row r="27" spans="1:5" ht="24" customHeight="1" x14ac:dyDescent="0.25">
      <c r="A27" s="316" t="s">
        <v>3232</v>
      </c>
    </row>
    <row r="28" spans="1:5" ht="36" customHeight="1" x14ac:dyDescent="0.25">
      <c r="A28" s="318" t="s">
        <v>3257</v>
      </c>
      <c r="B28" s="317" t="s">
        <v>3258</v>
      </c>
    </row>
    <row r="29" spans="1:5" ht="36" customHeight="1" x14ac:dyDescent="0.25">
      <c r="A29" s="318" t="s">
        <v>3233</v>
      </c>
      <c r="B29" s="317" t="s">
        <v>3259</v>
      </c>
    </row>
    <row r="30" spans="1:5" ht="36" customHeight="1" x14ac:dyDescent="0.25">
      <c r="A30" s="318" t="s">
        <v>3234</v>
      </c>
      <c r="B30" s="317" t="s">
        <v>3260</v>
      </c>
    </row>
    <row r="31" spans="1:5" ht="36" customHeight="1" x14ac:dyDescent="0.25">
      <c r="A31" s="318" t="s">
        <v>3261</v>
      </c>
      <c r="B31" s="317" t="s">
        <v>3262</v>
      </c>
    </row>
    <row r="32" spans="1:5" ht="32.1" customHeight="1" x14ac:dyDescent="0.25">
      <c r="A32" s="318" t="s">
        <v>3235</v>
      </c>
      <c r="B32" s="317" t="s">
        <v>3236</v>
      </c>
    </row>
    <row r="33" spans="1:4" ht="24" customHeight="1" x14ac:dyDescent="0.25">
      <c r="A33" s="319" t="s">
        <v>3263</v>
      </c>
    </row>
    <row r="34" spans="1:4" x14ac:dyDescent="0.25">
      <c r="A34" s="324" t="s">
        <v>3264</v>
      </c>
      <c r="B34" s="322" t="s">
        <v>3265</v>
      </c>
      <c r="C34" s="322" t="s">
        <v>3266</v>
      </c>
      <c r="D34" s="322"/>
    </row>
    <row r="35" spans="1:4" x14ac:dyDescent="0.25">
      <c r="A35" s="325"/>
      <c r="B35" s="325" t="s">
        <v>3267</v>
      </c>
      <c r="C35" s="325" t="s">
        <v>3268</v>
      </c>
      <c r="D35" s="325"/>
    </row>
    <row r="36" spans="1:4" x14ac:dyDescent="0.25">
      <c r="A36" s="327" t="s">
        <v>3269</v>
      </c>
      <c r="B36" s="327" t="s">
        <v>3270</v>
      </c>
      <c r="C36" s="327" t="s">
        <v>3266</v>
      </c>
      <c r="D36" s="327" t="s">
        <v>3271</v>
      </c>
    </row>
    <row r="37" spans="1:4" x14ac:dyDescent="0.25">
      <c r="A37" s="21" t="s">
        <v>3272</v>
      </c>
      <c r="B37" s="21" t="s">
        <v>3273</v>
      </c>
      <c r="C37" s="21" t="s">
        <v>3274</v>
      </c>
      <c r="D37" s="21"/>
    </row>
    <row r="38" spans="1:4" x14ac:dyDescent="0.25">
      <c r="A38" s="327" t="s">
        <v>3275</v>
      </c>
      <c r="B38" s="327" t="s">
        <v>3276</v>
      </c>
      <c r="C38" s="327" t="s">
        <v>3266</v>
      </c>
      <c r="D38" s="327" t="s">
        <v>3277</v>
      </c>
    </row>
    <row r="39" spans="1:4" x14ac:dyDescent="0.25">
      <c r="A39" s="21" t="s">
        <v>3278</v>
      </c>
      <c r="B39" s="21" t="s">
        <v>3279</v>
      </c>
      <c r="C39" s="21" t="s">
        <v>3268</v>
      </c>
      <c r="D39" s="21"/>
    </row>
    <row r="40" spans="1:4" x14ac:dyDescent="0.25">
      <c r="A40" s="327" t="s">
        <v>3280</v>
      </c>
      <c r="B40" s="327" t="s">
        <v>3281</v>
      </c>
      <c r="C40" s="327" t="s">
        <v>3266</v>
      </c>
      <c r="D40" s="327" t="s">
        <v>3282</v>
      </c>
    </row>
    <row r="41" spans="1:4" x14ac:dyDescent="0.25">
      <c r="A41" s="21" t="s">
        <v>3283</v>
      </c>
      <c r="B41" s="21" t="s">
        <v>3284</v>
      </c>
      <c r="C41" s="21" t="s">
        <v>3268</v>
      </c>
      <c r="D41" s="21"/>
    </row>
    <row r="42" spans="1:4" x14ac:dyDescent="0.25">
      <c r="A42" s="322"/>
      <c r="B42" s="322" t="s">
        <v>3285</v>
      </c>
      <c r="C42" s="322" t="s">
        <v>3266</v>
      </c>
      <c r="D42" s="322"/>
    </row>
    <row r="43" spans="1:4" x14ac:dyDescent="0.25">
      <c r="A43" s="21" t="s">
        <v>3286</v>
      </c>
      <c r="B43" s="21" t="s">
        <v>3287</v>
      </c>
      <c r="C43" s="21" t="s">
        <v>3288</v>
      </c>
      <c r="D43" s="21"/>
    </row>
    <row r="44" spans="1:4" x14ac:dyDescent="0.25">
      <c r="A44" s="327" t="s">
        <v>336</v>
      </c>
      <c r="B44" s="327" t="s">
        <v>3289</v>
      </c>
      <c r="C44" s="327" t="s">
        <v>3266</v>
      </c>
      <c r="D44" s="327" t="s">
        <v>3290</v>
      </c>
    </row>
    <row r="46" spans="1:4" ht="14.1" customHeight="1" x14ac:dyDescent="0.25"/>
    <row r="47" spans="1:4" ht="27.95" customHeight="1" x14ac:dyDescent="0.3">
      <c r="A47" s="307" t="s">
        <v>3291</v>
      </c>
    </row>
    <row r="48" spans="1:4" ht="44.1" customHeight="1" x14ac:dyDescent="0.25">
      <c r="A48" s="308" t="s">
        <v>3292</v>
      </c>
    </row>
    <row r="50" spans="1:6" x14ac:dyDescent="0.25">
      <c r="A50" s="309" t="s">
        <v>3293</v>
      </c>
      <c r="B50" s="309" t="s">
        <v>3294</v>
      </c>
      <c r="C50" s="309" t="s">
        <v>3295</v>
      </c>
      <c r="D50" s="309" t="s">
        <v>3296</v>
      </c>
      <c r="E50" s="309" t="s">
        <v>3297</v>
      </c>
    </row>
    <row r="51" spans="1:6" ht="39.950000000000003" customHeight="1" x14ac:dyDescent="0.25">
      <c r="A51" s="328" t="s">
        <v>3298</v>
      </c>
      <c r="B51" s="310" t="s">
        <v>3299</v>
      </c>
      <c r="C51" s="310" t="s">
        <v>1487</v>
      </c>
      <c r="D51" s="310" t="s">
        <v>3300</v>
      </c>
      <c r="E51" s="310" t="s">
        <v>3301</v>
      </c>
    </row>
    <row r="52" spans="1:6" ht="39.950000000000003" customHeight="1" x14ac:dyDescent="0.25">
      <c r="A52" s="329" t="s">
        <v>3302</v>
      </c>
      <c r="B52" s="313" t="s">
        <v>3299</v>
      </c>
      <c r="C52" s="313" t="s">
        <v>1487</v>
      </c>
      <c r="D52" s="313" t="s">
        <v>3303</v>
      </c>
      <c r="E52" s="313" t="s">
        <v>3304</v>
      </c>
    </row>
    <row r="53" spans="1:6" ht="39.950000000000003" customHeight="1" x14ac:dyDescent="0.25">
      <c r="A53" s="328" t="s">
        <v>3305</v>
      </c>
      <c r="B53" s="310" t="s">
        <v>3299</v>
      </c>
      <c r="C53" s="310" t="s">
        <v>1487</v>
      </c>
      <c r="D53" s="310" t="s">
        <v>3306</v>
      </c>
      <c r="E53" s="310" t="s">
        <v>3307</v>
      </c>
    </row>
    <row r="54" spans="1:6" ht="39.950000000000003" customHeight="1" x14ac:dyDescent="0.25">
      <c r="A54" s="329" t="s">
        <v>3308</v>
      </c>
      <c r="B54" s="313" t="s">
        <v>3309</v>
      </c>
      <c r="C54" s="313" t="s">
        <v>1492</v>
      </c>
      <c r="D54" s="313" t="s">
        <v>3310</v>
      </c>
      <c r="E54" s="313" t="s">
        <v>3311</v>
      </c>
    </row>
    <row r="55" spans="1:6" ht="39.950000000000003" customHeight="1" x14ac:dyDescent="0.25">
      <c r="A55" s="328" t="s">
        <v>3312</v>
      </c>
      <c r="B55" s="310" t="s">
        <v>3313</v>
      </c>
      <c r="C55" s="310" t="s">
        <v>1492</v>
      </c>
      <c r="D55" s="310" t="s">
        <v>3314</v>
      </c>
      <c r="E55" s="310" t="s">
        <v>3315</v>
      </c>
    </row>
    <row r="56" spans="1:6" ht="39.950000000000003" customHeight="1" x14ac:dyDescent="0.25">
      <c r="A56" s="329" t="s">
        <v>3316</v>
      </c>
      <c r="B56" s="313" t="s">
        <v>3317</v>
      </c>
      <c r="C56" s="313" t="s">
        <v>3318</v>
      </c>
      <c r="D56" s="313" t="s">
        <v>3319</v>
      </c>
      <c r="E56" s="313" t="s">
        <v>3320</v>
      </c>
    </row>
    <row r="58" spans="1:6" ht="24" customHeight="1" x14ac:dyDescent="0.25">
      <c r="A58" s="316" t="s">
        <v>3321</v>
      </c>
    </row>
    <row r="59" spans="1:6" x14ac:dyDescent="0.25">
      <c r="A59" s="304" t="s">
        <v>70</v>
      </c>
      <c r="B59" s="304" t="s">
        <v>3322</v>
      </c>
      <c r="C59" s="304" t="s">
        <v>3323</v>
      </c>
      <c r="D59" s="304" t="s">
        <v>3324</v>
      </c>
      <c r="E59" s="304" t="s">
        <v>3325</v>
      </c>
      <c r="F59" s="304" t="s">
        <v>3326</v>
      </c>
    </row>
    <row r="60" spans="1:6" x14ac:dyDescent="0.25">
      <c r="A60" s="148" t="s">
        <v>26</v>
      </c>
      <c r="B60" s="148" t="s">
        <v>77</v>
      </c>
      <c r="C60" s="148" t="s">
        <v>3327</v>
      </c>
      <c r="D60" s="148">
        <v>1</v>
      </c>
      <c r="E60" s="148">
        <v>1</v>
      </c>
      <c r="F60" s="148" t="s">
        <v>3328</v>
      </c>
    </row>
    <row r="61" spans="1:6" x14ac:dyDescent="0.25">
      <c r="A61" s="21" t="s">
        <v>31</v>
      </c>
      <c r="B61" s="21" t="s">
        <v>77</v>
      </c>
      <c r="C61" s="21" t="s">
        <v>3329</v>
      </c>
      <c r="D61" s="21">
        <v>1</v>
      </c>
      <c r="E61" s="21">
        <v>1</v>
      </c>
      <c r="F61" s="21" t="s">
        <v>3330</v>
      </c>
    </row>
    <row r="62" spans="1:6" x14ac:dyDescent="0.25">
      <c r="A62" s="148" t="s">
        <v>33</v>
      </c>
      <c r="B62" s="148" t="s">
        <v>82</v>
      </c>
      <c r="C62" s="148" t="s">
        <v>3331</v>
      </c>
      <c r="D62" s="148" t="s">
        <v>3332</v>
      </c>
      <c r="E62" s="148" t="s">
        <v>3333</v>
      </c>
      <c r="F62" s="148" t="s">
        <v>3334</v>
      </c>
    </row>
    <row r="63" spans="1:6" x14ac:dyDescent="0.25">
      <c r="A63" s="21" t="s">
        <v>35</v>
      </c>
      <c r="B63" s="21" t="s">
        <v>84</v>
      </c>
      <c r="C63" s="21" t="s">
        <v>3335</v>
      </c>
      <c r="D63" s="21" t="s">
        <v>3336</v>
      </c>
      <c r="E63" s="21" t="s">
        <v>3337</v>
      </c>
      <c r="F63" s="21" t="s">
        <v>3338</v>
      </c>
    </row>
    <row r="64" spans="1:6" x14ac:dyDescent="0.25">
      <c r="A64" s="148" t="s">
        <v>37</v>
      </c>
      <c r="B64" s="148" t="s">
        <v>86</v>
      </c>
      <c r="C64" s="148" t="s">
        <v>3339</v>
      </c>
      <c r="D64" s="148" t="s">
        <v>3340</v>
      </c>
      <c r="E64" s="148" t="s">
        <v>3341</v>
      </c>
      <c r="F64" s="148" t="s">
        <v>3342</v>
      </c>
    </row>
    <row r="66" spans="1:7" ht="14.1" customHeight="1" x14ac:dyDescent="0.25"/>
    <row r="67" spans="1:7" ht="27.95" customHeight="1" x14ac:dyDescent="0.3">
      <c r="A67" s="307" t="s">
        <v>3343</v>
      </c>
    </row>
    <row r="68" spans="1:7" ht="39.950000000000003" customHeight="1" x14ac:dyDescent="0.25">
      <c r="A68" s="308" t="s">
        <v>3344</v>
      </c>
    </row>
    <row r="70" spans="1:7" x14ac:dyDescent="0.25">
      <c r="A70" s="309" t="s">
        <v>403</v>
      </c>
      <c r="B70" s="309" t="s">
        <v>3345</v>
      </c>
      <c r="C70" s="309" t="s">
        <v>405</v>
      </c>
      <c r="D70" s="309" t="s">
        <v>3346</v>
      </c>
      <c r="E70" s="309" t="s">
        <v>407</v>
      </c>
      <c r="F70" s="309" t="s">
        <v>3347</v>
      </c>
      <c r="G70" s="309" t="s">
        <v>409</v>
      </c>
    </row>
    <row r="71" spans="1:7" x14ac:dyDescent="0.25">
      <c r="A71" s="330" t="s">
        <v>3348</v>
      </c>
      <c r="B71" s="331">
        <v>1</v>
      </c>
      <c r="C71" s="330" t="s">
        <v>3349</v>
      </c>
      <c r="D71" s="330" t="s">
        <v>3350</v>
      </c>
      <c r="E71" s="330" t="s">
        <v>3351</v>
      </c>
      <c r="F71" s="330" t="s">
        <v>3352</v>
      </c>
      <c r="G71" s="330" t="s">
        <v>3353</v>
      </c>
    </row>
    <row r="72" spans="1:7" x14ac:dyDescent="0.25">
      <c r="A72" s="21" t="s">
        <v>3354</v>
      </c>
      <c r="B72" s="37">
        <v>0.8</v>
      </c>
      <c r="C72" s="21" t="s">
        <v>3355</v>
      </c>
      <c r="D72" s="21" t="s">
        <v>3356</v>
      </c>
      <c r="E72" s="21" t="s">
        <v>3357</v>
      </c>
      <c r="F72" s="21" t="s">
        <v>3358</v>
      </c>
      <c r="G72" s="21" t="s">
        <v>3359</v>
      </c>
    </row>
    <row r="73" spans="1:7" x14ac:dyDescent="0.25">
      <c r="A73" s="330" t="s">
        <v>3360</v>
      </c>
      <c r="B73" s="331">
        <v>0.75</v>
      </c>
      <c r="C73" s="330" t="s">
        <v>3361</v>
      </c>
      <c r="D73" s="330" t="s">
        <v>3362</v>
      </c>
      <c r="E73" s="330" t="s">
        <v>3363</v>
      </c>
      <c r="F73" s="330" t="s">
        <v>3364</v>
      </c>
      <c r="G73" s="330" t="s">
        <v>3365</v>
      </c>
    </row>
    <row r="74" spans="1:7" x14ac:dyDescent="0.25">
      <c r="A74" s="21" t="s">
        <v>3366</v>
      </c>
      <c r="B74" s="37">
        <v>0.6</v>
      </c>
      <c r="C74" s="21" t="s">
        <v>3367</v>
      </c>
      <c r="D74" s="21" t="s">
        <v>3368</v>
      </c>
      <c r="E74" s="21" t="s">
        <v>3369</v>
      </c>
      <c r="F74" s="21" t="s">
        <v>3370</v>
      </c>
      <c r="G74" s="21" t="s">
        <v>3371</v>
      </c>
    </row>
    <row r="75" spans="1:7" x14ac:dyDescent="0.25">
      <c r="A75" s="326" t="s">
        <v>640</v>
      </c>
      <c r="B75" s="326"/>
      <c r="C75" s="326" t="s">
        <v>3372</v>
      </c>
      <c r="D75" s="326" t="s">
        <v>3373</v>
      </c>
      <c r="E75" s="326" t="s">
        <v>3374</v>
      </c>
      <c r="F75" s="326" t="s">
        <v>3375</v>
      </c>
      <c r="G75" s="326" t="s">
        <v>3376</v>
      </c>
    </row>
    <row r="77" spans="1:7" ht="24" customHeight="1" x14ac:dyDescent="0.25">
      <c r="A77" s="332" t="s">
        <v>3377</v>
      </c>
    </row>
    <row r="78" spans="1:7" ht="36" customHeight="1" x14ac:dyDescent="0.25">
      <c r="A78" s="318" t="s">
        <v>3378</v>
      </c>
      <c r="B78" s="317" t="s">
        <v>3379</v>
      </c>
    </row>
    <row r="79" spans="1:7" ht="36" customHeight="1" x14ac:dyDescent="0.25">
      <c r="A79" s="318" t="s">
        <v>3380</v>
      </c>
      <c r="B79" s="317" t="s">
        <v>3381</v>
      </c>
    </row>
    <row r="80" spans="1:7" ht="36" customHeight="1" x14ac:dyDescent="0.25">
      <c r="A80" s="318" t="s">
        <v>3382</v>
      </c>
      <c r="B80" s="317" t="s">
        <v>3383</v>
      </c>
    </row>
    <row r="81" spans="1:5" ht="36" customHeight="1" x14ac:dyDescent="0.25">
      <c r="A81" s="318" t="s">
        <v>3384</v>
      </c>
      <c r="B81" s="317" t="s">
        <v>3385</v>
      </c>
    </row>
    <row r="83" spans="1:5" ht="14.1" customHeight="1" x14ac:dyDescent="0.25"/>
    <row r="84" spans="1:5" ht="27.95" customHeight="1" x14ac:dyDescent="0.3">
      <c r="A84" s="333" t="s">
        <v>3386</v>
      </c>
    </row>
    <row r="85" spans="1:5" ht="44.1" customHeight="1" x14ac:dyDescent="0.25">
      <c r="A85" s="308" t="s">
        <v>3387</v>
      </c>
    </row>
    <row r="87" spans="1:5" x14ac:dyDescent="0.25">
      <c r="A87" s="309" t="s">
        <v>3388</v>
      </c>
      <c r="B87" s="309" t="s">
        <v>3389</v>
      </c>
      <c r="C87" s="309" t="s">
        <v>3390</v>
      </c>
      <c r="D87" s="309" t="s">
        <v>3391</v>
      </c>
      <c r="E87" s="309" t="s">
        <v>3392</v>
      </c>
    </row>
    <row r="88" spans="1:5" ht="38.1" customHeight="1" x14ac:dyDescent="0.25">
      <c r="A88" s="310" t="s">
        <v>3393</v>
      </c>
      <c r="B88" s="310" t="s">
        <v>382</v>
      </c>
      <c r="C88" s="310" t="s">
        <v>3394</v>
      </c>
      <c r="D88" s="310" t="s">
        <v>3395</v>
      </c>
      <c r="E88" s="310" t="s">
        <v>3396</v>
      </c>
    </row>
    <row r="89" spans="1:5" ht="38.1" customHeight="1" x14ac:dyDescent="0.25">
      <c r="A89" s="313" t="s">
        <v>3397</v>
      </c>
      <c r="B89" s="313" t="s">
        <v>384</v>
      </c>
      <c r="C89" s="313" t="s">
        <v>3398</v>
      </c>
      <c r="D89" s="313" t="s">
        <v>3399</v>
      </c>
      <c r="E89" s="313" t="s">
        <v>3400</v>
      </c>
    </row>
    <row r="90" spans="1:5" ht="38.1" customHeight="1" x14ac:dyDescent="0.25">
      <c r="A90" s="310" t="s">
        <v>3401</v>
      </c>
      <c r="B90" s="310" t="s">
        <v>386</v>
      </c>
      <c r="C90" s="310" t="s">
        <v>3402</v>
      </c>
      <c r="D90" s="310" t="s">
        <v>3403</v>
      </c>
      <c r="E90" s="310" t="s">
        <v>3404</v>
      </c>
    </row>
    <row r="91" spans="1:5" ht="38.1" customHeight="1" x14ac:dyDescent="0.25">
      <c r="A91" s="313" t="s">
        <v>3405</v>
      </c>
      <c r="B91" s="313" t="s">
        <v>390</v>
      </c>
      <c r="C91" s="313" t="s">
        <v>3406</v>
      </c>
      <c r="D91" s="313" t="s">
        <v>3407</v>
      </c>
      <c r="E91" s="313" t="s">
        <v>3408</v>
      </c>
    </row>
    <row r="92" spans="1:5" ht="38.1" customHeight="1" x14ac:dyDescent="0.25">
      <c r="A92" s="310" t="s">
        <v>3409</v>
      </c>
      <c r="B92" s="310" t="s">
        <v>394</v>
      </c>
      <c r="C92" s="310" t="s">
        <v>3358</v>
      </c>
      <c r="D92" s="310" t="s">
        <v>3410</v>
      </c>
      <c r="E92" s="310" t="s">
        <v>3411</v>
      </c>
    </row>
    <row r="93" spans="1:5" ht="38.1" customHeight="1" x14ac:dyDescent="0.25">
      <c r="A93" s="313" t="s">
        <v>3412</v>
      </c>
      <c r="B93" s="313" t="s">
        <v>395</v>
      </c>
      <c r="C93" s="313" t="s">
        <v>3413</v>
      </c>
      <c r="D93" s="313" t="s">
        <v>3414</v>
      </c>
      <c r="E93" s="313" t="s">
        <v>3415</v>
      </c>
    </row>
    <row r="94" spans="1:5" ht="38.1" customHeight="1" x14ac:dyDescent="0.25">
      <c r="A94" s="310" t="s">
        <v>3416</v>
      </c>
      <c r="B94" s="310" t="s">
        <v>400</v>
      </c>
      <c r="C94" s="310" t="s">
        <v>3417</v>
      </c>
      <c r="D94" s="310" t="s">
        <v>3418</v>
      </c>
      <c r="E94" s="310" t="s">
        <v>3419</v>
      </c>
    </row>
    <row r="95" spans="1:5" ht="38.1" customHeight="1" x14ac:dyDescent="0.25">
      <c r="A95" s="313" t="s">
        <v>3420</v>
      </c>
      <c r="B95" s="313" t="s">
        <v>3421</v>
      </c>
      <c r="C95" s="313" t="s">
        <v>3422</v>
      </c>
      <c r="D95" s="313" t="s">
        <v>3423</v>
      </c>
      <c r="E95" s="313" t="s">
        <v>3424</v>
      </c>
    </row>
    <row r="97" spans="1:4" ht="14.1" customHeight="1" x14ac:dyDescent="0.25"/>
    <row r="98" spans="1:4" ht="27.95" customHeight="1" x14ac:dyDescent="0.3">
      <c r="A98" s="307" t="s">
        <v>3425</v>
      </c>
    </row>
    <row r="99" spans="1:4" x14ac:dyDescent="0.25">
      <c r="A99" s="309" t="s">
        <v>152</v>
      </c>
      <c r="B99" s="309" t="s">
        <v>3426</v>
      </c>
      <c r="C99" s="309" t="s">
        <v>3427</v>
      </c>
      <c r="D99" s="309" t="s">
        <v>3428</v>
      </c>
    </row>
    <row r="100" spans="1:4" ht="45.95" customHeight="1" x14ac:dyDescent="0.25">
      <c r="A100" s="334" t="s">
        <v>3024</v>
      </c>
      <c r="B100" s="310" t="s">
        <v>3429</v>
      </c>
      <c r="C100" s="310" t="s">
        <v>3430</v>
      </c>
      <c r="D100" s="310" t="s">
        <v>3431</v>
      </c>
    </row>
    <row r="101" spans="1:4" ht="45.95" customHeight="1" x14ac:dyDescent="0.25">
      <c r="A101" s="335" t="s">
        <v>3034</v>
      </c>
      <c r="B101" s="313" t="s">
        <v>3432</v>
      </c>
      <c r="C101" s="313" t="s">
        <v>3433</v>
      </c>
      <c r="D101" s="313" t="s">
        <v>3434</v>
      </c>
    </row>
    <row r="102" spans="1:4" ht="45.95" customHeight="1" x14ac:dyDescent="0.25">
      <c r="A102" s="334" t="s">
        <v>3046</v>
      </c>
      <c r="B102" s="310" t="s">
        <v>3435</v>
      </c>
      <c r="C102" s="310" t="s">
        <v>3436</v>
      </c>
      <c r="D102" s="310" t="s">
        <v>3437</v>
      </c>
    </row>
    <row r="103" spans="1:4" ht="45.95" customHeight="1" x14ac:dyDescent="0.25">
      <c r="A103" s="335" t="s">
        <v>3058</v>
      </c>
      <c r="B103" s="313" t="s">
        <v>3438</v>
      </c>
      <c r="C103" s="313" t="s">
        <v>3439</v>
      </c>
      <c r="D103" s="313" t="s">
        <v>3440</v>
      </c>
    </row>
    <row r="104" spans="1:4" ht="45.95" customHeight="1" x14ac:dyDescent="0.25">
      <c r="A104" s="334" t="s">
        <v>3080</v>
      </c>
      <c r="B104" s="310" t="s">
        <v>3441</v>
      </c>
      <c r="C104" s="310" t="s">
        <v>3442</v>
      </c>
      <c r="D104" s="310" t="s">
        <v>3443</v>
      </c>
    </row>
    <row r="105" spans="1:4" ht="45.95" customHeight="1" x14ac:dyDescent="0.25">
      <c r="A105" s="335" t="s">
        <v>3088</v>
      </c>
      <c r="B105" s="313" t="s">
        <v>3444</v>
      </c>
      <c r="C105" s="313" t="s">
        <v>3445</v>
      </c>
      <c r="D105" s="313" t="s">
        <v>3446</v>
      </c>
    </row>
    <row r="106" spans="1:4" ht="45.95" customHeight="1" x14ac:dyDescent="0.25">
      <c r="A106" s="334" t="s">
        <v>3447</v>
      </c>
      <c r="B106" s="310" t="s">
        <v>3448</v>
      </c>
      <c r="C106" s="310" t="s">
        <v>3449</v>
      </c>
      <c r="D106" s="310" t="s">
        <v>3450</v>
      </c>
    </row>
    <row r="108" spans="1:4" ht="14.1" customHeight="1" x14ac:dyDescent="0.25"/>
    <row r="109" spans="1:4" ht="27.95" customHeight="1" x14ac:dyDescent="0.3">
      <c r="A109" s="307" t="s">
        <v>3451</v>
      </c>
    </row>
    <row r="110" spans="1:4" ht="44.1" customHeight="1" x14ac:dyDescent="0.25">
      <c r="A110" s="308" t="s">
        <v>3452</v>
      </c>
    </row>
    <row r="112" spans="1:4" x14ac:dyDescent="0.25">
      <c r="A112" s="309" t="s">
        <v>3453</v>
      </c>
      <c r="B112" s="309" t="s">
        <v>17</v>
      </c>
      <c r="C112" s="309" t="s">
        <v>3454</v>
      </c>
      <c r="D112" s="309" t="s">
        <v>3455</v>
      </c>
    </row>
    <row r="113" spans="1:5" ht="38.1" customHeight="1" x14ac:dyDescent="0.25">
      <c r="A113" s="336" t="s">
        <v>3456</v>
      </c>
      <c r="B113" s="310" t="s">
        <v>3457</v>
      </c>
      <c r="C113" s="310" t="s">
        <v>3458</v>
      </c>
      <c r="D113" s="310" t="s">
        <v>3459</v>
      </c>
    </row>
    <row r="114" spans="1:5" ht="38.1" customHeight="1" x14ac:dyDescent="0.25">
      <c r="A114" s="337" t="s">
        <v>3460</v>
      </c>
      <c r="B114" s="313" t="s">
        <v>3461</v>
      </c>
      <c r="C114" s="313" t="s">
        <v>3462</v>
      </c>
      <c r="D114" s="313" t="s">
        <v>3463</v>
      </c>
    </row>
    <row r="115" spans="1:5" ht="38.1" customHeight="1" x14ac:dyDescent="0.25">
      <c r="A115" s="336" t="s">
        <v>2117</v>
      </c>
      <c r="B115" s="310" t="s">
        <v>3464</v>
      </c>
      <c r="C115" s="310" t="s">
        <v>3465</v>
      </c>
      <c r="D115" s="310" t="s">
        <v>3466</v>
      </c>
    </row>
    <row r="116" spans="1:5" ht="38.1" customHeight="1" x14ac:dyDescent="0.25">
      <c r="A116" s="337" t="s">
        <v>2082</v>
      </c>
      <c r="B116" s="313" t="s">
        <v>3467</v>
      </c>
      <c r="C116" s="313" t="s">
        <v>3468</v>
      </c>
      <c r="D116" s="313" t="s">
        <v>3469</v>
      </c>
    </row>
    <row r="117" spans="1:5" ht="38.1" customHeight="1" x14ac:dyDescent="0.25">
      <c r="A117" s="336" t="s">
        <v>2078</v>
      </c>
      <c r="B117" s="310" t="s">
        <v>3470</v>
      </c>
      <c r="C117" s="310" t="s">
        <v>3471</v>
      </c>
      <c r="D117" s="310" t="s">
        <v>3472</v>
      </c>
    </row>
    <row r="118" spans="1:5" ht="38.1" customHeight="1" x14ac:dyDescent="0.25">
      <c r="A118" s="337" t="s">
        <v>1722</v>
      </c>
      <c r="B118" s="313" t="s">
        <v>3473</v>
      </c>
      <c r="C118" s="313" t="s">
        <v>3474</v>
      </c>
      <c r="D118" s="313" t="s">
        <v>3475</v>
      </c>
    </row>
    <row r="120" spans="1:5" ht="14.1" customHeight="1" x14ac:dyDescent="0.25"/>
    <row r="121" spans="1:5" ht="27.95" customHeight="1" x14ac:dyDescent="0.3">
      <c r="A121" s="307" t="s">
        <v>3476</v>
      </c>
    </row>
    <row r="122" spans="1:5" ht="44.1" customHeight="1" x14ac:dyDescent="0.25">
      <c r="A122" s="308" t="s">
        <v>3477</v>
      </c>
    </row>
    <row r="124" spans="1:5" x14ac:dyDescent="0.25">
      <c r="A124" s="338" t="s">
        <v>3478</v>
      </c>
      <c r="B124" s="338" t="s">
        <v>3479</v>
      </c>
      <c r="C124" s="338" t="s">
        <v>3480</v>
      </c>
      <c r="D124" s="338" t="s">
        <v>153</v>
      </c>
      <c r="E124" s="338" t="s">
        <v>3481</v>
      </c>
    </row>
    <row r="125" spans="1:5" ht="69.95" customHeight="1" x14ac:dyDescent="0.25">
      <c r="A125" s="340" t="s">
        <v>3482</v>
      </c>
      <c r="B125" s="339" t="s">
        <v>3483</v>
      </c>
      <c r="C125" s="339" t="s">
        <v>3484</v>
      </c>
      <c r="D125" s="339" t="s">
        <v>3485</v>
      </c>
      <c r="E125" s="339" t="s">
        <v>3486</v>
      </c>
    </row>
    <row r="126" spans="1:5" ht="69.95" customHeight="1" x14ac:dyDescent="0.25">
      <c r="A126" s="341" t="s">
        <v>3487</v>
      </c>
      <c r="B126" s="313" t="s">
        <v>3488</v>
      </c>
      <c r="C126" s="313" t="s">
        <v>3489</v>
      </c>
      <c r="D126" s="313" t="s">
        <v>3490</v>
      </c>
      <c r="E126" s="313" t="s">
        <v>3491</v>
      </c>
    </row>
    <row r="127" spans="1:5" ht="69.95" customHeight="1" x14ac:dyDescent="0.25">
      <c r="A127" s="340" t="s">
        <v>3492</v>
      </c>
      <c r="B127" s="339" t="s">
        <v>3493</v>
      </c>
      <c r="C127" s="339" t="s">
        <v>3494</v>
      </c>
      <c r="D127" s="339" t="s">
        <v>3495</v>
      </c>
      <c r="E127" s="339" t="s">
        <v>3496</v>
      </c>
    </row>
    <row r="129" spans="1:3" ht="21.95" customHeight="1" x14ac:dyDescent="0.25">
      <c r="A129" s="342" t="s">
        <v>3497</v>
      </c>
    </row>
    <row r="130" spans="1:3" ht="36" customHeight="1" x14ac:dyDescent="0.25">
      <c r="A130" s="344" t="s">
        <v>3498</v>
      </c>
      <c r="B130" s="343" t="s">
        <v>3499</v>
      </c>
    </row>
    <row r="131" spans="1:3" ht="36" customHeight="1" x14ac:dyDescent="0.25">
      <c r="A131" s="344" t="s">
        <v>3500</v>
      </c>
      <c r="B131" s="343" t="s">
        <v>3501</v>
      </c>
    </row>
    <row r="132" spans="1:3" ht="36" customHeight="1" x14ac:dyDescent="0.25">
      <c r="A132" s="344" t="s">
        <v>3502</v>
      </c>
      <c r="B132" s="343" t="s">
        <v>3503</v>
      </c>
    </row>
    <row r="133" spans="1:3" ht="36" customHeight="1" x14ac:dyDescent="0.25">
      <c r="A133" s="344" t="s">
        <v>3504</v>
      </c>
      <c r="B133" s="343" t="s">
        <v>3505</v>
      </c>
    </row>
    <row r="135" spans="1:3" ht="14.1" customHeight="1" x14ac:dyDescent="0.25"/>
    <row r="136" spans="1:3" ht="27.95" customHeight="1" x14ac:dyDescent="0.3">
      <c r="A136" s="333" t="s">
        <v>3506</v>
      </c>
    </row>
    <row r="137" spans="1:3" x14ac:dyDescent="0.25">
      <c r="A137" s="309" t="s">
        <v>3507</v>
      </c>
      <c r="B137" s="309" t="s">
        <v>3508</v>
      </c>
      <c r="C137" s="309" t="s">
        <v>3509</v>
      </c>
    </row>
    <row r="138" spans="1:3" ht="36" customHeight="1" x14ac:dyDescent="0.25">
      <c r="A138" s="336" t="s">
        <v>3510</v>
      </c>
      <c r="B138" s="310" t="s">
        <v>3511</v>
      </c>
      <c r="C138" s="310" t="s">
        <v>3512</v>
      </c>
    </row>
    <row r="139" spans="1:3" ht="36" customHeight="1" x14ac:dyDescent="0.25">
      <c r="A139" s="337" t="s">
        <v>3513</v>
      </c>
      <c r="B139" s="313" t="s">
        <v>3514</v>
      </c>
      <c r="C139" s="313" t="s">
        <v>3515</v>
      </c>
    </row>
    <row r="140" spans="1:3" ht="36" customHeight="1" x14ac:dyDescent="0.25">
      <c r="A140" s="336" t="s">
        <v>3516</v>
      </c>
      <c r="B140" s="310" t="s">
        <v>3517</v>
      </c>
      <c r="C140" s="310" t="s">
        <v>3518</v>
      </c>
    </row>
    <row r="141" spans="1:3" ht="36" customHeight="1" x14ac:dyDescent="0.25">
      <c r="A141" s="337" t="s">
        <v>3519</v>
      </c>
      <c r="B141" s="313" t="s">
        <v>3520</v>
      </c>
      <c r="C141" s="313" t="s">
        <v>3521</v>
      </c>
    </row>
    <row r="142" spans="1:3" ht="36" customHeight="1" x14ac:dyDescent="0.25">
      <c r="A142" s="336" t="s">
        <v>3522</v>
      </c>
      <c r="B142" s="310" t="s">
        <v>3523</v>
      </c>
      <c r="C142" s="310" t="s">
        <v>3524</v>
      </c>
    </row>
    <row r="143" spans="1:3" ht="36" customHeight="1" x14ac:dyDescent="0.25">
      <c r="A143" s="337" t="s">
        <v>552</v>
      </c>
      <c r="B143" s="313" t="s">
        <v>3525</v>
      </c>
      <c r="C143" s="313" t="s">
        <v>3526</v>
      </c>
    </row>
    <row r="144" spans="1:3" ht="36" customHeight="1" x14ac:dyDescent="0.25">
      <c r="A144" s="336" t="s">
        <v>3527</v>
      </c>
      <c r="B144" s="310" t="s">
        <v>3528</v>
      </c>
      <c r="C144" s="310" t="s">
        <v>3529</v>
      </c>
    </row>
    <row r="145" spans="1:3" ht="36" customHeight="1" x14ac:dyDescent="0.25">
      <c r="A145" s="337" t="s">
        <v>3530</v>
      </c>
      <c r="B145" s="313" t="s">
        <v>3531</v>
      </c>
      <c r="C145" s="313" t="s">
        <v>3532</v>
      </c>
    </row>
    <row r="146" spans="1:3" ht="36" customHeight="1" x14ac:dyDescent="0.25">
      <c r="A146" s="336" t="s">
        <v>3533</v>
      </c>
      <c r="B146" s="310" t="s">
        <v>3534</v>
      </c>
      <c r="C146" s="310" t="s">
        <v>3535</v>
      </c>
    </row>
    <row r="147" spans="1:3" ht="36" customHeight="1" x14ac:dyDescent="0.25">
      <c r="A147" s="337" t="s">
        <v>3536</v>
      </c>
      <c r="B147" s="313" t="s">
        <v>3537</v>
      </c>
      <c r="C147" s="313" t="s">
        <v>3538</v>
      </c>
    </row>
    <row r="148" spans="1:3" ht="36" customHeight="1" x14ac:dyDescent="0.25">
      <c r="A148" s="336" t="s">
        <v>3539</v>
      </c>
      <c r="B148" s="310" t="s">
        <v>3540</v>
      </c>
      <c r="C148" s="310" t="s">
        <v>3541</v>
      </c>
    </row>
    <row r="149" spans="1:3" ht="36" customHeight="1" x14ac:dyDescent="0.25">
      <c r="A149" s="337" t="s">
        <v>3542</v>
      </c>
      <c r="B149" s="313" t="s">
        <v>3543</v>
      </c>
      <c r="C149" s="313" t="s">
        <v>3544</v>
      </c>
    </row>
    <row r="150" spans="1:3" ht="36" customHeight="1" x14ac:dyDescent="0.25">
      <c r="A150" s="336" t="s">
        <v>3545</v>
      </c>
      <c r="B150" s="310" t="s">
        <v>3546</v>
      </c>
      <c r="C150" s="310" t="s">
        <v>3547</v>
      </c>
    </row>
    <row r="151" spans="1:3" ht="36" customHeight="1" x14ac:dyDescent="0.25">
      <c r="A151" s="337" t="s">
        <v>3548</v>
      </c>
      <c r="B151" s="313" t="s">
        <v>3549</v>
      </c>
      <c r="C151" s="313" t="s">
        <v>3518</v>
      </c>
    </row>
    <row r="152" spans="1:3" ht="36" customHeight="1" x14ac:dyDescent="0.25">
      <c r="A152" s="336" t="s">
        <v>3550</v>
      </c>
      <c r="B152" s="310" t="s">
        <v>3551</v>
      </c>
      <c r="C152" s="310" t="s">
        <v>3552</v>
      </c>
    </row>
    <row r="153" spans="1:3" ht="36" customHeight="1" x14ac:dyDescent="0.25">
      <c r="A153" s="337" t="s">
        <v>3553</v>
      </c>
      <c r="B153" s="313" t="s">
        <v>3554</v>
      </c>
      <c r="C153" s="313" t="s">
        <v>3555</v>
      </c>
    </row>
    <row r="154" spans="1:3" ht="36" customHeight="1" x14ac:dyDescent="0.25">
      <c r="A154" s="336" t="s">
        <v>3556</v>
      </c>
      <c r="B154" s="310" t="s">
        <v>3557</v>
      </c>
      <c r="C154" s="310" t="s">
        <v>3558</v>
      </c>
    </row>
    <row r="155" spans="1:3" ht="36" customHeight="1" x14ac:dyDescent="0.25">
      <c r="A155" s="337" t="s">
        <v>3559</v>
      </c>
      <c r="B155" s="313" t="s">
        <v>3560</v>
      </c>
      <c r="C155" s="313" t="s">
        <v>3518</v>
      </c>
    </row>
    <row r="156" spans="1:3" ht="36" customHeight="1" x14ac:dyDescent="0.25">
      <c r="A156" s="336" t="s">
        <v>3561</v>
      </c>
      <c r="B156" s="310" t="s">
        <v>3562</v>
      </c>
      <c r="C156" s="310" t="s">
        <v>3563</v>
      </c>
    </row>
    <row r="157" spans="1:3" ht="36" customHeight="1" x14ac:dyDescent="0.25">
      <c r="A157" s="337" t="s">
        <v>3564</v>
      </c>
      <c r="B157" s="313" t="s">
        <v>3565</v>
      </c>
      <c r="C157" s="313" t="s">
        <v>3566</v>
      </c>
    </row>
    <row r="158" spans="1:3" ht="36" customHeight="1" x14ac:dyDescent="0.25">
      <c r="A158" s="336" t="s">
        <v>3567</v>
      </c>
      <c r="B158" s="310" t="s">
        <v>3568</v>
      </c>
      <c r="C158" s="310" t="s">
        <v>3569</v>
      </c>
    </row>
    <row r="159" spans="1:3" ht="36" customHeight="1" x14ac:dyDescent="0.25">
      <c r="A159" s="337" t="s">
        <v>3570</v>
      </c>
      <c r="B159" s="313" t="s">
        <v>3571</v>
      </c>
      <c r="C159" s="313" t="s">
        <v>3572</v>
      </c>
    </row>
    <row r="160" spans="1:3" ht="36" customHeight="1" x14ac:dyDescent="0.25">
      <c r="A160" s="336" t="s">
        <v>3573</v>
      </c>
      <c r="B160" s="310" t="s">
        <v>3574</v>
      </c>
      <c r="C160" s="310" t="s">
        <v>3575</v>
      </c>
    </row>
    <row r="161" spans="1:3" ht="36" customHeight="1" x14ac:dyDescent="0.25">
      <c r="A161" s="337" t="s">
        <v>3576</v>
      </c>
      <c r="B161" s="313" t="s">
        <v>3577</v>
      </c>
      <c r="C161" s="313" t="s">
        <v>3578</v>
      </c>
    </row>
    <row r="162" spans="1:3" ht="36" customHeight="1" x14ac:dyDescent="0.25">
      <c r="A162" s="336" t="s">
        <v>3579</v>
      </c>
      <c r="B162" s="310" t="s">
        <v>3580</v>
      </c>
      <c r="C162" s="310" t="s">
        <v>3581</v>
      </c>
    </row>
    <row r="163" spans="1:3" ht="36" customHeight="1" x14ac:dyDescent="0.25">
      <c r="A163" s="337" t="s">
        <v>3582</v>
      </c>
      <c r="B163" s="313" t="s">
        <v>3583</v>
      </c>
      <c r="C163" s="313" t="s">
        <v>3584</v>
      </c>
    </row>
    <row r="164" spans="1:3" ht="36" customHeight="1" x14ac:dyDescent="0.25">
      <c r="A164" s="336" t="s">
        <v>3585</v>
      </c>
      <c r="B164" s="310" t="s">
        <v>3586</v>
      </c>
      <c r="C164" s="310" t="s">
        <v>3587</v>
      </c>
    </row>
    <row r="165" spans="1:3" ht="36" customHeight="1" x14ac:dyDescent="0.25">
      <c r="A165" s="337" t="s">
        <v>3588</v>
      </c>
      <c r="B165" s="313" t="s">
        <v>3589</v>
      </c>
      <c r="C165" s="313" t="s">
        <v>3590</v>
      </c>
    </row>
    <row r="166" spans="1:3" ht="36" customHeight="1" x14ac:dyDescent="0.25">
      <c r="A166" s="336" t="s">
        <v>3591</v>
      </c>
      <c r="B166" s="310" t="s">
        <v>3592</v>
      </c>
      <c r="C166" s="310" t="s">
        <v>3593</v>
      </c>
    </row>
    <row r="167" spans="1:3" ht="36" customHeight="1" x14ac:dyDescent="0.25">
      <c r="A167" s="337" t="s">
        <v>3594</v>
      </c>
      <c r="B167" s="313" t="s">
        <v>3595</v>
      </c>
      <c r="C167" s="313" t="s">
        <v>3596</v>
      </c>
    </row>
    <row r="168" spans="1:3" ht="36" customHeight="1" x14ac:dyDescent="0.25">
      <c r="A168" s="336" t="s">
        <v>3597</v>
      </c>
      <c r="B168" s="310" t="s">
        <v>3598</v>
      </c>
      <c r="C168" s="310" t="s">
        <v>3599</v>
      </c>
    </row>
    <row r="169" spans="1:3" ht="36" customHeight="1" x14ac:dyDescent="0.25">
      <c r="A169" s="337" t="s">
        <v>3600</v>
      </c>
      <c r="B169" s="313" t="s">
        <v>3601</v>
      </c>
      <c r="C169" s="313" t="s">
        <v>3602</v>
      </c>
    </row>
    <row r="170" spans="1:3" ht="36" customHeight="1" x14ac:dyDescent="0.25">
      <c r="A170" s="336" t="s">
        <v>3603</v>
      </c>
      <c r="B170" s="310" t="s">
        <v>3604</v>
      </c>
      <c r="C170" s="310" t="s">
        <v>3605</v>
      </c>
    </row>
    <row r="171" spans="1:3" ht="36" customHeight="1" x14ac:dyDescent="0.25">
      <c r="A171" s="337" t="s">
        <v>3606</v>
      </c>
      <c r="B171" s="313" t="s">
        <v>3607</v>
      </c>
      <c r="C171" s="313" t="s">
        <v>3608</v>
      </c>
    </row>
    <row r="172" spans="1:3" ht="36" customHeight="1" x14ac:dyDescent="0.25">
      <c r="A172" s="336" t="s">
        <v>3609</v>
      </c>
      <c r="B172" s="310" t="s">
        <v>3610</v>
      </c>
      <c r="C172" s="310" t="s">
        <v>3611</v>
      </c>
    </row>
    <row r="173" spans="1:3" ht="36" customHeight="1" x14ac:dyDescent="0.25">
      <c r="A173" s="337" t="s">
        <v>3612</v>
      </c>
      <c r="B173" s="313" t="s">
        <v>3613</v>
      </c>
      <c r="C173" s="313" t="s">
        <v>3529</v>
      </c>
    </row>
    <row r="174" spans="1:3" ht="36" customHeight="1" x14ac:dyDescent="0.25">
      <c r="A174" s="336" t="s">
        <v>243</v>
      </c>
      <c r="B174" s="310" t="s">
        <v>3614</v>
      </c>
      <c r="C174" s="310" t="s">
        <v>3615</v>
      </c>
    </row>
    <row r="175" spans="1:3" ht="36" customHeight="1" x14ac:dyDescent="0.25">
      <c r="A175" s="337" t="s">
        <v>3616</v>
      </c>
      <c r="B175" s="313" t="s">
        <v>3617</v>
      </c>
      <c r="C175" s="313" t="s">
        <v>3618</v>
      </c>
    </row>
    <row r="176" spans="1:3" ht="36" customHeight="1" x14ac:dyDescent="0.25">
      <c r="A176" s="336" t="s">
        <v>3619</v>
      </c>
      <c r="B176" s="310" t="s">
        <v>3620</v>
      </c>
      <c r="C176" s="310" t="s">
        <v>3621</v>
      </c>
    </row>
    <row r="177" spans="1:3" ht="36" customHeight="1" x14ac:dyDescent="0.25">
      <c r="A177" s="337" t="s">
        <v>3622</v>
      </c>
      <c r="B177" s="313" t="s">
        <v>3623</v>
      </c>
      <c r="C177" s="313" t="s">
        <v>3624</v>
      </c>
    </row>
    <row r="178" spans="1:3" ht="36" customHeight="1" x14ac:dyDescent="0.25">
      <c r="A178" s="336" t="s">
        <v>3625</v>
      </c>
      <c r="B178" s="310" t="s">
        <v>3626</v>
      </c>
      <c r="C178" s="310" t="s">
        <v>3627</v>
      </c>
    </row>
    <row r="179" spans="1:3" ht="36" customHeight="1" x14ac:dyDescent="0.25">
      <c r="A179" s="337" t="s">
        <v>3628</v>
      </c>
      <c r="B179" s="313" t="s">
        <v>3629</v>
      </c>
      <c r="C179" s="313" t="s">
        <v>3630</v>
      </c>
    </row>
    <row r="180" spans="1:3" ht="36" customHeight="1" x14ac:dyDescent="0.25">
      <c r="A180" s="336" t="s">
        <v>3631</v>
      </c>
      <c r="B180" s="310" t="s">
        <v>3632</v>
      </c>
      <c r="C180" s="310" t="s">
        <v>3633</v>
      </c>
    </row>
    <row r="181" spans="1:3" ht="36" customHeight="1" x14ac:dyDescent="0.25">
      <c r="A181" s="337" t="s">
        <v>3634</v>
      </c>
      <c r="B181" s="313" t="s">
        <v>3635</v>
      </c>
      <c r="C181" s="313" t="s">
        <v>3636</v>
      </c>
    </row>
    <row r="182" spans="1:3" ht="36" customHeight="1" x14ac:dyDescent="0.25">
      <c r="A182" s="336" t="s">
        <v>3637</v>
      </c>
      <c r="B182" s="310" t="s">
        <v>3638</v>
      </c>
      <c r="C182" s="310" t="s">
        <v>3639</v>
      </c>
    </row>
    <row r="183" spans="1:3" ht="36" customHeight="1" x14ac:dyDescent="0.25">
      <c r="A183" s="337" t="s">
        <v>3640</v>
      </c>
      <c r="B183" s="313" t="s">
        <v>3641</v>
      </c>
      <c r="C183" s="313" t="s">
        <v>3642</v>
      </c>
    </row>
    <row r="184" spans="1:3" ht="36" customHeight="1" x14ac:dyDescent="0.25">
      <c r="A184" s="336" t="s">
        <v>3643</v>
      </c>
      <c r="B184" s="310" t="s">
        <v>3644</v>
      </c>
      <c r="C184" s="310" t="s">
        <v>3645</v>
      </c>
    </row>
    <row r="185" spans="1:3" ht="36" customHeight="1" x14ac:dyDescent="0.25">
      <c r="A185" s="337" t="s">
        <v>3646</v>
      </c>
      <c r="B185" s="313" t="s">
        <v>3647</v>
      </c>
      <c r="C185" s="313" t="s">
        <v>3648</v>
      </c>
    </row>
    <row r="186" spans="1:3" ht="36" customHeight="1" x14ac:dyDescent="0.25">
      <c r="A186" s="336" t="s">
        <v>3649</v>
      </c>
      <c r="B186" s="310" t="s">
        <v>3650</v>
      </c>
      <c r="C186" s="310" t="s">
        <v>3651</v>
      </c>
    </row>
    <row r="187" spans="1:3" ht="36" customHeight="1" x14ac:dyDescent="0.25">
      <c r="A187" s="337" t="s">
        <v>3652</v>
      </c>
      <c r="B187" s="313" t="s">
        <v>3653</v>
      </c>
      <c r="C187" s="313" t="s">
        <v>3654</v>
      </c>
    </row>
    <row r="188" spans="1:3" ht="36" customHeight="1" x14ac:dyDescent="0.25">
      <c r="A188" s="336" t="s">
        <v>3655</v>
      </c>
      <c r="B188" s="310" t="s">
        <v>3656</v>
      </c>
      <c r="C188" s="310" t="s">
        <v>3657</v>
      </c>
    </row>
    <row r="189" spans="1:3" ht="36" customHeight="1" x14ac:dyDescent="0.25">
      <c r="A189" s="337" t="s">
        <v>3658</v>
      </c>
      <c r="B189" s="313" t="s">
        <v>3659</v>
      </c>
      <c r="C189" s="313" t="s">
        <v>3660</v>
      </c>
    </row>
    <row r="190" spans="1:3" ht="36" customHeight="1" x14ac:dyDescent="0.25">
      <c r="A190" s="336" t="s">
        <v>3661</v>
      </c>
      <c r="B190" s="310" t="s">
        <v>3662</v>
      </c>
      <c r="C190" s="310" t="s">
        <v>3575</v>
      </c>
    </row>
    <row r="191" spans="1:3" ht="36" customHeight="1" x14ac:dyDescent="0.25">
      <c r="A191" s="337" t="s">
        <v>3663</v>
      </c>
      <c r="B191" s="313" t="s">
        <v>3664</v>
      </c>
      <c r="C191" s="313" t="s">
        <v>344</v>
      </c>
    </row>
    <row r="192" spans="1:3" ht="36" customHeight="1" x14ac:dyDescent="0.25">
      <c r="A192" s="336" t="s">
        <v>3665</v>
      </c>
      <c r="B192" s="310" t="s">
        <v>3666</v>
      </c>
      <c r="C192" s="310" t="s">
        <v>346</v>
      </c>
    </row>
    <row r="193" spans="1:4" ht="36" customHeight="1" x14ac:dyDescent="0.25">
      <c r="A193" s="337" t="s">
        <v>3667</v>
      </c>
      <c r="B193" s="313" t="s">
        <v>3668</v>
      </c>
      <c r="C193" s="313" t="s">
        <v>3669</v>
      </c>
    </row>
    <row r="194" spans="1:4" ht="36" customHeight="1" x14ac:dyDescent="0.25">
      <c r="A194" s="336" t="s">
        <v>3670</v>
      </c>
      <c r="B194" s="310" t="s">
        <v>3671</v>
      </c>
      <c r="C194" s="310" t="s">
        <v>3587</v>
      </c>
    </row>
    <row r="195" spans="1:4" ht="36" customHeight="1" x14ac:dyDescent="0.25">
      <c r="A195" s="337" t="s">
        <v>3672</v>
      </c>
      <c r="B195" s="313" t="s">
        <v>3673</v>
      </c>
      <c r="C195" s="313" t="s">
        <v>3674</v>
      </c>
    </row>
    <row r="196" spans="1:4" ht="36" customHeight="1" x14ac:dyDescent="0.25">
      <c r="A196" s="336" t="s">
        <v>3675</v>
      </c>
      <c r="B196" s="310" t="s">
        <v>3676</v>
      </c>
      <c r="C196" s="310" t="s">
        <v>3677</v>
      </c>
    </row>
    <row r="197" spans="1:4" ht="36" customHeight="1" x14ac:dyDescent="0.25">
      <c r="A197" s="337" t="s">
        <v>3678</v>
      </c>
      <c r="B197" s="313" t="s">
        <v>3679</v>
      </c>
      <c r="C197" s="313" t="s">
        <v>3680</v>
      </c>
    </row>
    <row r="200" spans="1:4" ht="14.1" customHeight="1" x14ac:dyDescent="0.25"/>
    <row r="201" spans="1:4" ht="27.95" customHeight="1" x14ac:dyDescent="0.3">
      <c r="A201" s="307" t="s">
        <v>3682</v>
      </c>
    </row>
    <row r="203" spans="1:4" ht="24" customHeight="1" x14ac:dyDescent="0.25">
      <c r="A203" s="345" t="s">
        <v>3683</v>
      </c>
    </row>
    <row r="204" spans="1:4" x14ac:dyDescent="0.25">
      <c r="A204" s="330"/>
      <c r="B204" s="330" t="s">
        <v>3684</v>
      </c>
      <c r="C204" s="330"/>
      <c r="D204" s="330"/>
    </row>
    <row r="205" spans="1:4" x14ac:dyDescent="0.25">
      <c r="A205" s="347"/>
      <c r="B205" s="347" t="s">
        <v>3685</v>
      </c>
      <c r="C205" s="348" t="s">
        <v>3681</v>
      </c>
      <c r="D205" s="347"/>
    </row>
    <row r="206" spans="1:4" x14ac:dyDescent="0.25">
      <c r="A206" s="347"/>
      <c r="B206" s="347" t="s">
        <v>3686</v>
      </c>
      <c r="C206" s="347"/>
      <c r="D206" s="347"/>
    </row>
    <row r="207" spans="1:4" x14ac:dyDescent="0.25">
      <c r="A207" s="330"/>
      <c r="B207" s="330" t="s">
        <v>3687</v>
      </c>
      <c r="C207" s="330"/>
      <c r="D207" s="330"/>
    </row>
    <row r="208" spans="1:4" x14ac:dyDescent="0.25">
      <c r="A208" s="330"/>
      <c r="B208" s="330" t="s">
        <v>3688</v>
      </c>
      <c r="C208" s="330"/>
      <c r="D208" s="330"/>
    </row>
    <row r="209" spans="1:4" x14ac:dyDescent="0.25">
      <c r="A209" s="330"/>
      <c r="B209" s="330" t="s">
        <v>3689</v>
      </c>
      <c r="C209" s="330"/>
      <c r="D209" s="330"/>
    </row>
    <row r="210" spans="1:4" x14ac:dyDescent="0.25">
      <c r="A210" s="330"/>
      <c r="B210" s="330" t="s">
        <v>3690</v>
      </c>
      <c r="C210" s="330"/>
      <c r="D210" s="330"/>
    </row>
    <row r="211" spans="1:4" x14ac:dyDescent="0.25">
      <c r="B211" s="330" t="s">
        <v>3691</v>
      </c>
    </row>
    <row r="212" spans="1:4" x14ac:dyDescent="0.25">
      <c r="B212" s="330" t="s">
        <v>3692</v>
      </c>
    </row>
    <row r="213" spans="1:4" x14ac:dyDescent="0.25">
      <c r="B213" s="330" t="s">
        <v>3693</v>
      </c>
    </row>
    <row r="214" spans="1:4" x14ac:dyDescent="0.25">
      <c r="B214" s="330" t="s">
        <v>3694</v>
      </c>
    </row>
    <row r="215" spans="1:4" x14ac:dyDescent="0.25">
      <c r="B215" s="330" t="s">
        <v>3695</v>
      </c>
    </row>
    <row r="216" spans="1:4" x14ac:dyDescent="0.25">
      <c r="B216" s="330" t="s">
        <v>3696</v>
      </c>
    </row>
    <row r="217" spans="1:4" x14ac:dyDescent="0.25">
      <c r="B217" s="330" t="s">
        <v>3697</v>
      </c>
    </row>
    <row r="220" spans="1:4" ht="24" customHeight="1" x14ac:dyDescent="0.25">
      <c r="A220" s="309" t="s">
        <v>3698</v>
      </c>
    </row>
    <row r="221" spans="1:4" x14ac:dyDescent="0.25">
      <c r="A221" s="304" t="s">
        <v>3699</v>
      </c>
      <c r="B221" s="304" t="s">
        <v>3700</v>
      </c>
      <c r="C221" s="304" t="s">
        <v>154</v>
      </c>
      <c r="D221" s="304" t="s">
        <v>3701</v>
      </c>
    </row>
    <row r="222" spans="1:4" ht="33.950000000000003" customHeight="1" x14ac:dyDescent="0.25">
      <c r="A222" s="328" t="s">
        <v>3702</v>
      </c>
      <c r="B222" s="310" t="s">
        <v>3703</v>
      </c>
      <c r="C222" s="310" t="s">
        <v>3704</v>
      </c>
      <c r="D222" s="310" t="s">
        <v>3705</v>
      </c>
    </row>
    <row r="223" spans="1:4" ht="33.950000000000003" customHeight="1" x14ac:dyDescent="0.25">
      <c r="A223" s="329" t="s">
        <v>3706</v>
      </c>
      <c r="B223" s="313" t="s">
        <v>3707</v>
      </c>
      <c r="C223" s="313" t="s">
        <v>3708</v>
      </c>
      <c r="D223" s="313" t="s">
        <v>3709</v>
      </c>
    </row>
    <row r="224" spans="1:4" ht="33.950000000000003" customHeight="1" x14ac:dyDescent="0.25">
      <c r="A224" s="328" t="s">
        <v>3710</v>
      </c>
      <c r="B224" s="310" t="s">
        <v>3711</v>
      </c>
      <c r="C224" s="310" t="s">
        <v>3712</v>
      </c>
      <c r="D224" s="310" t="s">
        <v>3713</v>
      </c>
    </row>
    <row r="225" spans="1:5" ht="33.950000000000003" customHeight="1" x14ac:dyDescent="0.25">
      <c r="A225" s="329" t="s">
        <v>3714</v>
      </c>
      <c r="B225" s="313" t="s">
        <v>3715</v>
      </c>
      <c r="C225" s="313" t="s">
        <v>3716</v>
      </c>
      <c r="D225" s="313" t="s">
        <v>3717</v>
      </c>
    </row>
    <row r="226" spans="1:5" ht="33.950000000000003" customHeight="1" x14ac:dyDescent="0.25">
      <c r="A226" s="328" t="s">
        <v>3718</v>
      </c>
      <c r="B226" s="310" t="s">
        <v>3719</v>
      </c>
      <c r="C226" s="310" t="s">
        <v>3720</v>
      </c>
      <c r="D226" s="310" t="s">
        <v>3721</v>
      </c>
    </row>
    <row r="229" spans="1:5" ht="24" customHeight="1" x14ac:dyDescent="0.25">
      <c r="A229" s="309" t="s">
        <v>3722</v>
      </c>
    </row>
    <row r="230" spans="1:5" x14ac:dyDescent="0.25">
      <c r="A230" s="304" t="s">
        <v>3723</v>
      </c>
      <c r="B230" s="304" t="s">
        <v>3724</v>
      </c>
      <c r="C230" s="304" t="s">
        <v>3725</v>
      </c>
      <c r="D230" s="304" t="s">
        <v>2928</v>
      </c>
      <c r="E230" s="304" t="s">
        <v>3295</v>
      </c>
    </row>
    <row r="231" spans="1:5" x14ac:dyDescent="0.25">
      <c r="A231" s="330" t="s">
        <v>3726</v>
      </c>
      <c r="B231" s="330" t="s">
        <v>3727</v>
      </c>
      <c r="C231" s="330" t="s">
        <v>3728</v>
      </c>
      <c r="D231" s="330" t="s">
        <v>3729</v>
      </c>
      <c r="E231" s="330" t="s">
        <v>1487</v>
      </c>
    </row>
    <row r="232" spans="1:5" x14ac:dyDescent="0.25">
      <c r="A232" s="21" t="s">
        <v>320</v>
      </c>
      <c r="B232" s="21" t="s">
        <v>3730</v>
      </c>
      <c r="C232" s="21" t="s">
        <v>3728</v>
      </c>
      <c r="D232" s="21" t="s">
        <v>3731</v>
      </c>
      <c r="E232" s="21" t="s">
        <v>1487</v>
      </c>
    </row>
    <row r="233" spans="1:5" x14ac:dyDescent="0.25">
      <c r="A233" s="330" t="s">
        <v>462</v>
      </c>
      <c r="B233" s="330" t="s">
        <v>3732</v>
      </c>
      <c r="C233" s="330" t="s">
        <v>3728</v>
      </c>
      <c r="D233" s="330" t="s">
        <v>3733</v>
      </c>
      <c r="E233" s="330" t="s">
        <v>1487</v>
      </c>
    </row>
    <row r="234" spans="1:5" x14ac:dyDescent="0.25">
      <c r="A234" s="21" t="s">
        <v>3734</v>
      </c>
      <c r="B234" s="21" t="s">
        <v>3735</v>
      </c>
      <c r="C234" s="21" t="s">
        <v>3736</v>
      </c>
      <c r="D234" s="21" t="s">
        <v>3737</v>
      </c>
      <c r="E234" s="21" t="s">
        <v>1492</v>
      </c>
    </row>
    <row r="235" spans="1:5" x14ac:dyDescent="0.25">
      <c r="A235" s="330" t="s">
        <v>328</v>
      </c>
      <c r="B235" s="330" t="s">
        <v>3738</v>
      </c>
      <c r="C235" s="330" t="s">
        <v>3739</v>
      </c>
      <c r="D235" s="330" t="s">
        <v>3740</v>
      </c>
      <c r="E235" s="330" t="s">
        <v>1492</v>
      </c>
    </row>
    <row r="236" spans="1:5" x14ac:dyDescent="0.25">
      <c r="A236" s="21" t="s">
        <v>278</v>
      </c>
      <c r="B236" s="21" t="s">
        <v>3741</v>
      </c>
      <c r="C236" s="21" t="s">
        <v>3739</v>
      </c>
      <c r="D236" s="21" t="s">
        <v>3742</v>
      </c>
      <c r="E236" s="21" t="s">
        <v>1492</v>
      </c>
    </row>
    <row r="237" spans="1:5" x14ac:dyDescent="0.25">
      <c r="A237" s="350" t="s">
        <v>3743</v>
      </c>
      <c r="B237" s="350" t="s">
        <v>3744</v>
      </c>
      <c r="C237" s="350" t="s">
        <v>3745</v>
      </c>
      <c r="D237" s="350" t="s">
        <v>3746</v>
      </c>
      <c r="E237" s="350" t="s">
        <v>3318</v>
      </c>
    </row>
    <row r="244" spans="1:5" ht="14.1" customHeight="1" x14ac:dyDescent="0.25"/>
    <row r="245" spans="1:5" ht="27.95" customHeight="1" x14ac:dyDescent="0.3">
      <c r="A245" s="307" t="s">
        <v>3747</v>
      </c>
    </row>
    <row r="246" spans="1:5" ht="39.950000000000003" customHeight="1" x14ac:dyDescent="0.25">
      <c r="A246" s="308" t="s">
        <v>3753</v>
      </c>
    </row>
    <row r="248" spans="1:5" x14ac:dyDescent="0.25">
      <c r="A248" s="309" t="s">
        <v>3748</v>
      </c>
      <c r="B248" s="309" t="s">
        <v>3754</v>
      </c>
      <c r="C248" s="309" t="s">
        <v>3749</v>
      </c>
      <c r="D248" s="309" t="s">
        <v>3750</v>
      </c>
      <c r="E248" s="309" t="s">
        <v>3751</v>
      </c>
    </row>
    <row r="249" spans="1:5" x14ac:dyDescent="0.25">
      <c r="A249" t="s">
        <v>3752</v>
      </c>
    </row>
    <row r="262" spans="1:5" x14ac:dyDescent="0.25">
      <c r="A262" s="309" t="s">
        <v>3756</v>
      </c>
      <c r="B262" s="309" t="s">
        <v>3757</v>
      </c>
      <c r="C262" s="309" t="s">
        <v>3758</v>
      </c>
      <c r="D262" s="309" t="s">
        <v>3759</v>
      </c>
      <c r="E262" s="309" t="s">
        <v>3760</v>
      </c>
    </row>
    <row r="263" spans="1:5" x14ac:dyDescent="0.25">
      <c r="A263" s="353" t="s">
        <v>3755</v>
      </c>
      <c r="B263" s="354" t="s">
        <v>3761</v>
      </c>
      <c r="C263" s="354" t="s">
        <v>3703</v>
      </c>
      <c r="D263" s="354" t="s">
        <v>3762</v>
      </c>
      <c r="E263" s="354" t="s">
        <v>3763</v>
      </c>
    </row>
    <row r="264" spans="1:5" x14ac:dyDescent="0.25">
      <c r="A264" s="356" t="s">
        <v>3764</v>
      </c>
      <c r="B264" s="355" t="s">
        <v>3765</v>
      </c>
      <c r="C264" s="355" t="s">
        <v>3766</v>
      </c>
      <c r="D264" s="355" t="s">
        <v>3767</v>
      </c>
      <c r="E264" s="355" t="s">
        <v>3768</v>
      </c>
    </row>
    <row r="265" spans="1:5" x14ac:dyDescent="0.25">
      <c r="A265" s="353" t="s">
        <v>3769</v>
      </c>
      <c r="B265" s="354" t="s">
        <v>3770</v>
      </c>
      <c r="C265" s="354" t="s">
        <v>3771</v>
      </c>
      <c r="D265" s="354" t="s">
        <v>3772</v>
      </c>
      <c r="E265" s="354" t="s">
        <v>3773</v>
      </c>
    </row>
    <row r="266" spans="1:5" x14ac:dyDescent="0.25">
      <c r="A266" s="356" t="s">
        <v>3774</v>
      </c>
      <c r="B266" s="355" t="s">
        <v>3775</v>
      </c>
      <c r="C266" s="355" t="s">
        <v>3776</v>
      </c>
      <c r="D266" s="355" t="s">
        <v>3777</v>
      </c>
      <c r="E266" s="355" t="s">
        <v>3778</v>
      </c>
    </row>
    <row r="267" spans="1:5" x14ac:dyDescent="0.25">
      <c r="A267" s="353" t="s">
        <v>3779</v>
      </c>
      <c r="B267" s="354" t="s">
        <v>3780</v>
      </c>
      <c r="C267" s="354" t="s">
        <v>1980</v>
      </c>
      <c r="D267" s="354" t="s">
        <v>3781</v>
      </c>
      <c r="E267" s="354" t="s">
        <v>3782</v>
      </c>
    </row>
    <row r="268" spans="1:5" x14ac:dyDescent="0.25">
      <c r="A268" s="356" t="s">
        <v>3783</v>
      </c>
      <c r="B268" s="355" t="s">
        <v>3784</v>
      </c>
      <c r="C268" s="355" t="s">
        <v>3785</v>
      </c>
      <c r="D268" s="355" t="s">
        <v>3786</v>
      </c>
      <c r="E268" s="355" t="s">
        <v>3787</v>
      </c>
    </row>
    <row r="269" spans="1:5" x14ac:dyDescent="0.25">
      <c r="A269" s="353" t="s">
        <v>3788</v>
      </c>
      <c r="B269" s="354" t="s">
        <v>3789</v>
      </c>
      <c r="C269" s="354" t="s">
        <v>3790</v>
      </c>
      <c r="D269" s="354" t="s">
        <v>3791</v>
      </c>
      <c r="E269" s="354" t="s">
        <v>3792</v>
      </c>
    </row>
    <row r="270" spans="1:5" x14ac:dyDescent="0.25">
      <c r="A270" s="356" t="s">
        <v>3793</v>
      </c>
      <c r="B270" s="355" t="s">
        <v>3794</v>
      </c>
      <c r="C270" s="355" t="s">
        <v>3795</v>
      </c>
      <c r="D270" s="355" t="s">
        <v>3796</v>
      </c>
      <c r="E270" s="355" t="s">
        <v>3797</v>
      </c>
    </row>
    <row r="271" spans="1:5" x14ac:dyDescent="0.25">
      <c r="A271" s="353" t="s">
        <v>3798</v>
      </c>
      <c r="B271" s="354" t="s">
        <v>3799</v>
      </c>
      <c r="C271" s="354" t="s">
        <v>3800</v>
      </c>
      <c r="D271" s="354" t="s">
        <v>3801</v>
      </c>
      <c r="E271" s="354" t="s">
        <v>3802</v>
      </c>
    </row>
    <row r="272" spans="1:5" x14ac:dyDescent="0.25">
      <c r="A272" s="356" t="s">
        <v>3803</v>
      </c>
      <c r="B272" s="355" t="s">
        <v>3804</v>
      </c>
      <c r="C272" s="355" t="s">
        <v>3805</v>
      </c>
      <c r="D272" s="355" t="s">
        <v>3806</v>
      </c>
      <c r="E272" s="355" t="s">
        <v>3807</v>
      </c>
    </row>
    <row r="274" spans="1:4" ht="24" customHeight="1" x14ac:dyDescent="0.25">
      <c r="A274" s="357" t="s">
        <v>3808</v>
      </c>
    </row>
    <row r="275" spans="1:4" x14ac:dyDescent="0.25">
      <c r="A275" s="338" t="s">
        <v>2022</v>
      </c>
      <c r="B275" s="338" t="s">
        <v>3809</v>
      </c>
      <c r="C275" s="338" t="s">
        <v>13</v>
      </c>
      <c r="D275" s="338" t="s">
        <v>3810</v>
      </c>
    </row>
    <row r="276" spans="1:4" x14ac:dyDescent="0.25">
      <c r="A276" s="359" t="s">
        <v>3811</v>
      </c>
      <c r="B276" s="358" t="s">
        <v>3812</v>
      </c>
      <c r="C276" s="358" t="s">
        <v>43</v>
      </c>
      <c r="D276" s="358" t="s">
        <v>3813</v>
      </c>
    </row>
    <row r="277" spans="1:4" x14ac:dyDescent="0.25">
      <c r="A277" s="360" t="s">
        <v>3814</v>
      </c>
      <c r="B277" s="21" t="s">
        <v>3815</v>
      </c>
      <c r="C277" s="21" t="s">
        <v>3816</v>
      </c>
      <c r="D277" s="21" t="s">
        <v>3817</v>
      </c>
    </row>
    <row r="278" spans="1:4" x14ac:dyDescent="0.25">
      <c r="A278" s="359" t="s">
        <v>3818</v>
      </c>
      <c r="B278" s="358" t="s">
        <v>3819</v>
      </c>
      <c r="C278" s="358" t="s">
        <v>3820</v>
      </c>
      <c r="D278" s="358" t="s">
        <v>3821</v>
      </c>
    </row>
    <row r="279" spans="1:4" x14ac:dyDescent="0.25">
      <c r="A279" s="360" t="s">
        <v>3822</v>
      </c>
      <c r="B279" s="21" t="s">
        <v>3823</v>
      </c>
      <c r="C279" s="21" t="s">
        <v>49</v>
      </c>
      <c r="D279" s="21" t="s">
        <v>3824</v>
      </c>
    </row>
    <row r="280" spans="1:4" x14ac:dyDescent="0.25">
      <c r="A280" s="359" t="s">
        <v>3825</v>
      </c>
      <c r="B280" s="358" t="s">
        <v>3826</v>
      </c>
      <c r="C280" s="358" t="s">
        <v>52</v>
      </c>
      <c r="D280" s="358" t="s">
        <v>3827</v>
      </c>
    </row>
    <row r="281" spans="1:4" x14ac:dyDescent="0.25">
      <c r="A281" s="360" t="s">
        <v>3828</v>
      </c>
      <c r="B281" s="21" t="s">
        <v>3829</v>
      </c>
      <c r="C281" s="21" t="s">
        <v>3830</v>
      </c>
      <c r="D281" s="21" t="s">
        <v>3831</v>
      </c>
    </row>
    <row r="282" spans="1:4" x14ac:dyDescent="0.25">
      <c r="A282" s="359" t="s">
        <v>3832</v>
      </c>
      <c r="B282" s="358" t="s">
        <v>3833</v>
      </c>
      <c r="C282" s="358" t="s">
        <v>3834</v>
      </c>
      <c r="D282" s="358" t="s">
        <v>3835</v>
      </c>
    </row>
    <row r="283" spans="1:4" x14ac:dyDescent="0.25">
      <c r="A283" s="360" t="s">
        <v>3836</v>
      </c>
      <c r="B283" s="21" t="s">
        <v>3837</v>
      </c>
      <c r="C283" s="21" t="s">
        <v>3838</v>
      </c>
      <c r="D283" s="21" t="s">
        <v>3839</v>
      </c>
    </row>
    <row r="285" spans="1:4" ht="51.95" customHeight="1" x14ac:dyDescent="0.25">
      <c r="A285" s="361" t="s">
        <v>3840</v>
      </c>
    </row>
    <row r="287" spans="1:4" x14ac:dyDescent="0.25">
      <c r="A287" s="362" t="s">
        <v>3841</v>
      </c>
    </row>
    <row r="290" spans="1:2" ht="27.95" customHeight="1" x14ac:dyDescent="0.3">
      <c r="A290" s="373" t="s">
        <v>3890</v>
      </c>
    </row>
    <row r="291" spans="1:2" ht="44.1" customHeight="1" x14ac:dyDescent="0.25">
      <c r="A291" s="374" t="s">
        <v>3891</v>
      </c>
    </row>
    <row r="293" spans="1:2" x14ac:dyDescent="0.25">
      <c r="B293" s="375" t="s">
        <v>3892</v>
      </c>
    </row>
    <row r="294" spans="1:2" x14ac:dyDescent="0.25">
      <c r="B294" s="375" t="s">
        <v>3893</v>
      </c>
    </row>
    <row r="295" spans="1:2" x14ac:dyDescent="0.25">
      <c r="B295" s="375" t="s">
        <v>3894</v>
      </c>
    </row>
    <row r="296" spans="1:2" x14ac:dyDescent="0.25">
      <c r="B296" s="375" t="s">
        <v>3895</v>
      </c>
    </row>
    <row r="297" spans="1:2" x14ac:dyDescent="0.25">
      <c r="B297" s="375" t="s">
        <v>3896</v>
      </c>
    </row>
    <row r="298" spans="1:2" x14ac:dyDescent="0.25">
      <c r="B298" s="375" t="s">
        <v>3897</v>
      </c>
    </row>
    <row r="299" spans="1:2" x14ac:dyDescent="0.25">
      <c r="B299" s="375" t="s">
        <v>3898</v>
      </c>
    </row>
    <row r="300" spans="1:2" x14ac:dyDescent="0.25">
      <c r="B300" s="375" t="s">
        <v>3892</v>
      </c>
    </row>
    <row r="301" spans="1:2" x14ac:dyDescent="0.25">
      <c r="B301" s="376"/>
    </row>
    <row r="302" spans="1:2" x14ac:dyDescent="0.25">
      <c r="B302" s="377" t="s">
        <v>3899</v>
      </c>
    </row>
    <row r="303" spans="1:2" x14ac:dyDescent="0.25">
      <c r="B303" s="378" t="s">
        <v>3900</v>
      </c>
    </row>
    <row r="304" spans="1:2" x14ac:dyDescent="0.25">
      <c r="B304" s="379" t="s">
        <v>3901</v>
      </c>
    </row>
    <row r="305" spans="2:2" x14ac:dyDescent="0.25">
      <c r="B305" s="379" t="s">
        <v>3902</v>
      </c>
    </row>
    <row r="306" spans="2:2" x14ac:dyDescent="0.25">
      <c r="B306" s="379" t="s">
        <v>3903</v>
      </c>
    </row>
    <row r="307" spans="2:2" x14ac:dyDescent="0.25">
      <c r="B307" s="379" t="s">
        <v>3904</v>
      </c>
    </row>
    <row r="308" spans="2:2" x14ac:dyDescent="0.25">
      <c r="B308" s="379" t="s">
        <v>3905</v>
      </c>
    </row>
    <row r="309" spans="2:2" x14ac:dyDescent="0.25">
      <c r="B309" s="379" t="s">
        <v>3906</v>
      </c>
    </row>
    <row r="310" spans="2:2" x14ac:dyDescent="0.25">
      <c r="B310" s="379" t="s">
        <v>3907</v>
      </c>
    </row>
    <row r="311" spans="2:2" x14ac:dyDescent="0.25">
      <c r="B311" s="379" t="s">
        <v>3908</v>
      </c>
    </row>
    <row r="312" spans="2:2" x14ac:dyDescent="0.25">
      <c r="B312" s="379" t="s">
        <v>3909</v>
      </c>
    </row>
    <row r="313" spans="2:2" x14ac:dyDescent="0.25">
      <c r="B313" s="376"/>
    </row>
    <row r="314" spans="2:2" x14ac:dyDescent="0.25">
      <c r="B314" s="379" t="s">
        <v>3910</v>
      </c>
    </row>
    <row r="315" spans="2:2" x14ac:dyDescent="0.25">
      <c r="B315" s="379" t="s">
        <v>3911</v>
      </c>
    </row>
    <row r="316" spans="2:2" x14ac:dyDescent="0.25">
      <c r="B316" s="379" t="s">
        <v>3912</v>
      </c>
    </row>
    <row r="317" spans="2:2" x14ac:dyDescent="0.25">
      <c r="B317" s="379" t="s">
        <v>3913</v>
      </c>
    </row>
    <row r="318" spans="2:2" x14ac:dyDescent="0.25">
      <c r="B318" s="376"/>
    </row>
    <row r="319" spans="2:2" x14ac:dyDescent="0.25">
      <c r="B319" s="378" t="s">
        <v>3914</v>
      </c>
    </row>
    <row r="320" spans="2:2" x14ac:dyDescent="0.25">
      <c r="B320" s="379" t="s">
        <v>3915</v>
      </c>
    </row>
    <row r="321" spans="2:2" x14ac:dyDescent="0.25">
      <c r="B321" s="379" t="s">
        <v>3916</v>
      </c>
    </row>
    <row r="322" spans="2:2" x14ac:dyDescent="0.25">
      <c r="B322" s="379" t="s">
        <v>3917</v>
      </c>
    </row>
    <row r="323" spans="2:2" x14ac:dyDescent="0.25">
      <c r="B323" s="379" t="s">
        <v>3918</v>
      </c>
    </row>
    <row r="324" spans="2:2" x14ac:dyDescent="0.25">
      <c r="B324" s="376"/>
    </row>
    <row r="325" spans="2:2" x14ac:dyDescent="0.25">
      <c r="B325" s="378" t="s">
        <v>3919</v>
      </c>
    </row>
    <row r="326" spans="2:2" x14ac:dyDescent="0.25">
      <c r="B326" s="379" t="s">
        <v>3920</v>
      </c>
    </row>
    <row r="327" spans="2:2" x14ac:dyDescent="0.25">
      <c r="B327" s="376"/>
    </row>
    <row r="328" spans="2:2" x14ac:dyDescent="0.25">
      <c r="B328" s="378" t="s">
        <v>3921</v>
      </c>
    </row>
    <row r="329" spans="2:2" x14ac:dyDescent="0.25">
      <c r="B329" s="379" t="s">
        <v>3922</v>
      </c>
    </row>
    <row r="330" spans="2:2" x14ac:dyDescent="0.25">
      <c r="B330" s="379" t="s">
        <v>3923</v>
      </c>
    </row>
    <row r="331" spans="2:2" x14ac:dyDescent="0.25">
      <c r="B331" s="379" t="s">
        <v>3924</v>
      </c>
    </row>
    <row r="332" spans="2:2" x14ac:dyDescent="0.25">
      <c r="B332" s="379" t="s">
        <v>3925</v>
      </c>
    </row>
    <row r="333" spans="2:2" x14ac:dyDescent="0.25">
      <c r="B333" s="376"/>
    </row>
    <row r="334" spans="2:2" x14ac:dyDescent="0.25">
      <c r="B334" s="379" t="s">
        <v>3926</v>
      </c>
    </row>
    <row r="335" spans="2:2" x14ac:dyDescent="0.25">
      <c r="B335" s="379" t="s">
        <v>3927</v>
      </c>
    </row>
    <row r="336" spans="2:2" x14ac:dyDescent="0.25">
      <c r="B336" s="379" t="s">
        <v>3928</v>
      </c>
    </row>
    <row r="337" spans="2:2" x14ac:dyDescent="0.25">
      <c r="B337" s="379" t="s">
        <v>3929</v>
      </c>
    </row>
    <row r="338" spans="2:2" x14ac:dyDescent="0.25">
      <c r="B338" s="379" t="s">
        <v>3930</v>
      </c>
    </row>
    <row r="339" spans="2:2" x14ac:dyDescent="0.25">
      <c r="B339" s="379" t="s">
        <v>3931</v>
      </c>
    </row>
    <row r="340" spans="2:2" x14ac:dyDescent="0.25">
      <c r="B340" s="379" t="s">
        <v>3932</v>
      </c>
    </row>
    <row r="341" spans="2:2" x14ac:dyDescent="0.25">
      <c r="B341" s="379" t="s">
        <v>3933</v>
      </c>
    </row>
    <row r="342" spans="2:2" x14ac:dyDescent="0.25">
      <c r="B342" s="379" t="s">
        <v>3934</v>
      </c>
    </row>
    <row r="343" spans="2:2" x14ac:dyDescent="0.25">
      <c r="B343" s="379" t="s">
        <v>3935</v>
      </c>
    </row>
    <row r="344" spans="2:2" x14ac:dyDescent="0.25">
      <c r="B344" s="379" t="s">
        <v>3936</v>
      </c>
    </row>
    <row r="345" spans="2:2" x14ac:dyDescent="0.25">
      <c r="B345" s="379" t="s">
        <v>3937</v>
      </c>
    </row>
    <row r="346" spans="2:2" x14ac:dyDescent="0.25">
      <c r="B346" s="376"/>
    </row>
    <row r="347" spans="2:2" x14ac:dyDescent="0.25">
      <c r="B347" s="378" t="s">
        <v>3938</v>
      </c>
    </row>
    <row r="348" spans="2:2" x14ac:dyDescent="0.25">
      <c r="B348" s="379" t="s">
        <v>3939</v>
      </c>
    </row>
    <row r="349" spans="2:2" x14ac:dyDescent="0.25">
      <c r="B349" s="379" t="s">
        <v>3940</v>
      </c>
    </row>
    <row r="350" spans="2:2" x14ac:dyDescent="0.25">
      <c r="B350" s="379" t="s">
        <v>3941</v>
      </c>
    </row>
    <row r="351" spans="2:2" x14ac:dyDescent="0.25">
      <c r="B351" s="379" t="s">
        <v>3942</v>
      </c>
    </row>
    <row r="352" spans="2:2" x14ac:dyDescent="0.25">
      <c r="B352" s="379" t="s">
        <v>3943</v>
      </c>
    </row>
    <row r="353" spans="2:2" x14ac:dyDescent="0.25">
      <c r="B353" s="379" t="s">
        <v>3944</v>
      </c>
    </row>
    <row r="354" spans="2:2" x14ac:dyDescent="0.25">
      <c r="B354" s="379" t="s">
        <v>3945</v>
      </c>
    </row>
    <row r="355" spans="2:2" x14ac:dyDescent="0.25">
      <c r="B355" s="379" t="s">
        <v>3946</v>
      </c>
    </row>
    <row r="356" spans="2:2" x14ac:dyDescent="0.25">
      <c r="B356" s="376"/>
    </row>
    <row r="357" spans="2:2" x14ac:dyDescent="0.25">
      <c r="B357" s="378" t="s">
        <v>3947</v>
      </c>
    </row>
    <row r="358" spans="2:2" x14ac:dyDescent="0.25">
      <c r="B358" s="379" t="s">
        <v>3948</v>
      </c>
    </row>
    <row r="359" spans="2:2" x14ac:dyDescent="0.25">
      <c r="B359" s="379" t="s">
        <v>3949</v>
      </c>
    </row>
    <row r="360" spans="2:2" x14ac:dyDescent="0.25">
      <c r="B360" s="379" t="s">
        <v>3950</v>
      </c>
    </row>
    <row r="361" spans="2:2" x14ac:dyDescent="0.25">
      <c r="B361" s="379" t="s">
        <v>3951</v>
      </c>
    </row>
    <row r="362" spans="2:2" x14ac:dyDescent="0.25">
      <c r="B362" s="376"/>
    </row>
    <row r="363" spans="2:2" x14ac:dyDescent="0.25">
      <c r="B363" s="378" t="s">
        <v>3952</v>
      </c>
    </row>
    <row r="364" spans="2:2" x14ac:dyDescent="0.25">
      <c r="B364" s="379" t="s">
        <v>3953</v>
      </c>
    </row>
    <row r="365" spans="2:2" x14ac:dyDescent="0.25">
      <c r="B365" s="379" t="s">
        <v>3954</v>
      </c>
    </row>
    <row r="366" spans="2:2" x14ac:dyDescent="0.25">
      <c r="B366" s="379" t="s">
        <v>3955</v>
      </c>
    </row>
    <row r="367" spans="2:2" x14ac:dyDescent="0.25">
      <c r="B367" s="379" t="s">
        <v>3956</v>
      </c>
    </row>
    <row r="368" spans="2:2" x14ac:dyDescent="0.25">
      <c r="B368" s="376"/>
    </row>
    <row r="369" spans="2:2" x14ac:dyDescent="0.25">
      <c r="B369" s="379" t="s">
        <v>3957</v>
      </c>
    </row>
    <row r="370" spans="2:2" x14ac:dyDescent="0.25">
      <c r="B370" s="379" t="s">
        <v>3958</v>
      </c>
    </row>
    <row r="371" spans="2:2" x14ac:dyDescent="0.25">
      <c r="B371" s="379" t="s">
        <v>3927</v>
      </c>
    </row>
    <row r="372" spans="2:2" x14ac:dyDescent="0.25">
      <c r="B372" s="379" t="s">
        <v>3959</v>
      </c>
    </row>
    <row r="373" spans="2:2" x14ac:dyDescent="0.25">
      <c r="B373" s="379" t="s">
        <v>3929</v>
      </c>
    </row>
    <row r="374" spans="2:2" x14ac:dyDescent="0.25">
      <c r="B374" s="379" t="s">
        <v>3960</v>
      </c>
    </row>
    <row r="375" spans="2:2" x14ac:dyDescent="0.25">
      <c r="B375" s="379" t="s">
        <v>3932</v>
      </c>
    </row>
    <row r="376" spans="2:2" x14ac:dyDescent="0.25">
      <c r="B376" s="379" t="s">
        <v>3935</v>
      </c>
    </row>
    <row r="377" spans="2:2" x14ac:dyDescent="0.25">
      <c r="B377" s="379" t="s">
        <v>3936</v>
      </c>
    </row>
    <row r="378" spans="2:2" x14ac:dyDescent="0.25">
      <c r="B378" s="379" t="s">
        <v>3961</v>
      </c>
    </row>
    <row r="379" spans="2:2" x14ac:dyDescent="0.25">
      <c r="B379" s="376"/>
    </row>
    <row r="380" spans="2:2" x14ac:dyDescent="0.25">
      <c r="B380" s="378" t="s">
        <v>3962</v>
      </c>
    </row>
    <row r="381" spans="2:2" x14ac:dyDescent="0.25">
      <c r="B381" s="379" t="s">
        <v>3963</v>
      </c>
    </row>
    <row r="382" spans="2:2" x14ac:dyDescent="0.25">
      <c r="B382" s="376"/>
    </row>
    <row r="383" spans="2:2" x14ac:dyDescent="0.25">
      <c r="B383" s="378" t="s">
        <v>3964</v>
      </c>
    </row>
    <row r="384" spans="2:2" x14ac:dyDescent="0.25">
      <c r="B384" s="379" t="s">
        <v>3965</v>
      </c>
    </row>
    <row r="385" spans="2:2" x14ac:dyDescent="0.25">
      <c r="B385" s="379" t="s">
        <v>3966</v>
      </c>
    </row>
    <row r="386" spans="2:2" x14ac:dyDescent="0.25">
      <c r="B386" s="379" t="s">
        <v>3967</v>
      </c>
    </row>
    <row r="387" spans="2:2" x14ac:dyDescent="0.25">
      <c r="B387" s="376"/>
    </row>
    <row r="388" spans="2:2" x14ac:dyDescent="0.25">
      <c r="B388" s="379" t="s">
        <v>3968</v>
      </c>
    </row>
    <row r="389" spans="2:2" x14ac:dyDescent="0.25">
      <c r="B389" s="379" t="s">
        <v>3927</v>
      </c>
    </row>
    <row r="390" spans="2:2" x14ac:dyDescent="0.25">
      <c r="B390" s="379" t="s">
        <v>3969</v>
      </c>
    </row>
    <row r="391" spans="2:2" x14ac:dyDescent="0.25">
      <c r="B391" s="379" t="s">
        <v>3970</v>
      </c>
    </row>
    <row r="392" spans="2:2" x14ac:dyDescent="0.25">
      <c r="B392" s="379" t="s">
        <v>3971</v>
      </c>
    </row>
    <row r="393" spans="2:2" x14ac:dyDescent="0.25">
      <c r="B393" s="379" t="s">
        <v>3972</v>
      </c>
    </row>
    <row r="394" spans="2:2" x14ac:dyDescent="0.25">
      <c r="B394" s="379" t="s">
        <v>3973</v>
      </c>
    </row>
    <row r="395" spans="2:2" x14ac:dyDescent="0.25">
      <c r="B395" s="379" t="s">
        <v>3974</v>
      </c>
    </row>
    <row r="396" spans="2:2" x14ac:dyDescent="0.25">
      <c r="B396" s="379" t="s">
        <v>3935</v>
      </c>
    </row>
    <row r="397" spans="2:2" x14ac:dyDescent="0.25">
      <c r="B397" s="379" t="s">
        <v>3936</v>
      </c>
    </row>
    <row r="398" spans="2:2" x14ac:dyDescent="0.25">
      <c r="B398" s="379" t="s">
        <v>3961</v>
      </c>
    </row>
    <row r="399" spans="2:2" x14ac:dyDescent="0.25">
      <c r="B399" s="376"/>
    </row>
    <row r="400" spans="2:2" x14ac:dyDescent="0.25">
      <c r="B400" s="378" t="s">
        <v>3975</v>
      </c>
    </row>
    <row r="401" spans="2:2" x14ac:dyDescent="0.25">
      <c r="B401" s="379" t="s">
        <v>3976</v>
      </c>
    </row>
    <row r="402" spans="2:2" x14ac:dyDescent="0.25">
      <c r="B402" s="379" t="s">
        <v>3977</v>
      </c>
    </row>
    <row r="403" spans="2:2" x14ac:dyDescent="0.25">
      <c r="B403" s="379" t="s">
        <v>3978</v>
      </c>
    </row>
    <row r="404" spans="2:2" x14ac:dyDescent="0.25">
      <c r="B404" s="379" t="s">
        <v>3979</v>
      </c>
    </row>
    <row r="405" spans="2:2" x14ac:dyDescent="0.25">
      <c r="B405" s="379" t="s">
        <v>3980</v>
      </c>
    </row>
    <row r="406" spans="2:2" x14ac:dyDescent="0.25">
      <c r="B406" s="376"/>
    </row>
    <row r="407" spans="2:2" x14ac:dyDescent="0.25">
      <c r="B407" s="378" t="s">
        <v>3981</v>
      </c>
    </row>
    <row r="408" spans="2:2" x14ac:dyDescent="0.25">
      <c r="B408" s="379" t="s">
        <v>3982</v>
      </c>
    </row>
    <row r="409" spans="2:2" x14ac:dyDescent="0.25">
      <c r="B409" s="376"/>
    </row>
    <row r="410" spans="2:2" x14ac:dyDescent="0.25">
      <c r="B410" s="379" t="s">
        <v>3976</v>
      </c>
    </row>
    <row r="411" spans="2:2" x14ac:dyDescent="0.25">
      <c r="B411" s="379" t="s">
        <v>3983</v>
      </c>
    </row>
    <row r="412" spans="2:2" x14ac:dyDescent="0.25">
      <c r="B412" s="379" t="s">
        <v>3984</v>
      </c>
    </row>
    <row r="413" spans="2:2" x14ac:dyDescent="0.25">
      <c r="B413" s="379" t="s">
        <v>3985</v>
      </c>
    </row>
    <row r="414" spans="2:2" x14ac:dyDescent="0.25">
      <c r="B414" s="379" t="s">
        <v>3986</v>
      </c>
    </row>
    <row r="415" spans="2:2" x14ac:dyDescent="0.25">
      <c r="B415" s="379" t="s">
        <v>3987</v>
      </c>
    </row>
    <row r="416" spans="2:2" x14ac:dyDescent="0.25">
      <c r="B416" s="379" t="s">
        <v>3988</v>
      </c>
    </row>
    <row r="417" spans="2:2" x14ac:dyDescent="0.25">
      <c r="B417" s="379" t="s">
        <v>3989</v>
      </c>
    </row>
    <row r="418" spans="2:2" x14ac:dyDescent="0.25">
      <c r="B418" s="379" t="s">
        <v>3990</v>
      </c>
    </row>
    <row r="419" spans="2:2" x14ac:dyDescent="0.25">
      <c r="B419" s="379" t="s">
        <v>3991</v>
      </c>
    </row>
    <row r="420" spans="2:2" x14ac:dyDescent="0.25">
      <c r="B420" s="379" t="s">
        <v>3980</v>
      </c>
    </row>
    <row r="421" spans="2:2" x14ac:dyDescent="0.25">
      <c r="B421" s="376"/>
    </row>
    <row r="422" spans="2:2" x14ac:dyDescent="0.25">
      <c r="B422" s="379" t="s">
        <v>3992</v>
      </c>
    </row>
    <row r="423" spans="2:2" x14ac:dyDescent="0.25">
      <c r="B423" s="376"/>
    </row>
    <row r="424" spans="2:2" x14ac:dyDescent="0.25">
      <c r="B424" s="379" t="s">
        <v>3993</v>
      </c>
    </row>
    <row r="425" spans="2:2" x14ac:dyDescent="0.25">
      <c r="B425" s="379" t="s">
        <v>3994</v>
      </c>
    </row>
    <row r="426" spans="2:2" x14ac:dyDescent="0.25">
      <c r="B426" s="379" t="s">
        <v>3995</v>
      </c>
    </row>
    <row r="427" spans="2:2" x14ac:dyDescent="0.25">
      <c r="B427" s="379" t="s">
        <v>3996</v>
      </c>
    </row>
    <row r="428" spans="2:2" x14ac:dyDescent="0.25">
      <c r="B428" s="379" t="s">
        <v>3997</v>
      </c>
    </row>
    <row r="429" spans="2:2" x14ac:dyDescent="0.25">
      <c r="B429" s="379" t="s">
        <v>3998</v>
      </c>
    </row>
    <row r="430" spans="2:2" x14ac:dyDescent="0.25">
      <c r="B430" s="376"/>
    </row>
    <row r="431" spans="2:2" x14ac:dyDescent="0.25">
      <c r="B431" s="379" t="s">
        <v>3999</v>
      </c>
    </row>
    <row r="432" spans="2:2" x14ac:dyDescent="0.25">
      <c r="B432" s="379" t="s">
        <v>4000</v>
      </c>
    </row>
    <row r="433" spans="2:2" x14ac:dyDescent="0.25">
      <c r="B433" s="379" t="s">
        <v>4001</v>
      </c>
    </row>
    <row r="434" spans="2:2" x14ac:dyDescent="0.25">
      <c r="B434" s="379" t="s">
        <v>4002</v>
      </c>
    </row>
    <row r="435" spans="2:2" x14ac:dyDescent="0.25">
      <c r="B435" s="379" t="s">
        <v>3991</v>
      </c>
    </row>
    <row r="436" spans="2:2" x14ac:dyDescent="0.25">
      <c r="B436" s="376"/>
    </row>
    <row r="437" spans="2:2" x14ac:dyDescent="0.25">
      <c r="B437" s="378" t="s">
        <v>4003</v>
      </c>
    </row>
    <row r="438" spans="2:2" x14ac:dyDescent="0.25">
      <c r="B438" s="379" t="s">
        <v>4004</v>
      </c>
    </row>
    <row r="439" spans="2:2" x14ac:dyDescent="0.25">
      <c r="B439" s="379" t="s">
        <v>4005</v>
      </c>
    </row>
    <row r="440" spans="2:2" x14ac:dyDescent="0.25">
      <c r="B440" s="379" t="s">
        <v>4006</v>
      </c>
    </row>
    <row r="441" spans="2:2" x14ac:dyDescent="0.25">
      <c r="B441" s="379" t="s">
        <v>4007</v>
      </c>
    </row>
    <row r="442" spans="2:2" x14ac:dyDescent="0.25">
      <c r="B442" s="376"/>
    </row>
    <row r="443" spans="2:2" x14ac:dyDescent="0.25">
      <c r="B443" s="378" t="s">
        <v>4008</v>
      </c>
    </row>
    <row r="444" spans="2:2" x14ac:dyDescent="0.25">
      <c r="B444" s="379" t="s">
        <v>3976</v>
      </c>
    </row>
    <row r="445" spans="2:2" x14ac:dyDescent="0.25">
      <c r="B445" s="379" t="s">
        <v>4009</v>
      </c>
    </row>
    <row r="446" spans="2:2" x14ac:dyDescent="0.25">
      <c r="B446" s="379" t="s">
        <v>3980</v>
      </c>
    </row>
    <row r="447" spans="2:2" x14ac:dyDescent="0.25">
      <c r="B447" s="376"/>
    </row>
    <row r="448" spans="2:2" x14ac:dyDescent="0.25">
      <c r="B448" s="378" t="s">
        <v>4010</v>
      </c>
    </row>
    <row r="449" spans="2:2" x14ac:dyDescent="0.25">
      <c r="B449" s="379" t="s">
        <v>4011</v>
      </c>
    </row>
    <row r="450" spans="2:2" x14ac:dyDescent="0.25">
      <c r="B450" s="379" t="s">
        <v>4012</v>
      </c>
    </row>
    <row r="451" spans="2:2" x14ac:dyDescent="0.25">
      <c r="B451" s="379" t="s">
        <v>4013</v>
      </c>
    </row>
    <row r="452" spans="2:2" x14ac:dyDescent="0.25">
      <c r="B452" s="379" t="s">
        <v>4014</v>
      </c>
    </row>
    <row r="453" spans="2:2" x14ac:dyDescent="0.25">
      <c r="B453" s="379" t="s">
        <v>4015</v>
      </c>
    </row>
    <row r="454" spans="2:2" x14ac:dyDescent="0.25">
      <c r="B454" s="376"/>
    </row>
    <row r="455" spans="2:2" x14ac:dyDescent="0.25">
      <c r="B455" s="379" t="s">
        <v>4016</v>
      </c>
    </row>
    <row r="456" spans="2:2" x14ac:dyDescent="0.25">
      <c r="B456" s="379" t="s">
        <v>4017</v>
      </c>
    </row>
    <row r="457" spans="2:2" x14ac:dyDescent="0.25">
      <c r="B457" s="379" t="s">
        <v>4018</v>
      </c>
    </row>
    <row r="458" spans="2:2" x14ac:dyDescent="0.25">
      <c r="B458" s="379" t="s">
        <v>4001</v>
      </c>
    </row>
    <row r="459" spans="2:2" x14ac:dyDescent="0.25">
      <c r="B459" s="379" t="s">
        <v>4019</v>
      </c>
    </row>
    <row r="460" spans="2:2" x14ac:dyDescent="0.25">
      <c r="B460" s="379" t="s">
        <v>4020</v>
      </c>
    </row>
    <row r="461" spans="2:2" x14ac:dyDescent="0.25">
      <c r="B461" s="379" t="s">
        <v>4021</v>
      </c>
    </row>
    <row r="462" spans="2:2" x14ac:dyDescent="0.25">
      <c r="B462" s="379" t="s">
        <v>3991</v>
      </c>
    </row>
    <row r="463" spans="2:2" x14ac:dyDescent="0.25">
      <c r="B463" s="376"/>
    </row>
    <row r="464" spans="2:2" x14ac:dyDescent="0.25">
      <c r="B464" s="377" t="s">
        <v>4022</v>
      </c>
    </row>
    <row r="465" spans="2:2" x14ac:dyDescent="0.25">
      <c r="B465" s="376"/>
    </row>
    <row r="466" spans="2:2" x14ac:dyDescent="0.25">
      <c r="B466" s="375" t="s">
        <v>4023</v>
      </c>
    </row>
    <row r="467" spans="2:2" x14ac:dyDescent="0.25">
      <c r="B467" s="377" t="s">
        <v>4024</v>
      </c>
    </row>
    <row r="468" spans="2:2" x14ac:dyDescent="0.25">
      <c r="B468" s="378" t="s">
        <v>4025</v>
      </c>
    </row>
    <row r="469" spans="2:2" x14ac:dyDescent="0.25">
      <c r="B469" s="379" t="s">
        <v>3902</v>
      </c>
    </row>
    <row r="470" spans="2:2" x14ac:dyDescent="0.25">
      <c r="B470" s="379" t="s">
        <v>4026</v>
      </c>
    </row>
    <row r="471" spans="2:2" x14ac:dyDescent="0.25">
      <c r="B471" s="379" t="s">
        <v>4027</v>
      </c>
    </row>
    <row r="472" spans="2:2" x14ac:dyDescent="0.25">
      <c r="B472" s="376"/>
    </row>
    <row r="473" spans="2:2" x14ac:dyDescent="0.25">
      <c r="B473" s="379" t="s">
        <v>4028</v>
      </c>
    </row>
    <row r="474" spans="2:2" x14ac:dyDescent="0.25">
      <c r="B474" s="379" t="s">
        <v>4029</v>
      </c>
    </row>
    <row r="475" spans="2:2" x14ac:dyDescent="0.25">
      <c r="B475" s="379" t="s">
        <v>4030</v>
      </c>
    </row>
    <row r="476" spans="2:2" x14ac:dyDescent="0.25">
      <c r="B476" s="379" t="s">
        <v>4031</v>
      </c>
    </row>
    <row r="477" spans="2:2" x14ac:dyDescent="0.25">
      <c r="B477" s="379" t="s">
        <v>4032</v>
      </c>
    </row>
    <row r="478" spans="2:2" x14ac:dyDescent="0.25">
      <c r="B478" s="376"/>
    </row>
    <row r="479" spans="2:2" x14ac:dyDescent="0.25">
      <c r="B479" s="379" t="s">
        <v>3957</v>
      </c>
    </row>
    <row r="480" spans="2:2" x14ac:dyDescent="0.25">
      <c r="B480" s="379" t="s">
        <v>4033</v>
      </c>
    </row>
    <row r="481" spans="2:2" x14ac:dyDescent="0.25">
      <c r="B481" s="379" t="s">
        <v>3927</v>
      </c>
    </row>
    <row r="482" spans="2:2" x14ac:dyDescent="0.25">
      <c r="B482" s="379" t="s">
        <v>4034</v>
      </c>
    </row>
    <row r="483" spans="2:2" x14ac:dyDescent="0.25">
      <c r="B483" s="379" t="s">
        <v>3970</v>
      </c>
    </row>
    <row r="484" spans="2:2" x14ac:dyDescent="0.25">
      <c r="B484" s="379" t="s">
        <v>4035</v>
      </c>
    </row>
    <row r="485" spans="2:2" x14ac:dyDescent="0.25">
      <c r="B485" s="379" t="s">
        <v>4036</v>
      </c>
    </row>
    <row r="486" spans="2:2" x14ac:dyDescent="0.25">
      <c r="B486" s="379" t="s">
        <v>4037</v>
      </c>
    </row>
    <row r="487" spans="2:2" x14ac:dyDescent="0.25">
      <c r="B487" s="379" t="s">
        <v>4038</v>
      </c>
    </row>
    <row r="488" spans="2:2" x14ac:dyDescent="0.25">
      <c r="B488" s="379" t="s">
        <v>4039</v>
      </c>
    </row>
    <row r="489" spans="2:2" x14ac:dyDescent="0.25">
      <c r="B489" s="379" t="s">
        <v>4040</v>
      </c>
    </row>
    <row r="490" spans="2:2" x14ac:dyDescent="0.25">
      <c r="B490" s="379" t="s">
        <v>4041</v>
      </c>
    </row>
    <row r="491" spans="2:2" x14ac:dyDescent="0.25">
      <c r="B491" s="379" t="s">
        <v>4042</v>
      </c>
    </row>
    <row r="492" spans="2:2" x14ac:dyDescent="0.25">
      <c r="B492" s="379" t="s">
        <v>4043</v>
      </c>
    </row>
    <row r="493" spans="2:2" x14ac:dyDescent="0.25">
      <c r="B493" s="379" t="s">
        <v>4044</v>
      </c>
    </row>
    <row r="494" spans="2:2" x14ac:dyDescent="0.25">
      <c r="B494" s="379" t="s">
        <v>4045</v>
      </c>
    </row>
    <row r="495" spans="2:2" x14ac:dyDescent="0.25">
      <c r="B495" s="379" t="s">
        <v>4046</v>
      </c>
    </row>
    <row r="496" spans="2:2" x14ac:dyDescent="0.25">
      <c r="B496" s="379" t="s">
        <v>4047</v>
      </c>
    </row>
    <row r="497" spans="2:2" x14ac:dyDescent="0.25">
      <c r="B497" s="379" t="s">
        <v>4048</v>
      </c>
    </row>
    <row r="498" spans="2:2" x14ac:dyDescent="0.25">
      <c r="B498" s="379" t="s">
        <v>3935</v>
      </c>
    </row>
    <row r="499" spans="2:2" x14ac:dyDescent="0.25">
      <c r="B499" s="379" t="s">
        <v>3936</v>
      </c>
    </row>
    <row r="500" spans="2:2" x14ac:dyDescent="0.25">
      <c r="B500" s="379" t="s">
        <v>3961</v>
      </c>
    </row>
    <row r="501" spans="2:2" x14ac:dyDescent="0.25">
      <c r="B501" s="376"/>
    </row>
    <row r="502" spans="2:2" x14ac:dyDescent="0.25">
      <c r="B502" s="379" t="s">
        <v>4049</v>
      </c>
    </row>
    <row r="503" spans="2:2" x14ac:dyDescent="0.25">
      <c r="B503" s="379" t="s">
        <v>4050</v>
      </c>
    </row>
    <row r="504" spans="2:2" x14ac:dyDescent="0.25">
      <c r="B504" s="377" t="s">
        <v>4022</v>
      </c>
    </row>
    <row r="505" spans="2:2" x14ac:dyDescent="0.25">
      <c r="B505" s="376"/>
    </row>
    <row r="506" spans="2:2" x14ac:dyDescent="0.25">
      <c r="B506" s="375" t="s">
        <v>4023</v>
      </c>
    </row>
    <row r="507" spans="2:2" x14ac:dyDescent="0.25">
      <c r="B507" s="377" t="s">
        <v>4051</v>
      </c>
    </row>
    <row r="508" spans="2:2" x14ac:dyDescent="0.25">
      <c r="B508" s="378" t="s">
        <v>4052</v>
      </c>
    </row>
    <row r="509" spans="2:2" x14ac:dyDescent="0.25">
      <c r="B509" s="379" t="s">
        <v>3902</v>
      </c>
    </row>
    <row r="510" spans="2:2" x14ac:dyDescent="0.25">
      <c r="B510" s="379" t="s">
        <v>4026</v>
      </c>
    </row>
    <row r="511" spans="2:2" x14ac:dyDescent="0.25">
      <c r="B511" s="379" t="s">
        <v>4053</v>
      </c>
    </row>
    <row r="512" spans="2:2" x14ac:dyDescent="0.25">
      <c r="B512" s="379" t="s">
        <v>4054</v>
      </c>
    </row>
    <row r="513" spans="2:2" x14ac:dyDescent="0.25">
      <c r="B513" s="379" t="s">
        <v>3927</v>
      </c>
    </row>
    <row r="514" spans="2:2" x14ac:dyDescent="0.25">
      <c r="B514" s="379" t="s">
        <v>4055</v>
      </c>
    </row>
    <row r="515" spans="2:2" x14ac:dyDescent="0.25">
      <c r="B515" s="379" t="s">
        <v>3936</v>
      </c>
    </row>
    <row r="516" spans="2:2" x14ac:dyDescent="0.25">
      <c r="B516" s="379" t="s">
        <v>4056</v>
      </c>
    </row>
    <row r="517" spans="2:2" x14ac:dyDescent="0.25">
      <c r="B517" s="379" t="s">
        <v>4057</v>
      </c>
    </row>
    <row r="518" spans="2:2" x14ac:dyDescent="0.25">
      <c r="B518" s="377" t="s">
        <v>4022</v>
      </c>
    </row>
    <row r="519" spans="2:2" x14ac:dyDescent="0.25">
      <c r="B519" s="376"/>
    </row>
    <row r="520" spans="2:2" x14ac:dyDescent="0.25">
      <c r="B520" s="375" t="s">
        <v>4023</v>
      </c>
    </row>
    <row r="521" spans="2:2" x14ac:dyDescent="0.25">
      <c r="B521" s="377" t="s">
        <v>4058</v>
      </c>
    </row>
    <row r="522" spans="2:2" x14ac:dyDescent="0.25">
      <c r="B522" s="378" t="s">
        <v>4059</v>
      </c>
    </row>
    <row r="523" spans="2:2" x14ac:dyDescent="0.25">
      <c r="B523" s="379" t="s">
        <v>3902</v>
      </c>
    </row>
    <row r="524" spans="2:2" x14ac:dyDescent="0.25">
      <c r="B524" s="379" t="s">
        <v>4060</v>
      </c>
    </row>
    <row r="525" spans="2:2" x14ac:dyDescent="0.25">
      <c r="B525" s="379" t="s">
        <v>4061</v>
      </c>
    </row>
    <row r="526" spans="2:2" x14ac:dyDescent="0.25">
      <c r="B526" s="379" t="s">
        <v>4062</v>
      </c>
    </row>
    <row r="527" spans="2:2" x14ac:dyDescent="0.25">
      <c r="B527" s="376"/>
    </row>
    <row r="528" spans="2:2" x14ac:dyDescent="0.25">
      <c r="B528" s="379" t="s">
        <v>4054</v>
      </c>
    </row>
    <row r="529" spans="2:2" x14ac:dyDescent="0.25">
      <c r="B529" s="379" t="s">
        <v>3927</v>
      </c>
    </row>
    <row r="530" spans="2:2" x14ac:dyDescent="0.25">
      <c r="B530" s="379" t="s">
        <v>4063</v>
      </c>
    </row>
    <row r="531" spans="2:2" x14ac:dyDescent="0.25">
      <c r="B531" s="379" t="s">
        <v>4064</v>
      </c>
    </row>
    <row r="532" spans="2:2" x14ac:dyDescent="0.25">
      <c r="B532" s="379" t="s">
        <v>4065</v>
      </c>
    </row>
    <row r="533" spans="2:2" x14ac:dyDescent="0.25">
      <c r="B533" s="379" t="s">
        <v>4066</v>
      </c>
    </row>
    <row r="534" spans="2:2" x14ac:dyDescent="0.25">
      <c r="B534" s="379" t="s">
        <v>4067</v>
      </c>
    </row>
    <row r="535" spans="2:2" x14ac:dyDescent="0.25">
      <c r="B535" s="379" t="s">
        <v>4068</v>
      </c>
    </row>
    <row r="536" spans="2:2" x14ac:dyDescent="0.25">
      <c r="B536" s="379" t="s">
        <v>4069</v>
      </c>
    </row>
    <row r="537" spans="2:2" x14ac:dyDescent="0.25">
      <c r="B537" s="379" t="s">
        <v>3935</v>
      </c>
    </row>
    <row r="538" spans="2:2" x14ac:dyDescent="0.25">
      <c r="B538" s="379" t="s">
        <v>3936</v>
      </c>
    </row>
    <row r="539" spans="2:2" x14ac:dyDescent="0.25">
      <c r="B539" s="379" t="s">
        <v>4056</v>
      </c>
    </row>
    <row r="540" spans="2:2" x14ac:dyDescent="0.25">
      <c r="B540" s="376"/>
    </row>
    <row r="541" spans="2:2" x14ac:dyDescent="0.25">
      <c r="B541" s="378" t="s">
        <v>4070</v>
      </c>
    </row>
    <row r="542" spans="2:2" x14ac:dyDescent="0.25">
      <c r="B542" s="379" t="s">
        <v>4071</v>
      </c>
    </row>
    <row r="543" spans="2:2" x14ac:dyDescent="0.25">
      <c r="B543" s="379" t="s">
        <v>4072</v>
      </c>
    </row>
    <row r="544" spans="2:2" x14ac:dyDescent="0.25">
      <c r="B544" s="379" t="s">
        <v>4073</v>
      </c>
    </row>
    <row r="545" spans="1:2" x14ac:dyDescent="0.25">
      <c r="B545" s="377" t="s">
        <v>4022</v>
      </c>
    </row>
    <row r="548" spans="1:2" ht="27.95" customHeight="1" x14ac:dyDescent="0.3">
      <c r="A548" s="363" t="s">
        <v>4074</v>
      </c>
    </row>
    <row r="549" spans="1:2" x14ac:dyDescent="0.25">
      <c r="A549" s="309" t="s">
        <v>152</v>
      </c>
      <c r="B549" s="309" t="s">
        <v>4075</v>
      </c>
    </row>
    <row r="550" spans="1:2" ht="51.95" customHeight="1" x14ac:dyDescent="0.25">
      <c r="A550" s="380" t="s">
        <v>4076</v>
      </c>
      <c r="B550" s="381" t="s">
        <v>4077</v>
      </c>
    </row>
    <row r="551" spans="1:2" ht="51.95" customHeight="1" x14ac:dyDescent="0.25">
      <c r="A551" s="382" t="s">
        <v>4078</v>
      </c>
      <c r="B551" s="313" t="s">
        <v>4079</v>
      </c>
    </row>
    <row r="552" spans="1:2" ht="51.95" customHeight="1" x14ac:dyDescent="0.25">
      <c r="A552" s="380" t="s">
        <v>4080</v>
      </c>
      <c r="B552" s="381" t="s">
        <v>4081</v>
      </c>
    </row>
    <row r="553" spans="1:2" ht="51.95" customHeight="1" x14ac:dyDescent="0.25">
      <c r="A553" s="382" t="s">
        <v>4082</v>
      </c>
      <c r="B553" s="313" t="s">
        <v>4083</v>
      </c>
    </row>
    <row r="554" spans="1:2" ht="51.95" customHeight="1" x14ac:dyDescent="0.25">
      <c r="A554" s="380" t="s">
        <v>4084</v>
      </c>
      <c r="B554" s="381" t="s">
        <v>4085</v>
      </c>
    </row>
    <row r="555" spans="1:2" ht="51.95" customHeight="1" x14ac:dyDescent="0.25">
      <c r="A555" s="382" t="s">
        <v>4086</v>
      </c>
      <c r="B555" s="313" t="s">
        <v>4087</v>
      </c>
    </row>
    <row r="556" spans="1:2" ht="51.95" customHeight="1" x14ac:dyDescent="0.25">
      <c r="A556" s="380" t="s">
        <v>4088</v>
      </c>
      <c r="B556" s="381" t="s">
        <v>4089</v>
      </c>
    </row>
    <row r="557" spans="1:2" ht="51.95" customHeight="1" x14ac:dyDescent="0.25">
      <c r="A557" s="382" t="s">
        <v>4090</v>
      </c>
      <c r="B557" s="313" t="s">
        <v>4091</v>
      </c>
    </row>
    <row r="558" spans="1:2" ht="51.95" customHeight="1" x14ac:dyDescent="0.25">
      <c r="A558" s="380" t="s">
        <v>4092</v>
      </c>
      <c r="B558" s="381" t="s">
        <v>4093</v>
      </c>
    </row>
    <row r="560" spans="1:2" ht="39.950000000000003" customHeight="1" x14ac:dyDescent="0.25">
      <c r="A560" s="396" t="s">
        <v>4110</v>
      </c>
    </row>
    <row r="561" spans="2:2" x14ac:dyDescent="0.25">
      <c r="B561" s="375" t="s">
        <v>4111</v>
      </c>
    </row>
    <row r="562" spans="2:2" x14ac:dyDescent="0.25">
      <c r="B562" s="377" t="s">
        <v>4112</v>
      </c>
    </row>
    <row r="563" spans="2:2" x14ac:dyDescent="0.25">
      <c r="B563" s="378" t="s">
        <v>4113</v>
      </c>
    </row>
    <row r="564" spans="2:2" x14ac:dyDescent="0.25">
      <c r="B564" s="379" t="s">
        <v>4114</v>
      </c>
    </row>
    <row r="565" spans="2:2" x14ac:dyDescent="0.25">
      <c r="B565" s="379" t="s">
        <v>4115</v>
      </c>
    </row>
    <row r="566" spans="2:2" x14ac:dyDescent="0.25">
      <c r="B566" s="379" t="s">
        <v>4116</v>
      </c>
    </row>
    <row r="567" spans="2:2" x14ac:dyDescent="0.25">
      <c r="B567" s="379" t="s">
        <v>4117</v>
      </c>
    </row>
    <row r="568" spans="2:2" x14ac:dyDescent="0.25">
      <c r="B568" s="379"/>
    </row>
    <row r="569" spans="2:2" x14ac:dyDescent="0.25">
      <c r="B569" s="379" t="s">
        <v>4118</v>
      </c>
    </row>
    <row r="570" spans="2:2" x14ac:dyDescent="0.25">
      <c r="B570" s="379" t="s">
        <v>4119</v>
      </c>
    </row>
    <row r="571" spans="2:2" x14ac:dyDescent="0.25">
      <c r="B571" s="379"/>
    </row>
    <row r="572" spans="2:2" x14ac:dyDescent="0.25">
      <c r="B572" s="379" t="s">
        <v>3957</v>
      </c>
    </row>
    <row r="573" spans="2:2" x14ac:dyDescent="0.25">
      <c r="B573" s="379" t="s">
        <v>4120</v>
      </c>
    </row>
    <row r="574" spans="2:2" x14ac:dyDescent="0.25">
      <c r="B574" s="379" t="s">
        <v>4121</v>
      </c>
    </row>
    <row r="575" spans="2:2" x14ac:dyDescent="0.25">
      <c r="B575" s="379" t="s">
        <v>4122</v>
      </c>
    </row>
    <row r="576" spans="2:2" x14ac:dyDescent="0.25">
      <c r="B576" s="379" t="s">
        <v>3927</v>
      </c>
    </row>
    <row r="577" spans="2:2" x14ac:dyDescent="0.25">
      <c r="B577" s="379" t="s">
        <v>4123</v>
      </c>
    </row>
    <row r="578" spans="2:2" x14ac:dyDescent="0.25">
      <c r="B578" s="379" t="s">
        <v>4124</v>
      </c>
    </row>
    <row r="579" spans="2:2" x14ac:dyDescent="0.25">
      <c r="B579" s="379" t="s">
        <v>4125</v>
      </c>
    </row>
    <row r="580" spans="2:2" x14ac:dyDescent="0.25">
      <c r="B580" s="379" t="s">
        <v>3933</v>
      </c>
    </row>
    <row r="581" spans="2:2" x14ac:dyDescent="0.25">
      <c r="B581" s="379" t="s">
        <v>4126</v>
      </c>
    </row>
    <row r="582" spans="2:2" x14ac:dyDescent="0.25">
      <c r="B582" s="379" t="s">
        <v>4127</v>
      </c>
    </row>
    <row r="583" spans="2:2" x14ac:dyDescent="0.25">
      <c r="B583" s="379" t="s">
        <v>4128</v>
      </c>
    </row>
    <row r="584" spans="2:2" x14ac:dyDescent="0.25">
      <c r="B584" s="379" t="s">
        <v>4129</v>
      </c>
    </row>
    <row r="585" spans="2:2" x14ac:dyDescent="0.25">
      <c r="B585" s="379" t="s">
        <v>4130</v>
      </c>
    </row>
    <row r="586" spans="2:2" x14ac:dyDescent="0.25">
      <c r="B586" s="379" t="s">
        <v>4131</v>
      </c>
    </row>
    <row r="587" spans="2:2" x14ac:dyDescent="0.25">
      <c r="B587" s="379" t="s">
        <v>4132</v>
      </c>
    </row>
    <row r="588" spans="2:2" x14ac:dyDescent="0.25">
      <c r="B588" s="379" t="s">
        <v>4133</v>
      </c>
    </row>
    <row r="589" spans="2:2" x14ac:dyDescent="0.25">
      <c r="B589" s="379" t="s">
        <v>4134</v>
      </c>
    </row>
    <row r="590" spans="2:2" x14ac:dyDescent="0.25">
      <c r="B590" s="379" t="s">
        <v>4135</v>
      </c>
    </row>
    <row r="591" spans="2:2" x14ac:dyDescent="0.25">
      <c r="B591" s="379" t="s">
        <v>4136</v>
      </c>
    </row>
    <row r="592" spans="2:2" x14ac:dyDescent="0.25">
      <c r="B592" s="379" t="s">
        <v>3935</v>
      </c>
    </row>
    <row r="593" spans="2:2" x14ac:dyDescent="0.25">
      <c r="B593" s="379" t="s">
        <v>3936</v>
      </c>
    </row>
    <row r="594" spans="2:2" x14ac:dyDescent="0.25">
      <c r="B594" s="379" t="s">
        <v>3961</v>
      </c>
    </row>
    <row r="595" spans="2:2" x14ac:dyDescent="0.25">
      <c r="B595" s="379"/>
    </row>
    <row r="596" spans="2:2" x14ac:dyDescent="0.25">
      <c r="B596" s="378" t="s">
        <v>4137</v>
      </c>
    </row>
    <row r="597" spans="2:2" x14ac:dyDescent="0.25">
      <c r="B597" s="379" t="s">
        <v>4138</v>
      </c>
    </row>
    <row r="598" spans="2:2" x14ac:dyDescent="0.25">
      <c r="B598" s="379" t="s">
        <v>4139</v>
      </c>
    </row>
    <row r="599" spans="2:2" x14ac:dyDescent="0.25">
      <c r="B599" s="379" t="s">
        <v>4140</v>
      </c>
    </row>
    <row r="600" spans="2:2" x14ac:dyDescent="0.25">
      <c r="B600" s="379"/>
    </row>
    <row r="601" spans="2:2" x14ac:dyDescent="0.25">
      <c r="B601" s="379" t="s">
        <v>4141</v>
      </c>
    </row>
    <row r="602" spans="2:2" x14ac:dyDescent="0.25">
      <c r="B602" s="379" t="s">
        <v>4142</v>
      </c>
    </row>
    <row r="603" spans="2:2" x14ac:dyDescent="0.25">
      <c r="B603" s="377" t="s">
        <v>4022</v>
      </c>
    </row>
    <row r="604" spans="2:2" x14ac:dyDescent="0.25">
      <c r="B604" s="379"/>
    </row>
    <row r="605" spans="2:2" x14ac:dyDescent="0.25">
      <c r="B605" s="375" t="s">
        <v>4111</v>
      </c>
    </row>
    <row r="606" spans="2:2" x14ac:dyDescent="0.25">
      <c r="B606" s="377" t="s">
        <v>4143</v>
      </c>
    </row>
    <row r="607" spans="2:2" x14ac:dyDescent="0.25">
      <c r="B607" s="378" t="s">
        <v>4144</v>
      </c>
    </row>
    <row r="608" spans="2:2" x14ac:dyDescent="0.25">
      <c r="B608" s="379" t="s">
        <v>4114</v>
      </c>
    </row>
    <row r="609" spans="2:2" x14ac:dyDescent="0.25">
      <c r="B609" s="379" t="s">
        <v>4145</v>
      </c>
    </row>
    <row r="610" spans="2:2" x14ac:dyDescent="0.25">
      <c r="B610" s="379" t="s">
        <v>4146</v>
      </c>
    </row>
    <row r="611" spans="2:2" x14ac:dyDescent="0.25">
      <c r="B611" s="379"/>
    </row>
    <row r="612" spans="2:2" x14ac:dyDescent="0.25">
      <c r="B612" s="378" t="s">
        <v>4147</v>
      </c>
    </row>
    <row r="613" spans="2:2" x14ac:dyDescent="0.25">
      <c r="B613" s="379" t="s">
        <v>4148</v>
      </c>
    </row>
    <row r="614" spans="2:2" x14ac:dyDescent="0.25">
      <c r="B614" s="379"/>
    </row>
    <row r="615" spans="2:2" x14ac:dyDescent="0.25">
      <c r="B615" s="378" t="s">
        <v>4149</v>
      </c>
    </row>
    <row r="616" spans="2:2" x14ac:dyDescent="0.25">
      <c r="B616" s="379" t="s">
        <v>4150</v>
      </c>
    </row>
    <row r="617" spans="2:2" x14ac:dyDescent="0.25">
      <c r="B617" s="379" t="s">
        <v>4151</v>
      </c>
    </row>
    <row r="618" spans="2:2" x14ac:dyDescent="0.25">
      <c r="B618" s="379" t="s">
        <v>4152</v>
      </c>
    </row>
    <row r="619" spans="2:2" x14ac:dyDescent="0.25">
      <c r="B619" s="379" t="s">
        <v>4153</v>
      </c>
    </row>
    <row r="620" spans="2:2" x14ac:dyDescent="0.25">
      <c r="B620" s="379"/>
    </row>
    <row r="621" spans="2:2" x14ac:dyDescent="0.25">
      <c r="B621" s="378" t="s">
        <v>4154</v>
      </c>
    </row>
    <row r="622" spans="2:2" x14ac:dyDescent="0.25">
      <c r="B622" s="379" t="s">
        <v>3957</v>
      </c>
    </row>
    <row r="623" spans="2:2" x14ac:dyDescent="0.25">
      <c r="B623" s="379" t="s">
        <v>4155</v>
      </c>
    </row>
    <row r="624" spans="2:2" x14ac:dyDescent="0.25">
      <c r="B624" s="379" t="s">
        <v>4156</v>
      </c>
    </row>
    <row r="625" spans="2:2" x14ac:dyDescent="0.25">
      <c r="B625" s="379" t="s">
        <v>4157</v>
      </c>
    </row>
    <row r="626" spans="2:2" x14ac:dyDescent="0.25">
      <c r="B626" s="379" t="s">
        <v>3927</v>
      </c>
    </row>
    <row r="627" spans="2:2" x14ac:dyDescent="0.25">
      <c r="B627" s="379" t="s">
        <v>4158</v>
      </c>
    </row>
    <row r="628" spans="2:2" x14ac:dyDescent="0.25">
      <c r="B628" s="379" t="s">
        <v>3936</v>
      </c>
    </row>
    <row r="629" spans="2:2" x14ac:dyDescent="0.25">
      <c r="B629" s="379" t="s">
        <v>3961</v>
      </c>
    </row>
    <row r="630" spans="2:2" x14ac:dyDescent="0.25">
      <c r="B630" s="379"/>
    </row>
    <row r="631" spans="2:2" x14ac:dyDescent="0.25">
      <c r="B631" s="378" t="s">
        <v>4159</v>
      </c>
    </row>
    <row r="632" spans="2:2" x14ac:dyDescent="0.25">
      <c r="B632" s="379" t="s">
        <v>4160</v>
      </c>
    </row>
    <row r="633" spans="2:2" x14ac:dyDescent="0.25">
      <c r="B633" s="379" t="s">
        <v>3902</v>
      </c>
    </row>
    <row r="634" spans="2:2" x14ac:dyDescent="0.25">
      <c r="B634" s="379" t="s">
        <v>4161</v>
      </c>
    </row>
    <row r="635" spans="2:2" x14ac:dyDescent="0.25">
      <c r="B635" s="379" t="s">
        <v>4162</v>
      </c>
    </row>
    <row r="636" spans="2:2" x14ac:dyDescent="0.25">
      <c r="B636" s="379"/>
    </row>
    <row r="637" spans="2:2" x14ac:dyDescent="0.25">
      <c r="B637" s="379" t="s">
        <v>4163</v>
      </c>
    </row>
    <row r="638" spans="2:2" x14ac:dyDescent="0.25">
      <c r="B638" s="379" t="s">
        <v>4164</v>
      </c>
    </row>
    <row r="639" spans="2:2" x14ac:dyDescent="0.25">
      <c r="B639" s="379" t="s">
        <v>4165</v>
      </c>
    </row>
    <row r="640" spans="2:2" x14ac:dyDescent="0.25">
      <c r="B640" s="379" t="s">
        <v>4166</v>
      </c>
    </row>
    <row r="641" spans="2:2" x14ac:dyDescent="0.25">
      <c r="B641" s="379" t="s">
        <v>4167</v>
      </c>
    </row>
    <row r="642" spans="2:2" x14ac:dyDescent="0.25">
      <c r="B642" s="379" t="s">
        <v>4168</v>
      </c>
    </row>
    <row r="643" spans="2:2" x14ac:dyDescent="0.25">
      <c r="B643" s="379"/>
    </row>
    <row r="644" spans="2:2" x14ac:dyDescent="0.25">
      <c r="B644" s="379" t="s">
        <v>4009</v>
      </c>
    </row>
    <row r="645" spans="2:2" x14ac:dyDescent="0.25">
      <c r="B645" s="379" t="s">
        <v>4169</v>
      </c>
    </row>
    <row r="646" spans="2:2" x14ac:dyDescent="0.25">
      <c r="B646" s="379" t="s">
        <v>4170</v>
      </c>
    </row>
    <row r="647" spans="2:2" x14ac:dyDescent="0.25">
      <c r="B647" s="379" t="s">
        <v>4171</v>
      </c>
    </row>
    <row r="648" spans="2:2" x14ac:dyDescent="0.25">
      <c r="B648" s="379"/>
    </row>
    <row r="649" spans="2:2" x14ac:dyDescent="0.25">
      <c r="B649" s="379" t="s">
        <v>4172</v>
      </c>
    </row>
    <row r="650" spans="2:2" x14ac:dyDescent="0.25">
      <c r="B650" s="379" t="s">
        <v>4173</v>
      </c>
    </row>
    <row r="651" spans="2:2" x14ac:dyDescent="0.25">
      <c r="B651" s="379" t="s">
        <v>4174</v>
      </c>
    </row>
    <row r="652" spans="2:2" x14ac:dyDescent="0.25">
      <c r="B652" s="379" t="s">
        <v>4175</v>
      </c>
    </row>
    <row r="653" spans="2:2" x14ac:dyDescent="0.25">
      <c r="B653" s="377" t="s">
        <v>4022</v>
      </c>
    </row>
    <row r="654" spans="2:2" x14ac:dyDescent="0.25">
      <c r="B654" s="379"/>
    </row>
    <row r="655" spans="2:2" x14ac:dyDescent="0.25">
      <c r="B655" s="375" t="s">
        <v>4111</v>
      </c>
    </row>
    <row r="656" spans="2:2" x14ac:dyDescent="0.25">
      <c r="B656" s="377" t="s">
        <v>4176</v>
      </c>
    </row>
    <row r="657" spans="2:2" x14ac:dyDescent="0.25">
      <c r="B657" s="378" t="s">
        <v>4177</v>
      </c>
    </row>
    <row r="658" spans="2:2" x14ac:dyDescent="0.25">
      <c r="B658" s="379" t="s">
        <v>4114</v>
      </c>
    </row>
    <row r="659" spans="2:2" x14ac:dyDescent="0.25">
      <c r="B659" s="379" t="s">
        <v>3902</v>
      </c>
    </row>
    <row r="660" spans="2:2" x14ac:dyDescent="0.25">
      <c r="B660" s="379" t="s">
        <v>4178</v>
      </c>
    </row>
    <row r="661" spans="2:2" x14ac:dyDescent="0.25">
      <c r="B661" s="379"/>
    </row>
    <row r="662" spans="2:2" x14ac:dyDescent="0.25">
      <c r="B662" s="378" t="s">
        <v>4179</v>
      </c>
    </row>
    <row r="663" spans="2:2" x14ac:dyDescent="0.25">
      <c r="B663" s="379" t="s">
        <v>4180</v>
      </c>
    </row>
    <row r="664" spans="2:2" x14ac:dyDescent="0.25">
      <c r="B664" s="379" t="s">
        <v>4181</v>
      </c>
    </row>
    <row r="665" spans="2:2" x14ac:dyDescent="0.25">
      <c r="B665" s="379" t="s">
        <v>4182</v>
      </c>
    </row>
    <row r="666" spans="2:2" x14ac:dyDescent="0.25">
      <c r="B666" s="379" t="s">
        <v>4183</v>
      </c>
    </row>
    <row r="667" spans="2:2" x14ac:dyDescent="0.25">
      <c r="B667" s="379" t="s">
        <v>4184</v>
      </c>
    </row>
    <row r="668" spans="2:2" x14ac:dyDescent="0.25">
      <c r="B668" s="379" t="s">
        <v>3935</v>
      </c>
    </row>
    <row r="669" spans="2:2" x14ac:dyDescent="0.25">
      <c r="B669" s="379" t="s">
        <v>4056</v>
      </c>
    </row>
    <row r="670" spans="2:2" x14ac:dyDescent="0.25">
      <c r="B670" s="379"/>
    </row>
    <row r="671" spans="2:2" x14ac:dyDescent="0.25">
      <c r="B671" s="378" t="s">
        <v>4185</v>
      </c>
    </row>
    <row r="672" spans="2:2" x14ac:dyDescent="0.25">
      <c r="B672" s="379" t="s">
        <v>4180</v>
      </c>
    </row>
    <row r="673" spans="2:2" x14ac:dyDescent="0.25">
      <c r="B673" s="379" t="s">
        <v>4186</v>
      </c>
    </row>
    <row r="674" spans="2:2" x14ac:dyDescent="0.25">
      <c r="B674" s="379" t="s">
        <v>4187</v>
      </c>
    </row>
    <row r="675" spans="2:2" x14ac:dyDescent="0.25">
      <c r="B675" s="379" t="s">
        <v>4188</v>
      </c>
    </row>
    <row r="676" spans="2:2" x14ac:dyDescent="0.25">
      <c r="B676" s="379" t="s">
        <v>4189</v>
      </c>
    </row>
    <row r="677" spans="2:2" x14ac:dyDescent="0.25">
      <c r="B677" s="379"/>
    </row>
    <row r="678" spans="2:2" x14ac:dyDescent="0.25">
      <c r="B678" s="379" t="s">
        <v>4190</v>
      </c>
    </row>
    <row r="679" spans="2:2" x14ac:dyDescent="0.25">
      <c r="B679" s="379" t="s">
        <v>4191</v>
      </c>
    </row>
    <row r="680" spans="2:2" x14ac:dyDescent="0.25">
      <c r="B680" s="379" t="s">
        <v>4192</v>
      </c>
    </row>
    <row r="681" spans="2:2" x14ac:dyDescent="0.25">
      <c r="B681" s="379" t="s">
        <v>4193</v>
      </c>
    </row>
    <row r="682" spans="2:2" x14ac:dyDescent="0.25">
      <c r="B682" s="379" t="s">
        <v>4194</v>
      </c>
    </row>
    <row r="683" spans="2:2" x14ac:dyDescent="0.25">
      <c r="B683" s="379" t="s">
        <v>4195</v>
      </c>
    </row>
    <row r="684" spans="2:2" x14ac:dyDescent="0.25">
      <c r="B684" s="379" t="s">
        <v>4196</v>
      </c>
    </row>
    <row r="685" spans="2:2" x14ac:dyDescent="0.25">
      <c r="B685" s="379" t="s">
        <v>4197</v>
      </c>
    </row>
    <row r="686" spans="2:2" x14ac:dyDescent="0.25">
      <c r="B686" s="379" t="s">
        <v>4198</v>
      </c>
    </row>
    <row r="687" spans="2:2" x14ac:dyDescent="0.25">
      <c r="B687" s="379"/>
    </row>
    <row r="688" spans="2:2" x14ac:dyDescent="0.25">
      <c r="B688" s="379" t="s">
        <v>4199</v>
      </c>
    </row>
    <row r="689" spans="2:2" x14ac:dyDescent="0.25">
      <c r="B689" s="379" t="s">
        <v>4200</v>
      </c>
    </row>
    <row r="690" spans="2:2" x14ac:dyDescent="0.25">
      <c r="B690" s="379" t="s">
        <v>3935</v>
      </c>
    </row>
    <row r="691" spans="2:2" x14ac:dyDescent="0.25">
      <c r="B691" s="379" t="s">
        <v>4056</v>
      </c>
    </row>
    <row r="692" spans="2:2" x14ac:dyDescent="0.25">
      <c r="B692" s="379"/>
    </row>
    <row r="693" spans="2:2" x14ac:dyDescent="0.25">
      <c r="B693" s="379" t="s">
        <v>4201</v>
      </c>
    </row>
    <row r="694" spans="2:2" x14ac:dyDescent="0.25">
      <c r="B694" s="379" t="s">
        <v>4202</v>
      </c>
    </row>
    <row r="695" spans="2:2" x14ac:dyDescent="0.25">
      <c r="B695" s="377" t="s">
        <v>4022</v>
      </c>
    </row>
    <row r="696" spans="2:2" x14ac:dyDescent="0.25">
      <c r="B696" s="379"/>
    </row>
    <row r="697" spans="2:2" x14ac:dyDescent="0.25">
      <c r="B697" s="377" t="s">
        <v>4203</v>
      </c>
    </row>
    <row r="698" spans="2:2" x14ac:dyDescent="0.25">
      <c r="B698" s="379" t="s">
        <v>4204</v>
      </c>
    </row>
    <row r="699" spans="2:2" x14ac:dyDescent="0.25">
      <c r="B699" s="377" t="s">
        <v>4022</v>
      </c>
    </row>
    <row r="700" spans="2:2" x14ac:dyDescent="0.25">
      <c r="B700" s="379"/>
    </row>
    <row r="701" spans="2:2" x14ac:dyDescent="0.25">
      <c r="B701" s="375" t="s">
        <v>4111</v>
      </c>
    </row>
    <row r="702" spans="2:2" x14ac:dyDescent="0.25">
      <c r="B702" s="377" t="s">
        <v>4205</v>
      </c>
    </row>
    <row r="703" spans="2:2" x14ac:dyDescent="0.25">
      <c r="B703" s="378" t="s">
        <v>4206</v>
      </c>
    </row>
    <row r="704" spans="2:2" x14ac:dyDescent="0.25">
      <c r="B704" s="379" t="s">
        <v>4114</v>
      </c>
    </row>
    <row r="705" spans="2:2" x14ac:dyDescent="0.25">
      <c r="B705" s="379" t="s">
        <v>4207</v>
      </c>
    </row>
    <row r="706" spans="2:2" x14ac:dyDescent="0.25">
      <c r="B706" s="379" t="s">
        <v>4208</v>
      </c>
    </row>
    <row r="707" spans="2:2" x14ac:dyDescent="0.25">
      <c r="B707" s="379"/>
    </row>
    <row r="708" spans="2:2" x14ac:dyDescent="0.25">
      <c r="B708" s="379" t="s">
        <v>4209</v>
      </c>
    </row>
    <row r="709" spans="2:2" x14ac:dyDescent="0.25">
      <c r="B709" s="379" t="s">
        <v>4210</v>
      </c>
    </row>
    <row r="710" spans="2:2" x14ac:dyDescent="0.25">
      <c r="B710" s="379" t="s">
        <v>4211</v>
      </c>
    </row>
    <row r="711" spans="2:2" x14ac:dyDescent="0.25">
      <c r="B711" s="379" t="s">
        <v>4212</v>
      </c>
    </row>
    <row r="712" spans="2:2" x14ac:dyDescent="0.25">
      <c r="B712" s="379" t="s">
        <v>4213</v>
      </c>
    </row>
    <row r="713" spans="2:2" x14ac:dyDescent="0.25">
      <c r="B713" s="379" t="s">
        <v>4214</v>
      </c>
    </row>
    <row r="714" spans="2:2" x14ac:dyDescent="0.25">
      <c r="B714" s="379"/>
    </row>
    <row r="715" spans="2:2" x14ac:dyDescent="0.25">
      <c r="B715" s="378" t="s">
        <v>4215</v>
      </c>
    </row>
    <row r="716" spans="2:2" x14ac:dyDescent="0.25">
      <c r="B716" s="379" t="s">
        <v>4216</v>
      </c>
    </row>
    <row r="717" spans="2:2" x14ac:dyDescent="0.25">
      <c r="B717" s="379" t="s">
        <v>4217</v>
      </c>
    </row>
    <row r="718" spans="2:2" x14ac:dyDescent="0.25">
      <c r="B718" s="379" t="s">
        <v>4218</v>
      </c>
    </row>
    <row r="719" spans="2:2" x14ac:dyDescent="0.25">
      <c r="B719" s="379" t="s">
        <v>4219</v>
      </c>
    </row>
    <row r="720" spans="2:2" x14ac:dyDescent="0.25">
      <c r="B720" s="379"/>
    </row>
    <row r="721" spans="2:2" x14ac:dyDescent="0.25">
      <c r="B721" s="379" t="s">
        <v>4220</v>
      </c>
    </row>
    <row r="722" spans="2:2" x14ac:dyDescent="0.25">
      <c r="B722" s="379" t="s">
        <v>4221</v>
      </c>
    </row>
    <row r="723" spans="2:2" x14ac:dyDescent="0.25">
      <c r="B723" s="379"/>
    </row>
    <row r="724" spans="2:2" x14ac:dyDescent="0.25">
      <c r="B724" s="378" t="s">
        <v>4222</v>
      </c>
    </row>
    <row r="725" spans="2:2" x14ac:dyDescent="0.25">
      <c r="B725" s="379" t="s">
        <v>4223</v>
      </c>
    </row>
    <row r="726" spans="2:2" x14ac:dyDescent="0.25">
      <c r="B726" s="379" t="s">
        <v>4224</v>
      </c>
    </row>
    <row r="727" spans="2:2" x14ac:dyDescent="0.25">
      <c r="B727" s="379" t="s">
        <v>4225</v>
      </c>
    </row>
    <row r="728" spans="2:2" x14ac:dyDescent="0.25">
      <c r="B728" s="379" t="s">
        <v>3950</v>
      </c>
    </row>
    <row r="729" spans="2:2" x14ac:dyDescent="0.25">
      <c r="B729" s="379"/>
    </row>
    <row r="730" spans="2:2" x14ac:dyDescent="0.25">
      <c r="B730" s="379" t="s">
        <v>4226</v>
      </c>
    </row>
    <row r="731" spans="2:2" x14ac:dyDescent="0.25">
      <c r="B731" s="379" t="s">
        <v>4227</v>
      </c>
    </row>
    <row r="732" spans="2:2" x14ac:dyDescent="0.25">
      <c r="B732" s="379"/>
    </row>
    <row r="733" spans="2:2" x14ac:dyDescent="0.25">
      <c r="B733" s="378" t="s">
        <v>4228</v>
      </c>
    </row>
    <row r="734" spans="2:2" x14ac:dyDescent="0.25">
      <c r="B734" s="379" t="s">
        <v>4229</v>
      </c>
    </row>
    <row r="735" spans="2:2" x14ac:dyDescent="0.25">
      <c r="B735" s="379" t="s">
        <v>4230</v>
      </c>
    </row>
    <row r="736" spans="2:2" x14ac:dyDescent="0.25">
      <c r="B736" s="379" t="s">
        <v>4231</v>
      </c>
    </row>
    <row r="737" spans="2:2" x14ac:dyDescent="0.25">
      <c r="B737" s="379" t="s">
        <v>4232</v>
      </c>
    </row>
    <row r="738" spans="2:2" x14ac:dyDescent="0.25">
      <c r="B738" s="379" t="s">
        <v>4233</v>
      </c>
    </row>
    <row r="739" spans="2:2" x14ac:dyDescent="0.25">
      <c r="B739" s="379" t="s">
        <v>4234</v>
      </c>
    </row>
    <row r="740" spans="2:2" x14ac:dyDescent="0.25">
      <c r="B740" s="379" t="s">
        <v>4235</v>
      </c>
    </row>
    <row r="741" spans="2:2" x14ac:dyDescent="0.25">
      <c r="B741" s="379" t="s">
        <v>4236</v>
      </c>
    </row>
    <row r="742" spans="2:2" x14ac:dyDescent="0.25">
      <c r="B742" s="379"/>
    </row>
    <row r="743" spans="2:2" x14ac:dyDescent="0.25">
      <c r="B743" s="379" t="s">
        <v>4237</v>
      </c>
    </row>
    <row r="744" spans="2:2" x14ac:dyDescent="0.25">
      <c r="B744" s="379"/>
    </row>
    <row r="745" spans="2:2" x14ac:dyDescent="0.25">
      <c r="B745" s="378" t="s">
        <v>4238</v>
      </c>
    </row>
    <row r="746" spans="2:2" x14ac:dyDescent="0.25">
      <c r="B746" s="379" t="s">
        <v>4239</v>
      </c>
    </row>
    <row r="747" spans="2:2" x14ac:dyDescent="0.25">
      <c r="B747" s="379" t="s">
        <v>4240</v>
      </c>
    </row>
    <row r="748" spans="2:2" x14ac:dyDescent="0.25">
      <c r="B748" s="379" t="s">
        <v>4241</v>
      </c>
    </row>
    <row r="749" spans="2:2" x14ac:dyDescent="0.25">
      <c r="B749" s="379" t="s">
        <v>3950</v>
      </c>
    </row>
    <row r="750" spans="2:2" x14ac:dyDescent="0.25">
      <c r="B750" s="377" t="s">
        <v>4022</v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93AD-3E84-43E3-AD84-0DEF19399AAD}">
  <sheetPr>
    <tabColor rgb="FF27AE60"/>
  </sheetPr>
  <dimension ref="A1:Q80"/>
  <sheetViews>
    <sheetView workbookViewId="0">
      <selection activeCell="J23" sqref="J23"/>
    </sheetView>
  </sheetViews>
  <sheetFormatPr baseColWidth="10" defaultRowHeight="15" x14ac:dyDescent="0.25"/>
  <cols>
    <col min="1" max="1" width="3.85546875" customWidth="1"/>
    <col min="2" max="2" width="43.85546875" customWidth="1"/>
    <col min="3" max="6" width="16.140625" customWidth="1"/>
    <col min="7" max="7" width="13.28515625" customWidth="1"/>
    <col min="8" max="8" width="2.42578125" customWidth="1"/>
    <col min="9" max="9" width="34.140625" bestFit="1" customWidth="1"/>
    <col min="10" max="10" width="9" bestFit="1" customWidth="1"/>
    <col min="11" max="11" width="9.7109375" bestFit="1" customWidth="1"/>
    <col min="12" max="12" width="11.28515625" bestFit="1" customWidth="1"/>
    <col min="13" max="13" width="6" bestFit="1" customWidth="1"/>
    <col min="14" max="14" width="9.85546875" bestFit="1" customWidth="1"/>
  </cols>
  <sheetData>
    <row r="1" spans="1:17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75" x14ac:dyDescent="0.3">
      <c r="A2" s="20"/>
      <c r="B2" s="519" t="s">
        <v>173</v>
      </c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20"/>
      <c r="P2" s="20"/>
      <c r="Q2" s="20"/>
    </row>
    <row r="3" spans="1:17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20"/>
      <c r="B4" s="520" t="s">
        <v>174</v>
      </c>
      <c r="C4" s="520"/>
      <c r="D4" s="520"/>
      <c r="E4" s="5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x14ac:dyDescent="0.25">
      <c r="A5" s="20"/>
      <c r="B5" s="21" t="s">
        <v>175</v>
      </c>
      <c r="C5" s="21" t="s">
        <v>176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x14ac:dyDescent="0.25">
      <c r="A6" s="20"/>
      <c r="B6" s="21" t="s">
        <v>177</v>
      </c>
      <c r="C6" s="21" t="s">
        <v>178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x14ac:dyDescent="0.25">
      <c r="A7" s="20"/>
      <c r="B7" s="21" t="s">
        <v>179</v>
      </c>
      <c r="C7" s="21" t="s">
        <v>180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x14ac:dyDescent="0.25">
      <c r="A8" s="20"/>
      <c r="B8" s="21" t="s">
        <v>181</v>
      </c>
      <c r="C8" s="21" t="s">
        <v>80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x14ac:dyDescent="0.25">
      <c r="A9" s="20"/>
      <c r="B9" s="21" t="s">
        <v>182</v>
      </c>
      <c r="C9" s="21" t="s">
        <v>183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x14ac:dyDescent="0.25">
      <c r="A10" s="20"/>
      <c r="B10" s="21" t="s">
        <v>184</v>
      </c>
      <c r="C10" s="21" t="s">
        <v>183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x14ac:dyDescent="0.25">
      <c r="A11" s="20"/>
      <c r="B11" s="21" t="s">
        <v>185</v>
      </c>
      <c r="C11" s="21" t="s">
        <v>186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15.75" x14ac:dyDescent="0.25">
      <c r="A13" s="20"/>
      <c r="B13" s="521" t="s">
        <v>187</v>
      </c>
      <c r="C13" s="521"/>
      <c r="D13" s="521"/>
      <c r="E13" s="521"/>
      <c r="F13" s="521"/>
      <c r="G13" s="521"/>
      <c r="H13" s="20"/>
      <c r="I13" s="521" t="s">
        <v>231</v>
      </c>
      <c r="J13" s="522"/>
      <c r="K13" s="522"/>
      <c r="L13" s="522"/>
      <c r="M13" s="522"/>
      <c r="N13" s="522"/>
      <c r="O13" s="20"/>
      <c r="P13" s="20"/>
      <c r="Q13" s="20"/>
    </row>
    <row r="14" spans="1:17" x14ac:dyDescent="0.25">
      <c r="A14" s="20"/>
      <c r="B14" s="14" t="s">
        <v>188</v>
      </c>
      <c r="C14" s="14" t="s">
        <v>189</v>
      </c>
      <c r="D14" s="14" t="s">
        <v>190</v>
      </c>
      <c r="E14" s="14" t="s">
        <v>191</v>
      </c>
      <c r="F14" s="14" t="s">
        <v>192</v>
      </c>
      <c r="G14" s="14" t="s">
        <v>193</v>
      </c>
      <c r="H14" s="20"/>
      <c r="I14" s="14" t="s">
        <v>188</v>
      </c>
      <c r="J14" s="14" t="s">
        <v>189</v>
      </c>
      <c r="K14" s="14" t="s">
        <v>190</v>
      </c>
      <c r="L14" s="14" t="s">
        <v>191</v>
      </c>
      <c r="M14" s="14" t="s">
        <v>192</v>
      </c>
      <c r="N14" s="14" t="s">
        <v>193</v>
      </c>
      <c r="O14" s="20"/>
      <c r="P14" s="20"/>
      <c r="Q14" s="20"/>
    </row>
    <row r="15" spans="1:17" x14ac:dyDescent="0.25">
      <c r="A15" s="20"/>
      <c r="B15" s="22" t="s">
        <v>194</v>
      </c>
      <c r="C15" s="22"/>
      <c r="D15" s="22"/>
      <c r="E15" s="22"/>
      <c r="F15" s="22"/>
      <c r="G15" s="22"/>
      <c r="H15" s="20"/>
      <c r="I15" s="22" t="s">
        <v>232</v>
      </c>
      <c r="J15" s="22"/>
      <c r="K15" s="22"/>
      <c r="L15" s="22"/>
      <c r="M15" s="22"/>
      <c r="N15" s="22"/>
      <c r="O15" s="20"/>
      <c r="P15" s="20"/>
      <c r="Q15" s="20"/>
    </row>
    <row r="16" spans="1:17" x14ac:dyDescent="0.25">
      <c r="A16" s="20"/>
      <c r="B16" s="23" t="s">
        <v>195</v>
      </c>
      <c r="C16" s="31" t="s">
        <v>196</v>
      </c>
      <c r="D16" s="887">
        <v>85000</v>
      </c>
      <c r="E16" s="887">
        <v>82000</v>
      </c>
      <c r="F16" s="887">
        <f t="shared" ref="F16:F22" si="0">D16-E16</f>
        <v>3000</v>
      </c>
      <c r="G16" s="23" t="s">
        <v>197</v>
      </c>
      <c r="H16" s="20"/>
      <c r="I16" s="23" t="s">
        <v>233</v>
      </c>
      <c r="J16" s="23" t="s">
        <v>234</v>
      </c>
      <c r="K16" s="23">
        <v>50000</v>
      </c>
      <c r="L16" s="23">
        <v>50000</v>
      </c>
      <c r="M16" s="23"/>
      <c r="N16" s="23"/>
      <c r="O16" s="20"/>
      <c r="P16" s="20"/>
      <c r="Q16" s="20"/>
    </row>
    <row r="17" spans="1:17" x14ac:dyDescent="0.25">
      <c r="A17" s="20"/>
      <c r="B17" s="21" t="s">
        <v>198</v>
      </c>
      <c r="C17" s="32" t="s">
        <v>199</v>
      </c>
      <c r="D17" s="888">
        <v>142000</v>
      </c>
      <c r="E17" s="888">
        <v>138500</v>
      </c>
      <c r="F17" s="888">
        <f t="shared" si="0"/>
        <v>3500</v>
      </c>
      <c r="G17" s="21" t="s">
        <v>200</v>
      </c>
      <c r="H17" s="20"/>
      <c r="I17" s="21" t="s">
        <v>235</v>
      </c>
      <c r="J17" s="21" t="s">
        <v>236</v>
      </c>
      <c r="K17" s="21">
        <v>128500</v>
      </c>
      <c r="L17" s="21">
        <v>115200</v>
      </c>
      <c r="M17" s="21"/>
      <c r="N17" s="21"/>
      <c r="O17" s="20"/>
      <c r="P17" s="20"/>
      <c r="Q17" s="20"/>
    </row>
    <row r="18" spans="1:17" x14ac:dyDescent="0.25">
      <c r="A18" s="20"/>
      <c r="B18" s="23" t="s">
        <v>201</v>
      </c>
      <c r="C18" s="31" t="s">
        <v>202</v>
      </c>
      <c r="D18" s="887">
        <v>28500</v>
      </c>
      <c r="E18" s="887">
        <v>31200</v>
      </c>
      <c r="F18" s="887">
        <f t="shared" si="0"/>
        <v>-2700</v>
      </c>
      <c r="G18" s="23" t="s">
        <v>203</v>
      </c>
      <c r="H18" s="20"/>
      <c r="I18" s="23" t="s">
        <v>237</v>
      </c>
      <c r="J18" s="23" t="s">
        <v>238</v>
      </c>
      <c r="K18" s="23">
        <v>32800</v>
      </c>
      <c r="L18" s="23">
        <v>28400</v>
      </c>
      <c r="M18" s="23"/>
      <c r="N18" s="23" t="s">
        <v>239</v>
      </c>
      <c r="O18" s="20"/>
      <c r="P18" s="20"/>
      <c r="Q18" s="20"/>
    </row>
    <row r="19" spans="1:17" x14ac:dyDescent="0.25">
      <c r="A19" s="20"/>
      <c r="B19" s="21" t="s">
        <v>204</v>
      </c>
      <c r="C19" s="32" t="s">
        <v>205</v>
      </c>
      <c r="D19" s="888">
        <v>95000</v>
      </c>
      <c r="E19" s="888">
        <v>90000</v>
      </c>
      <c r="F19" s="888">
        <f t="shared" si="0"/>
        <v>5000</v>
      </c>
      <c r="G19" s="21" t="s">
        <v>206</v>
      </c>
      <c r="H19" s="20"/>
      <c r="I19" s="21" t="s">
        <v>240</v>
      </c>
      <c r="J19" s="21" t="s">
        <v>241</v>
      </c>
      <c r="K19" s="21">
        <v>-4200</v>
      </c>
      <c r="L19" s="21">
        <v>-3100</v>
      </c>
      <c r="M19" s="21"/>
      <c r="N19" s="21" t="s">
        <v>242</v>
      </c>
      <c r="O19" s="20"/>
      <c r="P19" s="20"/>
      <c r="Q19" s="20"/>
    </row>
    <row r="20" spans="1:17" x14ac:dyDescent="0.25">
      <c r="A20" s="20"/>
      <c r="B20" s="23" t="s">
        <v>207</v>
      </c>
      <c r="C20" s="31" t="s">
        <v>208</v>
      </c>
      <c r="D20" s="887">
        <v>12400</v>
      </c>
      <c r="E20" s="887">
        <v>11800</v>
      </c>
      <c r="F20" s="887">
        <f t="shared" si="0"/>
        <v>600</v>
      </c>
      <c r="G20" s="23" t="s">
        <v>209</v>
      </c>
      <c r="H20" s="20"/>
      <c r="I20" s="23" t="s">
        <v>243</v>
      </c>
      <c r="J20" s="23">
        <v>1044</v>
      </c>
      <c r="K20" s="23">
        <v>18700</v>
      </c>
      <c r="L20" s="23">
        <v>16900</v>
      </c>
      <c r="M20" s="23"/>
      <c r="N20" s="23" t="s">
        <v>244</v>
      </c>
      <c r="O20" s="20"/>
      <c r="P20" s="20"/>
      <c r="Q20" s="20"/>
    </row>
    <row r="21" spans="1:17" x14ac:dyDescent="0.25">
      <c r="A21" s="20"/>
      <c r="B21" s="21" t="s">
        <v>210</v>
      </c>
      <c r="C21" s="32" t="s">
        <v>211</v>
      </c>
      <c r="D21" s="888">
        <v>8500</v>
      </c>
      <c r="E21" s="888">
        <v>7200</v>
      </c>
      <c r="F21" s="888">
        <f t="shared" si="0"/>
        <v>1300</v>
      </c>
      <c r="G21" s="21"/>
      <c r="H21" s="20"/>
      <c r="I21" s="28" t="s">
        <v>245</v>
      </c>
      <c r="J21" s="28"/>
      <c r="K21" s="28">
        <f>SUM(K16:K20)</f>
        <v>225800</v>
      </c>
      <c r="L21" s="28">
        <f>SUM(L16:L20)</f>
        <v>207400</v>
      </c>
      <c r="M21" s="28">
        <f>K21-L21</f>
        <v>18400</v>
      </c>
      <c r="N21" s="28"/>
      <c r="O21" s="20"/>
      <c r="P21" s="20"/>
      <c r="Q21" s="20"/>
    </row>
    <row r="22" spans="1:17" x14ac:dyDescent="0.25">
      <c r="A22" s="20"/>
      <c r="B22" s="25" t="s">
        <v>212</v>
      </c>
      <c r="C22" s="33"/>
      <c r="D22" s="889">
        <f>SUM(D16:D21)</f>
        <v>371400</v>
      </c>
      <c r="E22" s="889">
        <f>SUM(E16:E21)</f>
        <v>360700</v>
      </c>
      <c r="F22" s="889">
        <f t="shared" si="0"/>
        <v>10700</v>
      </c>
      <c r="G22" s="25"/>
      <c r="H22" s="20"/>
      <c r="I22" s="22" t="s">
        <v>246</v>
      </c>
      <c r="J22" s="22"/>
      <c r="K22" s="22"/>
      <c r="L22" s="22"/>
      <c r="M22" s="22"/>
      <c r="N22" s="22"/>
      <c r="O22" s="20"/>
      <c r="P22" s="20"/>
      <c r="Q22" s="20"/>
    </row>
    <row r="23" spans="1:17" x14ac:dyDescent="0.25">
      <c r="A23" s="20"/>
      <c r="B23" s="22" t="s">
        <v>213</v>
      </c>
      <c r="C23" s="34"/>
      <c r="D23" s="890"/>
      <c r="E23" s="890"/>
      <c r="F23" s="890"/>
      <c r="G23" s="22"/>
      <c r="H23" s="20"/>
      <c r="I23" s="23" t="s">
        <v>247</v>
      </c>
      <c r="J23" s="23" t="s">
        <v>248</v>
      </c>
      <c r="K23" s="23">
        <v>125000</v>
      </c>
      <c r="L23" s="23">
        <v>132000</v>
      </c>
      <c r="M23" s="23"/>
      <c r="N23" s="23" t="s">
        <v>219</v>
      </c>
      <c r="O23" s="20"/>
      <c r="P23" s="20"/>
      <c r="Q23" s="20"/>
    </row>
    <row r="24" spans="1:17" x14ac:dyDescent="0.25">
      <c r="A24" s="20"/>
      <c r="B24" s="23" t="s">
        <v>214</v>
      </c>
      <c r="C24" s="31" t="s">
        <v>215</v>
      </c>
      <c r="D24" s="887">
        <v>45200</v>
      </c>
      <c r="E24" s="887">
        <v>43800</v>
      </c>
      <c r="F24" s="887">
        <f t="shared" ref="F24:F30" si="1">D24-E24</f>
        <v>1400</v>
      </c>
      <c r="G24" s="23" t="s">
        <v>216</v>
      </c>
      <c r="H24" s="20"/>
      <c r="I24" s="21" t="s">
        <v>249</v>
      </c>
      <c r="J24" s="21">
        <v>1674</v>
      </c>
      <c r="K24" s="21">
        <v>22800</v>
      </c>
      <c r="L24" s="21">
        <v>25600</v>
      </c>
      <c r="M24" s="21"/>
      <c r="N24" s="21" t="s">
        <v>200</v>
      </c>
      <c r="O24" s="20"/>
      <c r="P24" s="20"/>
      <c r="Q24" s="20"/>
    </row>
    <row r="25" spans="1:17" x14ac:dyDescent="0.25">
      <c r="A25" s="20"/>
      <c r="B25" s="21" t="s">
        <v>217</v>
      </c>
      <c r="C25" s="32" t="s">
        <v>218</v>
      </c>
      <c r="D25" s="888">
        <v>67800</v>
      </c>
      <c r="E25" s="888">
        <v>71200</v>
      </c>
      <c r="F25" s="888">
        <f t="shared" si="1"/>
        <v>-3400</v>
      </c>
      <c r="G25" s="21" t="s">
        <v>219</v>
      </c>
      <c r="H25" s="20"/>
      <c r="I25" s="23" t="s">
        <v>250</v>
      </c>
      <c r="J25" s="23" t="s">
        <v>251</v>
      </c>
      <c r="K25" s="23">
        <v>15400</v>
      </c>
      <c r="L25" s="23">
        <v>14200</v>
      </c>
      <c r="M25" s="23"/>
      <c r="N25" s="23" t="s">
        <v>252</v>
      </c>
      <c r="O25" s="20"/>
      <c r="P25" s="20"/>
      <c r="Q25" s="20"/>
    </row>
    <row r="26" spans="1:17" x14ac:dyDescent="0.25">
      <c r="A26" s="20"/>
      <c r="B26" s="26" t="s">
        <v>220</v>
      </c>
      <c r="C26" s="35" t="s">
        <v>221</v>
      </c>
      <c r="D26" s="891">
        <v>23500</v>
      </c>
      <c r="E26" s="891">
        <v>19800</v>
      </c>
      <c r="F26" s="891">
        <f t="shared" si="1"/>
        <v>3700</v>
      </c>
      <c r="G26" s="26" t="s">
        <v>222</v>
      </c>
      <c r="H26" s="20"/>
      <c r="I26" s="21" t="s">
        <v>253</v>
      </c>
      <c r="J26" s="21" t="s">
        <v>254</v>
      </c>
      <c r="K26" s="21">
        <v>18900</v>
      </c>
      <c r="L26" s="21">
        <v>17500</v>
      </c>
      <c r="M26" s="21"/>
      <c r="N26" s="21" t="s">
        <v>209</v>
      </c>
      <c r="O26" s="20"/>
      <c r="P26" s="20"/>
      <c r="Q26" s="20"/>
    </row>
    <row r="27" spans="1:17" x14ac:dyDescent="0.25">
      <c r="A27" s="20"/>
      <c r="B27" s="23" t="s">
        <v>223</v>
      </c>
      <c r="C27" s="31" t="s">
        <v>224</v>
      </c>
      <c r="D27" s="23">
        <v>8900</v>
      </c>
      <c r="E27" s="23">
        <v>7600</v>
      </c>
      <c r="F27" s="23">
        <f t="shared" si="1"/>
        <v>1300</v>
      </c>
      <c r="G27" s="23"/>
      <c r="H27" s="20"/>
      <c r="I27" s="28" t="s">
        <v>255</v>
      </c>
      <c r="J27" s="28"/>
      <c r="K27" s="28">
        <f>SUM(K23:K26)</f>
        <v>182100</v>
      </c>
      <c r="L27" s="28">
        <f>SUM(L23:L26)</f>
        <v>189300</v>
      </c>
      <c r="M27" s="28">
        <f>K27-L27</f>
        <v>-7200</v>
      </c>
      <c r="N27" s="28"/>
      <c r="O27" s="20"/>
      <c r="P27" s="20"/>
      <c r="Q27" s="20"/>
    </row>
    <row r="28" spans="1:17" x14ac:dyDescent="0.25">
      <c r="A28" s="20"/>
      <c r="B28" s="21" t="s">
        <v>225</v>
      </c>
      <c r="C28" s="32" t="s">
        <v>226</v>
      </c>
      <c r="D28" s="21">
        <v>54300</v>
      </c>
      <c r="E28" s="21">
        <v>48700</v>
      </c>
      <c r="F28" s="21">
        <f t="shared" si="1"/>
        <v>5600</v>
      </c>
      <c r="G28" s="21" t="s">
        <v>227</v>
      </c>
      <c r="H28" s="20"/>
      <c r="I28" s="22" t="s">
        <v>256</v>
      </c>
      <c r="J28" s="22"/>
      <c r="K28" s="22"/>
      <c r="L28" s="22"/>
      <c r="M28" s="22"/>
      <c r="N28" s="22"/>
      <c r="O28" s="20"/>
      <c r="P28" s="20"/>
      <c r="Q28" s="20"/>
    </row>
    <row r="29" spans="1:17" x14ac:dyDescent="0.25">
      <c r="A29" s="20"/>
      <c r="B29" s="25" t="s">
        <v>228</v>
      </c>
      <c r="C29" s="33"/>
      <c r="D29" s="25">
        <f>SUM(D24:D28)</f>
        <v>199700</v>
      </c>
      <c r="E29" s="25">
        <f>SUM(E24:E28)</f>
        <v>191100</v>
      </c>
      <c r="F29" s="25">
        <f t="shared" si="1"/>
        <v>8600</v>
      </c>
      <c r="G29" s="25"/>
      <c r="H29" s="20"/>
      <c r="I29" s="23" t="s">
        <v>257</v>
      </c>
      <c r="J29" s="23" t="s">
        <v>258</v>
      </c>
      <c r="K29" s="23">
        <v>38200</v>
      </c>
      <c r="L29" s="23">
        <v>35600</v>
      </c>
      <c r="M29" s="23"/>
      <c r="N29" s="23"/>
      <c r="O29" s="20"/>
      <c r="P29" s="20"/>
      <c r="Q29" s="20"/>
    </row>
    <row r="30" spans="1:17" x14ac:dyDescent="0.25">
      <c r="A30" s="20"/>
      <c r="B30" s="27" t="s">
        <v>229</v>
      </c>
      <c r="C30" s="36"/>
      <c r="D30" s="892">
        <f>D22+D29</f>
        <v>571100</v>
      </c>
      <c r="E30" s="892">
        <f>E22+E29</f>
        <v>551800</v>
      </c>
      <c r="F30" s="893">
        <f t="shared" si="1"/>
        <v>19300</v>
      </c>
      <c r="G30" s="27" t="s">
        <v>230</v>
      </c>
      <c r="H30" s="20"/>
      <c r="I30" s="21" t="s">
        <v>259</v>
      </c>
      <c r="J30" s="21" t="s">
        <v>260</v>
      </c>
      <c r="K30" s="21">
        <v>28500</v>
      </c>
      <c r="L30" s="21">
        <v>22300</v>
      </c>
      <c r="M30" s="21"/>
      <c r="N30" s="21"/>
      <c r="O30" s="20"/>
      <c r="P30" s="20"/>
      <c r="Q30" s="20"/>
    </row>
    <row r="31" spans="1:17" x14ac:dyDescent="0.25">
      <c r="A31" s="20"/>
      <c r="B31" s="20"/>
      <c r="C31" s="20"/>
      <c r="D31" s="894"/>
      <c r="E31" s="894"/>
      <c r="F31" s="895"/>
      <c r="G31" s="20"/>
      <c r="H31" s="20"/>
      <c r="I31" s="26" t="s">
        <v>261</v>
      </c>
      <c r="J31" s="26" t="s">
        <v>221</v>
      </c>
      <c r="K31" s="26">
        <v>21400</v>
      </c>
      <c r="L31" s="26">
        <v>18200</v>
      </c>
      <c r="M31" s="26"/>
      <c r="N31" s="26" t="s">
        <v>222</v>
      </c>
      <c r="O31" s="20"/>
      <c r="P31" s="20"/>
      <c r="Q31" s="20"/>
    </row>
    <row r="32" spans="1:17" x14ac:dyDescent="0.25">
      <c r="A32" s="20"/>
      <c r="B32" s="20"/>
      <c r="C32" s="20"/>
      <c r="D32" s="894"/>
      <c r="E32" s="894"/>
      <c r="F32" s="895"/>
      <c r="G32" s="20"/>
      <c r="H32" s="20"/>
      <c r="I32" s="23" t="s">
        <v>262</v>
      </c>
      <c r="J32" s="23" t="s">
        <v>263</v>
      </c>
      <c r="K32" s="23">
        <v>12800</v>
      </c>
      <c r="L32" s="23">
        <v>11400</v>
      </c>
      <c r="M32" s="23"/>
      <c r="N32" s="23"/>
      <c r="O32" s="20"/>
      <c r="P32" s="20"/>
      <c r="Q32" s="20"/>
    </row>
    <row r="33" spans="1:17" x14ac:dyDescent="0.25">
      <c r="A33" s="20"/>
      <c r="B33" s="20"/>
      <c r="C33" s="20"/>
      <c r="D33" s="894"/>
      <c r="E33" s="894"/>
      <c r="F33" s="895"/>
      <c r="G33" s="20"/>
      <c r="H33" s="20"/>
      <c r="I33" s="28" t="s">
        <v>264</v>
      </c>
      <c r="J33" s="28"/>
      <c r="K33" s="28">
        <f>SUM(K29:K32)</f>
        <v>100900</v>
      </c>
      <c r="L33" s="28">
        <f>SUM(L29:L32)</f>
        <v>87500</v>
      </c>
      <c r="M33" s="28">
        <f>K33-L33</f>
        <v>13400</v>
      </c>
      <c r="N33" s="28"/>
      <c r="O33" s="20"/>
      <c r="P33" s="20"/>
      <c r="Q33" s="20"/>
    </row>
    <row r="34" spans="1:17" x14ac:dyDescent="0.25">
      <c r="A34" s="20"/>
      <c r="B34" s="20"/>
      <c r="C34" s="20"/>
      <c r="D34" s="894"/>
      <c r="E34" s="894"/>
      <c r="F34" s="895"/>
      <c r="G34" s="20"/>
      <c r="H34" s="20"/>
      <c r="I34" s="29" t="s">
        <v>265</v>
      </c>
      <c r="J34" s="29"/>
      <c r="K34" s="29">
        <f>K21+K27+K33</f>
        <v>508800</v>
      </c>
      <c r="L34" s="29">
        <f>L21+L27+L33</f>
        <v>484200</v>
      </c>
      <c r="M34" s="29">
        <f>K34-L34</f>
        <v>24600</v>
      </c>
      <c r="N34" s="29" t="s">
        <v>230</v>
      </c>
      <c r="O34" s="20"/>
      <c r="P34" s="20"/>
      <c r="Q34" s="20"/>
    </row>
    <row r="35" spans="1:17" x14ac:dyDescent="0.25">
      <c r="A35" s="20"/>
      <c r="B35" s="20"/>
      <c r="C35" s="20"/>
      <c r="D35" s="894"/>
      <c r="E35" s="894"/>
      <c r="F35" s="895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 ht="15.75" x14ac:dyDescent="0.25">
      <c r="A36" s="20"/>
      <c r="B36" s="521" t="s">
        <v>266</v>
      </c>
      <c r="C36" s="522"/>
      <c r="D36" s="896"/>
      <c r="E36" s="896"/>
      <c r="F36" s="897"/>
      <c r="G36" s="522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x14ac:dyDescent="0.25">
      <c r="A37" s="20"/>
      <c r="B37" s="681" t="s">
        <v>267</v>
      </c>
      <c r="C37" s="682" t="s">
        <v>268</v>
      </c>
      <c r="D37" s="898" t="s">
        <v>190</v>
      </c>
      <c r="E37" s="898" t="s">
        <v>191</v>
      </c>
      <c r="F37" s="899" t="s">
        <v>269</v>
      </c>
      <c r="G37" s="684" t="s">
        <v>270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x14ac:dyDescent="0.25">
      <c r="A38" s="20"/>
      <c r="B38" s="738" t="s">
        <v>271</v>
      </c>
      <c r="C38" s="739"/>
      <c r="D38" s="900"/>
      <c r="E38" s="900"/>
      <c r="F38" s="901"/>
      <c r="G38" s="74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7" x14ac:dyDescent="0.25">
      <c r="A39" s="20"/>
      <c r="B39" s="741" t="s">
        <v>272</v>
      </c>
      <c r="C39" s="771" t="s">
        <v>273</v>
      </c>
      <c r="D39" s="742">
        <v>285000</v>
      </c>
      <c r="E39" s="742">
        <v>268000</v>
      </c>
      <c r="F39" s="772">
        <f t="shared" ref="F39:F46" si="2">IFERROR((D39-E39)/ABS(E39),"")</f>
        <v>6.3432835820895525E-2</v>
      </c>
      <c r="G39" s="743" t="s">
        <v>274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x14ac:dyDescent="0.25">
      <c r="A40" s="20"/>
      <c r="B40" s="688" t="s">
        <v>275</v>
      </c>
      <c r="C40" s="773" t="s">
        <v>273</v>
      </c>
      <c r="D40" s="689">
        <v>1800</v>
      </c>
      <c r="E40" s="689">
        <v>-2100</v>
      </c>
      <c r="F40" s="774">
        <f t="shared" si="2"/>
        <v>1.8571428571428572</v>
      </c>
      <c r="G40" s="744" t="s">
        <v>216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17" x14ac:dyDescent="0.25">
      <c r="A41" s="20"/>
      <c r="B41" s="741" t="s">
        <v>276</v>
      </c>
      <c r="C41" s="771" t="s">
        <v>273</v>
      </c>
      <c r="D41" s="742">
        <v>3200</v>
      </c>
      <c r="E41" s="742">
        <v>2800</v>
      </c>
      <c r="F41" s="772">
        <f t="shared" si="2"/>
        <v>0.14285714285714285</v>
      </c>
      <c r="G41" s="743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1:17" x14ac:dyDescent="0.25">
      <c r="A42" s="20"/>
      <c r="B42" s="688" t="s">
        <v>277</v>
      </c>
      <c r="C42" s="773" t="s">
        <v>273</v>
      </c>
      <c r="D42" s="689">
        <v>-142000</v>
      </c>
      <c r="E42" s="689">
        <v>-135000</v>
      </c>
      <c r="F42" s="774">
        <f t="shared" si="2"/>
        <v>-5.185185185185185E-2</v>
      </c>
      <c r="G42" s="744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x14ac:dyDescent="0.25">
      <c r="A43" s="20"/>
      <c r="B43" s="741" t="s">
        <v>278</v>
      </c>
      <c r="C43" s="771" t="s">
        <v>273</v>
      </c>
      <c r="D43" s="742">
        <v>-68000</v>
      </c>
      <c r="E43" s="742">
        <v>-64500</v>
      </c>
      <c r="F43" s="772">
        <f t="shared" si="2"/>
        <v>-5.4263565891472867E-2</v>
      </c>
      <c r="G43" s="743" t="s">
        <v>242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x14ac:dyDescent="0.25">
      <c r="A44" s="20"/>
      <c r="B44" s="688" t="s">
        <v>279</v>
      </c>
      <c r="C44" s="773" t="s">
        <v>273</v>
      </c>
      <c r="D44" s="689">
        <v>-22000</v>
      </c>
      <c r="E44" s="689">
        <v>-21200</v>
      </c>
      <c r="F44" s="774">
        <f t="shared" si="2"/>
        <v>-3.7735849056603772E-2</v>
      </c>
      <c r="G44" s="744" t="s">
        <v>280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17" x14ac:dyDescent="0.25">
      <c r="A45" s="20"/>
      <c r="B45" s="748" t="s">
        <v>281</v>
      </c>
      <c r="C45" s="777" t="s">
        <v>273</v>
      </c>
      <c r="D45" s="749">
        <v>-4500</v>
      </c>
      <c r="E45" s="749">
        <v>-3800</v>
      </c>
      <c r="F45" s="778">
        <f t="shared" si="2"/>
        <v>-0.18421052631578946</v>
      </c>
      <c r="G45" s="750" t="s">
        <v>252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ht="15.75" thickBot="1" x14ac:dyDescent="0.3">
      <c r="A46" s="20"/>
      <c r="B46" s="754" t="s">
        <v>282</v>
      </c>
      <c r="C46" s="781" t="s">
        <v>273</v>
      </c>
      <c r="D46" s="755">
        <f>SUM(D39:D45)</f>
        <v>53500</v>
      </c>
      <c r="E46" s="755">
        <f>SUM(E39:E45)</f>
        <v>44200</v>
      </c>
      <c r="F46" s="782">
        <f t="shared" si="2"/>
        <v>0.21040723981900453</v>
      </c>
      <c r="G46" s="756" t="s">
        <v>283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1:17" x14ac:dyDescent="0.25">
      <c r="A47" s="20"/>
      <c r="B47" s="751" t="s">
        <v>284</v>
      </c>
      <c r="C47" s="779"/>
      <c r="D47" s="752"/>
      <c r="E47" s="752"/>
      <c r="F47" s="780"/>
      <c r="G47" s="753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x14ac:dyDescent="0.25">
      <c r="A48" s="20"/>
      <c r="B48" s="741" t="s">
        <v>285</v>
      </c>
      <c r="C48" s="771" t="s">
        <v>286</v>
      </c>
      <c r="D48" s="742">
        <v>4200</v>
      </c>
      <c r="E48" s="742">
        <v>3800</v>
      </c>
      <c r="F48" s="772">
        <f>IFERROR((D48-E48)/ABS(E48),"")</f>
        <v>0.10526315789473684</v>
      </c>
      <c r="G48" s="743" t="s">
        <v>287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x14ac:dyDescent="0.25">
      <c r="A49" s="20"/>
      <c r="B49" s="688" t="s">
        <v>288</v>
      </c>
      <c r="C49" s="773" t="s">
        <v>286</v>
      </c>
      <c r="D49" s="689">
        <v>1500</v>
      </c>
      <c r="E49" s="689">
        <v>800</v>
      </c>
      <c r="F49" s="774">
        <f>IFERROR((D49-E49)/ABS(E49),"")</f>
        <v>0.875</v>
      </c>
      <c r="G49" s="744" t="s">
        <v>287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x14ac:dyDescent="0.25">
      <c r="A50" s="20"/>
      <c r="B50" s="748" t="s">
        <v>289</v>
      </c>
      <c r="C50" s="777" t="s">
        <v>286</v>
      </c>
      <c r="D50" s="749">
        <v>890</v>
      </c>
      <c r="E50" s="749">
        <v>620</v>
      </c>
      <c r="F50" s="778">
        <f>IFERROR((D50-E50)/ABS(E50),"")</f>
        <v>0.43548387096774194</v>
      </c>
      <c r="G50" s="750" t="s">
        <v>287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ht="15.75" thickBot="1" x14ac:dyDescent="0.3">
      <c r="A51" s="20"/>
      <c r="B51" s="754" t="s">
        <v>290</v>
      </c>
      <c r="C51" s="781" t="s">
        <v>286</v>
      </c>
      <c r="D51" s="755">
        <f>SUM(D48:D50)</f>
        <v>6590</v>
      </c>
      <c r="E51" s="755">
        <f>SUM(E48:E50)</f>
        <v>5220</v>
      </c>
      <c r="F51" s="782">
        <f>IFERROR((D51-E51)/ABS(E51),"")</f>
        <v>0.26245210727969348</v>
      </c>
      <c r="G51" s="756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x14ac:dyDescent="0.25">
      <c r="A52" s="20"/>
      <c r="B52" s="751" t="s">
        <v>291</v>
      </c>
      <c r="C52" s="779"/>
      <c r="D52" s="752"/>
      <c r="E52" s="752"/>
      <c r="F52" s="780"/>
      <c r="G52" s="753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1:17" x14ac:dyDescent="0.25">
      <c r="A53" s="20"/>
      <c r="B53" s="741" t="s">
        <v>292</v>
      </c>
      <c r="C53" s="771" t="s">
        <v>293</v>
      </c>
      <c r="D53" s="742">
        <v>-8200</v>
      </c>
      <c r="E53" s="742">
        <v>-9100</v>
      </c>
      <c r="F53" s="772">
        <f>IFERROR((D53-E53)/ABS(E53),"")</f>
        <v>9.8901098901098897E-2</v>
      </c>
      <c r="G53" s="743" t="s">
        <v>294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1:17" x14ac:dyDescent="0.25">
      <c r="A54" s="20"/>
      <c r="B54" s="705" t="s">
        <v>295</v>
      </c>
      <c r="C54" s="783" t="s">
        <v>293</v>
      </c>
      <c r="D54" s="706">
        <v>-1800</v>
      </c>
      <c r="E54" s="706">
        <v>-2100</v>
      </c>
      <c r="F54" s="784">
        <f>IFERROR((D54-E54)/ABS(E54),"")</f>
        <v>0.14285714285714285</v>
      </c>
      <c r="G54" s="763" t="s">
        <v>200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17" ht="15.75" thickBot="1" x14ac:dyDescent="0.3">
      <c r="A55" s="20"/>
      <c r="B55" s="754" t="s">
        <v>296</v>
      </c>
      <c r="C55" s="781" t="s">
        <v>293</v>
      </c>
      <c r="D55" s="755">
        <f>SUM(D53:D54)</f>
        <v>-10000</v>
      </c>
      <c r="E55" s="755">
        <f>SUM(E53:E54)</f>
        <v>-11200</v>
      </c>
      <c r="F55" s="782">
        <f>IFERROR((D55-E55)/ABS(E55),"")</f>
        <v>0.10714285714285714</v>
      </c>
      <c r="G55" s="756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x14ac:dyDescent="0.25">
      <c r="A56" s="20"/>
      <c r="B56" s="751" t="s">
        <v>297</v>
      </c>
      <c r="C56" s="779"/>
      <c r="D56" s="752"/>
      <c r="E56" s="752"/>
      <c r="F56" s="780"/>
      <c r="G56" s="753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x14ac:dyDescent="0.25">
      <c r="A57" s="20"/>
      <c r="B57" s="741" t="s">
        <v>298</v>
      </c>
      <c r="C57" s="771" t="s">
        <v>299</v>
      </c>
      <c r="D57" s="742">
        <v>-12400</v>
      </c>
      <c r="E57" s="742">
        <v>-10800</v>
      </c>
      <c r="F57" s="772">
        <f>IFERROR((D57-E57)/ABS(E57),"")</f>
        <v>-0.14814814814814814</v>
      </c>
      <c r="G57" s="743" t="s">
        <v>209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x14ac:dyDescent="0.25">
      <c r="A58" s="20"/>
      <c r="B58" s="705" t="s">
        <v>300</v>
      </c>
      <c r="C58" s="783" t="s">
        <v>299</v>
      </c>
      <c r="D58" s="706">
        <v>-1200</v>
      </c>
      <c r="E58" s="706">
        <v>-900</v>
      </c>
      <c r="F58" s="784">
        <f>IFERROR((D58-E58)/ABS(E58),"")</f>
        <v>-0.33333333333333331</v>
      </c>
      <c r="G58" s="763" t="s">
        <v>209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spans="1:17" ht="15.75" thickBot="1" x14ac:dyDescent="0.3">
      <c r="A59" s="20"/>
      <c r="B59" s="709" t="s">
        <v>301</v>
      </c>
      <c r="C59" s="785"/>
      <c r="D59" s="710">
        <f>D46+D51+D55+D57+D58</f>
        <v>36490</v>
      </c>
      <c r="E59" s="710">
        <f>E46+E51+E55+E57+E58</f>
        <v>26520</v>
      </c>
      <c r="F59" s="786">
        <f>IFERROR((D59-E59)/ABS(E59),"")</f>
        <v>0.37594268476621417</v>
      </c>
      <c r="G59" s="787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17" x14ac:dyDescent="0.25">
      <c r="A60" s="20"/>
      <c r="B60" s="788" t="s">
        <v>302</v>
      </c>
      <c r="C60" s="789" t="s">
        <v>303</v>
      </c>
      <c r="D60" s="790">
        <v>0</v>
      </c>
      <c r="E60" s="790">
        <v>0</v>
      </c>
      <c r="F60" s="791"/>
      <c r="G60" s="792" t="s">
        <v>304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1:17" ht="15.75" thickBot="1" x14ac:dyDescent="0.3">
      <c r="A61" s="20"/>
      <c r="B61" s="768" t="s">
        <v>305</v>
      </c>
      <c r="C61" s="795"/>
      <c r="D61" s="769">
        <f>D59+D60</f>
        <v>36490</v>
      </c>
      <c r="E61" s="769">
        <f>E59+E60</f>
        <v>26520</v>
      </c>
      <c r="F61" s="796">
        <f>IFERROR((D61-E61)/ABS(E61),"")</f>
        <v>0.37594268476621417</v>
      </c>
      <c r="G61" s="770" t="s">
        <v>306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spans="1:17" x14ac:dyDescent="0.25">
      <c r="A62" s="20"/>
      <c r="B62" s="719" t="s">
        <v>307</v>
      </c>
      <c r="C62" s="793"/>
      <c r="D62" s="720">
        <v>32800</v>
      </c>
      <c r="E62" s="720">
        <v>28400</v>
      </c>
      <c r="F62" s="794">
        <f>IFERROR((D62-E62)/ABS(E62),"")</f>
        <v>0.15492957746478872</v>
      </c>
      <c r="G62" s="721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7" x14ac:dyDescent="0.25">
      <c r="A63" s="20"/>
      <c r="B63" s="692" t="s">
        <v>308</v>
      </c>
      <c r="C63" s="775"/>
      <c r="D63" s="693">
        <f>D61-D62</f>
        <v>3690</v>
      </c>
      <c r="E63" s="693">
        <f>E61-E62</f>
        <v>-1880</v>
      </c>
      <c r="F63" s="776"/>
      <c r="G63" s="694" t="s">
        <v>244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spans="1:17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1:17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1:17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7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</sheetData>
  <mergeCells count="5">
    <mergeCell ref="B2:N2"/>
    <mergeCell ref="B4:E4"/>
    <mergeCell ref="B13:G13"/>
    <mergeCell ref="I13:N13"/>
    <mergeCell ref="B36:G36"/>
  </mergeCells>
  <conditionalFormatting sqref="F39:F62">
    <cfRule type="cellIs" dxfId="51" priority="1" operator="greaterThan">
      <formula>0</formula>
    </cfRule>
    <cfRule type="cellIs" dxfId="50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AEEF-C421-4E91-9DE4-D2BECC681A81}">
  <sheetPr>
    <tabColor rgb="FF27AE60"/>
  </sheetPr>
  <dimension ref="A1:N70"/>
  <sheetViews>
    <sheetView workbookViewId="0">
      <selection activeCell="C16" sqref="C16"/>
    </sheetView>
  </sheetViews>
  <sheetFormatPr baseColWidth="10" defaultRowHeight="15" x14ac:dyDescent="0.25"/>
  <cols>
    <col min="1" max="1" width="3.85546875" customWidth="1"/>
    <col min="2" max="2" width="43.85546875" customWidth="1"/>
    <col min="3" max="3" width="23.140625" customWidth="1"/>
    <col min="4" max="6" width="16.140625" customWidth="1"/>
    <col min="7" max="7" width="13.28515625" customWidth="1"/>
  </cols>
  <sheetData>
    <row r="1" spans="1:14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7.25" x14ac:dyDescent="0.3">
      <c r="A2" s="20"/>
      <c r="B2" s="523" t="s">
        <v>309</v>
      </c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</row>
    <row r="3" spans="1:14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x14ac:dyDescent="0.25">
      <c r="A4" s="20"/>
      <c r="B4" s="524" t="s">
        <v>174</v>
      </c>
      <c r="C4" s="524"/>
      <c r="D4" s="524"/>
      <c r="E4" s="524"/>
      <c r="F4" s="20"/>
      <c r="G4" s="20"/>
      <c r="H4" s="20"/>
      <c r="I4" s="20"/>
      <c r="J4" s="20"/>
      <c r="K4" s="20"/>
      <c r="L4" s="20"/>
      <c r="M4" s="20"/>
      <c r="N4" s="20"/>
    </row>
    <row r="5" spans="1:14" x14ac:dyDescent="0.25">
      <c r="A5" s="20"/>
      <c r="B5" s="136" t="s">
        <v>175</v>
      </c>
      <c r="C5" s="135" t="s">
        <v>31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x14ac:dyDescent="0.25">
      <c r="A6" s="20"/>
      <c r="B6" s="131" t="s">
        <v>177</v>
      </c>
      <c r="C6" s="129" t="s">
        <v>310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20"/>
      <c r="B7" s="137" t="s">
        <v>179</v>
      </c>
      <c r="C7" s="130">
        <v>1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x14ac:dyDescent="0.25">
      <c r="A8" s="20"/>
      <c r="B8" s="137" t="s">
        <v>181</v>
      </c>
      <c r="C8" s="129" t="s">
        <v>80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x14ac:dyDescent="0.25">
      <c r="A9" s="140"/>
      <c r="B9" s="139" t="s">
        <v>182</v>
      </c>
      <c r="C9" s="129" t="s">
        <v>183</v>
      </c>
      <c r="D9" s="134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25">
      <c r="A10" s="20"/>
      <c r="B10" s="137" t="s">
        <v>184</v>
      </c>
      <c r="C10" s="129" t="s">
        <v>183</v>
      </c>
      <c r="D10" s="133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x14ac:dyDescent="0.25">
      <c r="A11" s="20"/>
      <c r="B11" s="138" t="s">
        <v>311</v>
      </c>
      <c r="C11" s="132" t="s">
        <v>81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x14ac:dyDescent="0.25">
      <c r="A12" s="20"/>
      <c r="B12" s="14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5.75" x14ac:dyDescent="0.25">
      <c r="A13" s="20"/>
      <c r="B13" s="521" t="s">
        <v>312</v>
      </c>
      <c r="C13" s="521"/>
      <c r="D13" s="521"/>
      <c r="E13" s="521"/>
      <c r="F13" s="521"/>
      <c r="G13" s="521"/>
      <c r="H13" s="20"/>
      <c r="I13" s="526" t="s">
        <v>338</v>
      </c>
      <c r="J13" s="526"/>
      <c r="K13" s="526"/>
      <c r="L13" s="526"/>
      <c r="M13" s="526"/>
      <c r="N13" s="20"/>
    </row>
    <row r="14" spans="1:14" x14ac:dyDescent="0.25">
      <c r="A14" s="20"/>
      <c r="B14" s="681" t="s">
        <v>188</v>
      </c>
      <c r="C14" s="682" t="s">
        <v>189</v>
      </c>
      <c r="D14" s="682" t="s">
        <v>313</v>
      </c>
      <c r="E14" s="682" t="s">
        <v>314</v>
      </c>
      <c r="F14" s="682" t="s">
        <v>315</v>
      </c>
      <c r="G14" s="684" t="s">
        <v>193</v>
      </c>
      <c r="H14" s="20"/>
      <c r="I14" s="14" t="s">
        <v>326</v>
      </c>
      <c r="J14" s="14" t="s">
        <v>339</v>
      </c>
      <c r="K14" s="14" t="s">
        <v>340</v>
      </c>
      <c r="L14" s="14" t="s">
        <v>341</v>
      </c>
      <c r="M14" s="14" t="s">
        <v>73</v>
      </c>
      <c r="N14" s="20"/>
    </row>
    <row r="15" spans="1:14" x14ac:dyDescent="0.25">
      <c r="A15" s="20"/>
      <c r="B15" s="738" t="s">
        <v>194</v>
      </c>
      <c r="C15" s="739"/>
      <c r="D15" s="739"/>
      <c r="E15" s="739"/>
      <c r="F15" s="739"/>
      <c r="G15" s="740"/>
      <c r="H15" s="20"/>
      <c r="I15" s="38" t="s">
        <v>342</v>
      </c>
      <c r="J15" s="38" t="s">
        <v>343</v>
      </c>
      <c r="K15" s="38">
        <v>1</v>
      </c>
      <c r="L15" s="38">
        <v>1</v>
      </c>
      <c r="M15" s="38" t="s">
        <v>344</v>
      </c>
      <c r="N15" s="20"/>
    </row>
    <row r="16" spans="1:14" x14ac:dyDescent="0.25">
      <c r="A16" s="20"/>
      <c r="B16" s="741" t="s">
        <v>316</v>
      </c>
      <c r="C16" s="742" t="s">
        <v>196</v>
      </c>
      <c r="D16" s="872">
        <v>18000</v>
      </c>
      <c r="E16" s="872">
        <v>17500</v>
      </c>
      <c r="F16" s="872">
        <f>D16-E16</f>
        <v>500</v>
      </c>
      <c r="G16" s="743"/>
      <c r="H16" s="20"/>
      <c r="I16" s="38" t="s">
        <v>345</v>
      </c>
      <c r="J16" s="38" t="s">
        <v>75</v>
      </c>
      <c r="K16" s="38">
        <v>1</v>
      </c>
      <c r="L16" s="38">
        <v>1</v>
      </c>
      <c r="M16" s="38" t="s">
        <v>346</v>
      </c>
      <c r="N16" s="20"/>
    </row>
    <row r="17" spans="1:14" x14ac:dyDescent="0.25">
      <c r="A17" s="20"/>
      <c r="B17" s="688" t="s">
        <v>198</v>
      </c>
      <c r="C17" s="689" t="s">
        <v>199</v>
      </c>
      <c r="D17" s="811">
        <v>95000</v>
      </c>
      <c r="E17" s="811">
        <v>91000</v>
      </c>
      <c r="F17" s="811">
        <f>D17-E17</f>
        <v>4000</v>
      </c>
      <c r="G17" s="744"/>
      <c r="H17" s="20"/>
      <c r="I17" s="38" t="s">
        <v>347</v>
      </c>
      <c r="J17" s="38" t="s">
        <v>348</v>
      </c>
      <c r="K17" s="38">
        <v>1</v>
      </c>
      <c r="L17" s="38">
        <v>1</v>
      </c>
      <c r="M17" s="38" t="s">
        <v>346</v>
      </c>
      <c r="N17" s="20"/>
    </row>
    <row r="18" spans="1:14" x14ac:dyDescent="0.25">
      <c r="A18" s="20"/>
      <c r="B18" s="748" t="s">
        <v>317</v>
      </c>
      <c r="C18" s="749" t="s">
        <v>208</v>
      </c>
      <c r="D18" s="873">
        <v>5200</v>
      </c>
      <c r="E18" s="873">
        <v>4800</v>
      </c>
      <c r="F18" s="873">
        <f>D18-E18</f>
        <v>400</v>
      </c>
      <c r="G18" s="750"/>
      <c r="H18" s="20"/>
      <c r="I18" s="39" t="s">
        <v>349</v>
      </c>
      <c r="J18" s="39" t="s">
        <v>350</v>
      </c>
      <c r="K18" s="39"/>
      <c r="L18" s="39"/>
      <c r="M18" s="39" t="s">
        <v>351</v>
      </c>
      <c r="N18" s="20"/>
    </row>
    <row r="19" spans="1:14" ht="15.75" thickBot="1" x14ac:dyDescent="0.3">
      <c r="A19" s="20"/>
      <c r="B19" s="754" t="s">
        <v>212</v>
      </c>
      <c r="C19" s="755"/>
      <c r="D19" s="874">
        <f>SUM(D16:D18)</f>
        <v>118200</v>
      </c>
      <c r="E19" s="874">
        <f>SUM(E16:E18)</f>
        <v>113300</v>
      </c>
      <c r="F19" s="874">
        <f>D19-E19</f>
        <v>4900</v>
      </c>
      <c r="G19" s="756"/>
      <c r="H19" s="20"/>
      <c r="I19" s="20"/>
      <c r="J19" s="20"/>
      <c r="K19" s="20"/>
      <c r="L19" s="20"/>
      <c r="M19" s="20"/>
      <c r="N19" s="20"/>
    </row>
    <row r="20" spans="1:14" x14ac:dyDescent="0.25">
      <c r="A20" s="20"/>
      <c r="B20" s="751" t="s">
        <v>213</v>
      </c>
      <c r="C20" s="752"/>
      <c r="D20" s="875"/>
      <c r="E20" s="875"/>
      <c r="F20" s="875"/>
      <c r="G20" s="753"/>
      <c r="H20" s="20"/>
      <c r="I20" s="20"/>
      <c r="J20" s="20"/>
      <c r="K20" s="20"/>
      <c r="L20" s="20"/>
      <c r="M20" s="20"/>
      <c r="N20" s="20"/>
    </row>
    <row r="21" spans="1:14" x14ac:dyDescent="0.25">
      <c r="A21" s="20"/>
      <c r="B21" s="741" t="s">
        <v>318</v>
      </c>
      <c r="C21" s="742" t="s">
        <v>319</v>
      </c>
      <c r="D21" s="872">
        <v>62000</v>
      </c>
      <c r="E21" s="872">
        <v>58000</v>
      </c>
      <c r="F21" s="872">
        <f t="shared" ref="F21:F26" si="0">D21-E21</f>
        <v>4000</v>
      </c>
      <c r="G21" s="743"/>
      <c r="H21" s="20"/>
      <c r="I21" s="20"/>
      <c r="J21" s="20"/>
      <c r="K21" s="20"/>
      <c r="L21" s="20"/>
      <c r="M21" s="20"/>
      <c r="N21" s="20"/>
    </row>
    <row r="22" spans="1:14" x14ac:dyDescent="0.25">
      <c r="A22" s="20"/>
      <c r="B22" s="688" t="s">
        <v>320</v>
      </c>
      <c r="C22" s="689" t="s">
        <v>218</v>
      </c>
      <c r="D22" s="811">
        <v>38000</v>
      </c>
      <c r="E22" s="811">
        <v>35000</v>
      </c>
      <c r="F22" s="811">
        <f t="shared" si="0"/>
        <v>3000</v>
      </c>
      <c r="G22" s="744"/>
      <c r="H22" s="20"/>
      <c r="I22" s="20"/>
      <c r="J22" s="20"/>
      <c r="K22" s="20"/>
      <c r="L22" s="20"/>
      <c r="M22" s="20"/>
      <c r="N22" s="20"/>
    </row>
    <row r="23" spans="1:14" x14ac:dyDescent="0.25">
      <c r="A23" s="20"/>
      <c r="B23" s="698" t="s">
        <v>321</v>
      </c>
      <c r="C23" s="745" t="s">
        <v>221</v>
      </c>
      <c r="D23" s="839">
        <v>12500</v>
      </c>
      <c r="E23" s="839">
        <v>10800</v>
      </c>
      <c r="F23" s="839">
        <f t="shared" si="0"/>
        <v>1700</v>
      </c>
      <c r="G23" s="746" t="s">
        <v>222</v>
      </c>
      <c r="H23" s="20"/>
      <c r="I23" s="20"/>
      <c r="J23" s="20"/>
      <c r="K23" s="20"/>
      <c r="L23" s="20"/>
      <c r="M23" s="20"/>
      <c r="N23" s="20"/>
    </row>
    <row r="24" spans="1:14" x14ac:dyDescent="0.25">
      <c r="A24" s="20"/>
      <c r="B24" s="748" t="s">
        <v>322</v>
      </c>
      <c r="C24" s="749" t="s">
        <v>323</v>
      </c>
      <c r="D24" s="873">
        <v>24000</v>
      </c>
      <c r="E24" s="873">
        <v>21000</v>
      </c>
      <c r="F24" s="873">
        <f t="shared" si="0"/>
        <v>3000</v>
      </c>
      <c r="G24" s="750"/>
      <c r="H24" s="20"/>
      <c r="I24" s="20"/>
      <c r="J24" s="20"/>
      <c r="K24" s="20"/>
      <c r="L24" s="20"/>
      <c r="M24" s="20"/>
      <c r="N24" s="20"/>
    </row>
    <row r="25" spans="1:14" ht="15.75" thickBot="1" x14ac:dyDescent="0.3">
      <c r="A25" s="20"/>
      <c r="B25" s="757" t="s">
        <v>228</v>
      </c>
      <c r="C25" s="758"/>
      <c r="D25" s="876">
        <f>SUM(D21:D24)</f>
        <v>136500</v>
      </c>
      <c r="E25" s="876">
        <f>SUM(E21:E24)</f>
        <v>124800</v>
      </c>
      <c r="F25" s="876">
        <f t="shared" si="0"/>
        <v>11700</v>
      </c>
      <c r="G25" s="759"/>
      <c r="H25" s="20"/>
      <c r="I25" s="20"/>
      <c r="J25" s="20"/>
      <c r="K25" s="20"/>
      <c r="L25" s="20"/>
      <c r="M25" s="20"/>
      <c r="N25" s="20"/>
    </row>
    <row r="26" spans="1:14" ht="15.75" thickBot="1" x14ac:dyDescent="0.3">
      <c r="A26" s="20"/>
      <c r="B26" s="760" t="s">
        <v>229</v>
      </c>
      <c r="C26" s="761"/>
      <c r="D26" s="877">
        <f>D19+D25</f>
        <v>254700</v>
      </c>
      <c r="E26" s="877">
        <f>E19+E25</f>
        <v>238100</v>
      </c>
      <c r="F26" s="877">
        <f t="shared" si="0"/>
        <v>16600</v>
      </c>
      <c r="G26" s="762" t="s">
        <v>324</v>
      </c>
      <c r="H26" s="20"/>
      <c r="I26" s="20"/>
      <c r="J26" s="20"/>
      <c r="K26" s="20"/>
      <c r="L26" s="20"/>
      <c r="M26" s="20"/>
      <c r="N26" s="20"/>
    </row>
    <row r="27" spans="1:14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x14ac:dyDescent="0.25">
      <c r="A28" s="20"/>
      <c r="B28" s="525" t="s">
        <v>325</v>
      </c>
      <c r="C28" s="525"/>
      <c r="D28" s="525"/>
      <c r="E28" s="525"/>
      <c r="F28" s="525"/>
      <c r="G28" s="525"/>
      <c r="H28" s="20"/>
      <c r="I28" s="20"/>
      <c r="J28" s="20"/>
      <c r="K28" s="20"/>
      <c r="L28" s="20"/>
      <c r="M28" s="20"/>
      <c r="N28" s="20"/>
    </row>
    <row r="29" spans="1:14" x14ac:dyDescent="0.25">
      <c r="A29" s="20"/>
      <c r="B29" s="681" t="s">
        <v>326</v>
      </c>
      <c r="C29" s="682" t="s">
        <v>327</v>
      </c>
      <c r="D29" s="682" t="s">
        <v>313</v>
      </c>
      <c r="E29" s="682" t="s">
        <v>314</v>
      </c>
      <c r="F29" s="682" t="s">
        <v>269</v>
      </c>
      <c r="G29" s="684" t="s">
        <v>193</v>
      </c>
      <c r="H29" s="20"/>
      <c r="I29" s="20"/>
      <c r="J29" s="20"/>
      <c r="K29" s="20"/>
      <c r="L29" s="20"/>
      <c r="M29" s="20"/>
      <c r="N29" s="20"/>
    </row>
    <row r="30" spans="1:14" x14ac:dyDescent="0.25">
      <c r="A30" s="20"/>
      <c r="B30" s="741" t="s">
        <v>328</v>
      </c>
      <c r="C30" s="742" t="s">
        <v>273</v>
      </c>
      <c r="D30" s="872">
        <v>168000</v>
      </c>
      <c r="E30" s="872">
        <v>155000</v>
      </c>
      <c r="F30" s="878">
        <f t="shared" ref="F30:F38" si="1">IFERROR((D30-E30)/ABS(E30),"")</f>
        <v>8.387096774193549E-2</v>
      </c>
      <c r="G30" s="743" t="s">
        <v>274</v>
      </c>
      <c r="H30" s="20"/>
      <c r="I30" s="20"/>
      <c r="J30" s="20"/>
      <c r="K30" s="20"/>
      <c r="L30" s="20"/>
      <c r="M30" s="20"/>
      <c r="N30" s="20"/>
    </row>
    <row r="31" spans="1:14" x14ac:dyDescent="0.25">
      <c r="A31" s="20"/>
      <c r="B31" s="688" t="s">
        <v>329</v>
      </c>
      <c r="C31" s="689" t="s">
        <v>273</v>
      </c>
      <c r="D31" s="811">
        <v>-138500</v>
      </c>
      <c r="E31" s="811">
        <v>-130200</v>
      </c>
      <c r="F31" s="879">
        <f t="shared" si="1"/>
        <v>-6.3748079877112132E-2</v>
      </c>
      <c r="G31" s="744"/>
      <c r="H31" s="20"/>
      <c r="I31" s="20"/>
      <c r="J31" s="20"/>
      <c r="K31" s="20"/>
      <c r="L31" s="20"/>
      <c r="M31" s="20"/>
      <c r="N31" s="20"/>
    </row>
    <row r="32" spans="1:14" x14ac:dyDescent="0.25">
      <c r="A32" s="20"/>
      <c r="B32" s="741" t="s">
        <v>278</v>
      </c>
      <c r="C32" s="742" t="s">
        <v>273</v>
      </c>
      <c r="D32" s="872">
        <v>-36960</v>
      </c>
      <c r="E32" s="872">
        <v>-34100</v>
      </c>
      <c r="F32" s="878">
        <f t="shared" si="1"/>
        <v>-8.387096774193549E-2</v>
      </c>
      <c r="G32" s="743"/>
      <c r="H32" s="20"/>
      <c r="I32" s="20"/>
      <c r="J32" s="20"/>
      <c r="K32" s="20"/>
      <c r="L32" s="20"/>
      <c r="M32" s="20"/>
      <c r="N32" s="20"/>
    </row>
    <row r="33" spans="1:14" x14ac:dyDescent="0.25">
      <c r="A33" s="20"/>
      <c r="B33" s="705" t="s">
        <v>330</v>
      </c>
      <c r="C33" s="706" t="s">
        <v>273</v>
      </c>
      <c r="D33" s="815">
        <v>-8400</v>
      </c>
      <c r="E33" s="815">
        <v>-7750</v>
      </c>
      <c r="F33" s="880">
        <f t="shared" si="1"/>
        <v>-8.387096774193549E-2</v>
      </c>
      <c r="G33" s="763"/>
      <c r="H33" s="20"/>
      <c r="I33" s="20"/>
      <c r="J33" s="20"/>
      <c r="K33" s="20"/>
      <c r="L33" s="20"/>
      <c r="M33" s="20"/>
      <c r="N33" s="20"/>
    </row>
    <row r="34" spans="1:14" ht="15.75" thickBot="1" x14ac:dyDescent="0.3">
      <c r="A34" s="20"/>
      <c r="B34" s="754" t="s">
        <v>282</v>
      </c>
      <c r="C34" s="755" t="s">
        <v>273</v>
      </c>
      <c r="D34" s="874">
        <f>SUM(D30:D33)</f>
        <v>-15860</v>
      </c>
      <c r="E34" s="874">
        <f>SUM(E30:E33)</f>
        <v>-17050</v>
      </c>
      <c r="F34" s="881">
        <f t="shared" si="1"/>
        <v>6.9794721407624633E-2</v>
      </c>
      <c r="G34" s="756" t="s">
        <v>331</v>
      </c>
      <c r="H34" s="20"/>
      <c r="I34" s="20"/>
      <c r="J34" s="20"/>
      <c r="K34" s="20"/>
      <c r="L34" s="20"/>
      <c r="M34" s="20"/>
      <c r="N34" s="20"/>
    </row>
    <row r="35" spans="1:14" x14ac:dyDescent="0.25">
      <c r="A35" s="20"/>
      <c r="B35" s="764" t="s">
        <v>332</v>
      </c>
      <c r="C35" s="765" t="s">
        <v>286</v>
      </c>
      <c r="D35" s="882">
        <v>840</v>
      </c>
      <c r="E35" s="882">
        <v>620</v>
      </c>
      <c r="F35" s="883">
        <f t="shared" si="1"/>
        <v>0.35483870967741937</v>
      </c>
      <c r="G35" s="766" t="s">
        <v>333</v>
      </c>
      <c r="H35" s="20"/>
      <c r="I35" s="20"/>
      <c r="J35" s="20"/>
      <c r="K35" s="20"/>
      <c r="L35" s="20"/>
      <c r="M35" s="20"/>
      <c r="N35" s="20"/>
    </row>
    <row r="36" spans="1:14" x14ac:dyDescent="0.25">
      <c r="A36" s="20"/>
      <c r="B36" s="688" t="s">
        <v>334</v>
      </c>
      <c r="C36" s="689" t="s">
        <v>293</v>
      </c>
      <c r="D36" s="811">
        <v>-3696</v>
      </c>
      <c r="E36" s="811">
        <v>-3875</v>
      </c>
      <c r="F36" s="879">
        <f t="shared" si="1"/>
        <v>4.6193548387096772E-2</v>
      </c>
      <c r="G36" s="744" t="s">
        <v>333</v>
      </c>
      <c r="H36" s="20"/>
      <c r="I36" s="20"/>
      <c r="J36" s="20"/>
      <c r="K36" s="20"/>
      <c r="L36" s="20"/>
      <c r="M36" s="20"/>
      <c r="N36" s="20"/>
    </row>
    <row r="37" spans="1:14" x14ac:dyDescent="0.25">
      <c r="A37" s="20"/>
      <c r="B37" s="748" t="s">
        <v>335</v>
      </c>
      <c r="C37" s="749" t="s">
        <v>299</v>
      </c>
      <c r="D37" s="873">
        <v>-6125</v>
      </c>
      <c r="E37" s="873">
        <v>-5200</v>
      </c>
      <c r="F37" s="884">
        <f t="shared" si="1"/>
        <v>-0.17788461538461539</v>
      </c>
      <c r="G37" s="750" t="s">
        <v>209</v>
      </c>
      <c r="H37" s="20"/>
      <c r="I37" s="20"/>
      <c r="J37" s="20"/>
      <c r="K37" s="20"/>
      <c r="L37" s="20"/>
      <c r="M37" s="20"/>
      <c r="N37" s="20"/>
    </row>
    <row r="38" spans="1:14" ht="15.75" thickBot="1" x14ac:dyDescent="0.3">
      <c r="A38" s="20"/>
      <c r="B38" s="768" t="s">
        <v>336</v>
      </c>
      <c r="C38" s="769"/>
      <c r="D38" s="885">
        <f>D34+D35+D36+D37</f>
        <v>-24841</v>
      </c>
      <c r="E38" s="885">
        <f>E34+E35+E36+E37</f>
        <v>-25505</v>
      </c>
      <c r="F38" s="886">
        <f t="shared" si="1"/>
        <v>2.6034110958635562E-2</v>
      </c>
      <c r="G38" s="770" t="s">
        <v>337</v>
      </c>
      <c r="H38" s="20"/>
      <c r="I38" s="20"/>
      <c r="J38" s="20"/>
      <c r="K38" s="20"/>
      <c r="L38" s="20"/>
      <c r="M38" s="20"/>
      <c r="N38" s="20"/>
    </row>
    <row r="39" spans="1:14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14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spans="1:14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spans="1:14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1:14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1:14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1:14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4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1:14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spans="1:14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1:14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1:14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spans="1:14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spans="1:14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1:14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14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 spans="1:14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</sheetData>
  <mergeCells count="5">
    <mergeCell ref="B2:N2"/>
    <mergeCell ref="B4:E4"/>
    <mergeCell ref="B13:G13"/>
    <mergeCell ref="B28:G28"/>
    <mergeCell ref="I13:M13"/>
  </mergeCells>
  <conditionalFormatting sqref="F16:F26">
    <cfRule type="cellIs" dxfId="49" priority="5" operator="greaterThan">
      <formula>0</formula>
    </cfRule>
    <cfRule type="cellIs" dxfId="48" priority="6" operator="lessThan">
      <formula>0</formula>
    </cfRule>
  </conditionalFormatting>
  <conditionalFormatting sqref="F30">
    <cfRule type="cellIs" dxfId="47" priority="1" operator="greaterThan">
      <formula>0</formula>
    </cfRule>
    <cfRule type="cellIs" dxfId="46" priority="2" operator="lessThan">
      <formula>0</formula>
    </cfRule>
  </conditionalFormatting>
  <conditionalFormatting sqref="F34">
    <cfRule type="cellIs" dxfId="45" priority="3" operator="greaterThan">
      <formula>0</formula>
    </cfRule>
    <cfRule type="cellIs" dxfId="44" priority="4" operator="lessThan">
      <formula>0</formula>
    </cfRule>
  </conditionalFormatting>
  <conditionalFormatting sqref="F30:F38">
    <cfRule type="cellIs" dxfId="43" priority="7" operator="lessThan">
      <formula>0</formula>
    </cfRule>
  </conditionalFormatting>
  <conditionalFormatting sqref="F30:F38">
    <cfRule type="cellIs" dxfId="42" priority="8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EFC4-51BB-4D83-9E10-1AEB4E9B98BD}">
  <sheetPr>
    <tabColor rgb="FF27AE60"/>
  </sheetPr>
  <dimension ref="A1:N70"/>
  <sheetViews>
    <sheetView topLeftCell="A15" zoomScale="142" zoomScaleNormal="142" workbookViewId="0">
      <selection activeCell="G30" sqref="G30"/>
    </sheetView>
  </sheetViews>
  <sheetFormatPr baseColWidth="10" defaultRowHeight="15" x14ac:dyDescent="0.25"/>
  <cols>
    <col min="1" max="1" width="3.85546875" customWidth="1"/>
    <col min="2" max="2" width="43.85546875" customWidth="1"/>
    <col min="3" max="3" width="22.7109375" customWidth="1"/>
    <col min="4" max="6" width="16.140625" customWidth="1"/>
    <col min="7" max="7" width="13.28515625" customWidth="1"/>
    <col min="9" max="9" width="18.28515625" customWidth="1"/>
  </cols>
  <sheetData>
    <row r="1" spans="1:14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7.25" x14ac:dyDescent="0.3">
      <c r="A2" s="20"/>
      <c r="B2" s="523" t="s">
        <v>352</v>
      </c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</row>
    <row r="3" spans="1:14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x14ac:dyDescent="0.25">
      <c r="A4" s="20"/>
      <c r="B4" s="524" t="s">
        <v>174</v>
      </c>
      <c r="C4" s="524"/>
      <c r="D4" s="524"/>
      <c r="E4" s="524"/>
      <c r="F4" s="20"/>
      <c r="G4" s="20"/>
      <c r="H4" s="20"/>
      <c r="I4" s="20"/>
      <c r="J4" s="20"/>
      <c r="K4" s="20"/>
      <c r="L4" s="20"/>
      <c r="M4" s="20"/>
      <c r="N4" s="20"/>
    </row>
    <row r="5" spans="1:14" x14ac:dyDescent="0.25">
      <c r="A5" s="20"/>
      <c r="B5" s="21" t="s">
        <v>175</v>
      </c>
      <c r="C5" s="21" t="s">
        <v>33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x14ac:dyDescent="0.25">
      <c r="A6" s="20"/>
      <c r="B6" s="21" t="s">
        <v>177</v>
      </c>
      <c r="C6" s="21" t="s">
        <v>353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20"/>
      <c r="B7" s="21" t="s">
        <v>179</v>
      </c>
      <c r="C7" s="37">
        <v>0.8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x14ac:dyDescent="0.25">
      <c r="A8" s="20"/>
      <c r="B8" s="21" t="s">
        <v>181</v>
      </c>
      <c r="C8" s="21" t="s">
        <v>80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x14ac:dyDescent="0.25">
      <c r="A9" s="20"/>
      <c r="B9" s="21" t="s">
        <v>182</v>
      </c>
      <c r="C9" s="21" t="s">
        <v>354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25">
      <c r="A10" s="20"/>
      <c r="B10" s="21" t="s">
        <v>184</v>
      </c>
      <c r="C10" s="21" t="s">
        <v>355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x14ac:dyDescent="0.25">
      <c r="A11" s="20"/>
      <c r="B11" s="21" t="s">
        <v>311</v>
      </c>
      <c r="C11" s="21" t="s">
        <v>83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5.75" x14ac:dyDescent="0.25">
      <c r="A13" s="20"/>
      <c r="B13" s="521" t="s">
        <v>356</v>
      </c>
      <c r="C13" s="521"/>
      <c r="D13" s="521"/>
      <c r="E13" s="521"/>
      <c r="F13" s="521"/>
      <c r="G13" s="521"/>
      <c r="H13" s="20"/>
      <c r="I13" s="526" t="s">
        <v>338</v>
      </c>
      <c r="J13" s="526"/>
      <c r="K13" s="526"/>
      <c r="L13" s="526"/>
      <c r="M13" s="526"/>
      <c r="N13" s="20"/>
    </row>
    <row r="14" spans="1:14" x14ac:dyDescent="0.25">
      <c r="A14" s="20"/>
      <c r="B14" s="681" t="s">
        <v>188</v>
      </c>
      <c r="C14" s="682" t="s">
        <v>189</v>
      </c>
      <c r="D14" s="682" t="s">
        <v>313</v>
      </c>
      <c r="E14" s="682" t="s">
        <v>314</v>
      </c>
      <c r="F14" s="682" t="s">
        <v>315</v>
      </c>
      <c r="G14" s="684" t="s">
        <v>193</v>
      </c>
      <c r="H14" s="20"/>
      <c r="I14" s="14" t="s">
        <v>326</v>
      </c>
      <c r="J14" s="14" t="s">
        <v>339</v>
      </c>
      <c r="K14" s="14" t="s">
        <v>340</v>
      </c>
      <c r="L14" s="14" t="s">
        <v>341</v>
      </c>
      <c r="M14" s="14" t="s">
        <v>73</v>
      </c>
      <c r="N14" s="20"/>
    </row>
    <row r="15" spans="1:14" x14ac:dyDescent="0.25">
      <c r="A15" s="20"/>
      <c r="B15" s="738" t="s">
        <v>194</v>
      </c>
      <c r="C15" s="739"/>
      <c r="D15" s="739"/>
      <c r="E15" s="739"/>
      <c r="F15" s="739"/>
      <c r="G15" s="740"/>
      <c r="H15" s="20"/>
      <c r="I15" s="38" t="s">
        <v>342</v>
      </c>
      <c r="J15" s="38" t="s">
        <v>343</v>
      </c>
      <c r="K15" s="38">
        <v>1</v>
      </c>
      <c r="L15" s="38">
        <v>1.165</v>
      </c>
      <c r="M15" s="38" t="s">
        <v>344</v>
      </c>
      <c r="N15" s="20"/>
    </row>
    <row r="16" spans="1:14" x14ac:dyDescent="0.25">
      <c r="A16" s="20"/>
      <c r="B16" s="741" t="s">
        <v>316</v>
      </c>
      <c r="C16" s="742" t="s">
        <v>196</v>
      </c>
      <c r="D16" s="872">
        <v>45000</v>
      </c>
      <c r="E16" s="872">
        <v>41000</v>
      </c>
      <c r="F16" s="872">
        <f>D16-E16</f>
        <v>4000</v>
      </c>
      <c r="G16" s="743"/>
      <c r="H16" s="20"/>
      <c r="I16" s="38" t="s">
        <v>345</v>
      </c>
      <c r="J16" s="38" t="s">
        <v>75</v>
      </c>
      <c r="K16" s="38">
        <v>1</v>
      </c>
      <c r="L16" s="38">
        <v>1.1519999999999999</v>
      </c>
      <c r="M16" s="38" t="s">
        <v>346</v>
      </c>
      <c r="N16" s="20"/>
    </row>
    <row r="17" spans="1:14" x14ac:dyDescent="0.25">
      <c r="A17" s="20"/>
      <c r="B17" s="688" t="s">
        <v>198</v>
      </c>
      <c r="C17" s="689" t="s">
        <v>199</v>
      </c>
      <c r="D17" s="811">
        <v>68000</v>
      </c>
      <c r="E17" s="811">
        <v>65000</v>
      </c>
      <c r="F17" s="811">
        <f>D17-E17</f>
        <v>3000</v>
      </c>
      <c r="G17" s="744"/>
      <c r="H17" s="20"/>
      <c r="I17" s="38" t="s">
        <v>347</v>
      </c>
      <c r="J17" s="38" t="s">
        <v>348</v>
      </c>
      <c r="K17" s="38">
        <v>1</v>
      </c>
      <c r="L17" s="38">
        <v>1</v>
      </c>
      <c r="M17" s="38" t="s">
        <v>346</v>
      </c>
      <c r="N17" s="20"/>
    </row>
    <row r="18" spans="1:14" x14ac:dyDescent="0.25">
      <c r="A18" s="20"/>
      <c r="B18" s="748" t="s">
        <v>317</v>
      </c>
      <c r="C18" s="749" t="s">
        <v>208</v>
      </c>
      <c r="D18" s="873">
        <v>5200</v>
      </c>
      <c r="E18" s="873">
        <v>4800</v>
      </c>
      <c r="F18" s="873">
        <f>D18-E18</f>
        <v>400</v>
      </c>
      <c r="G18" s="750"/>
      <c r="H18" s="20"/>
      <c r="I18" s="39" t="s">
        <v>349</v>
      </c>
      <c r="J18" s="39" t="s">
        <v>350</v>
      </c>
      <c r="K18" s="39"/>
      <c r="L18" s="39"/>
      <c r="M18" s="39" t="s">
        <v>351</v>
      </c>
      <c r="N18" s="20"/>
    </row>
    <row r="19" spans="1:14" ht="15.75" thickBot="1" x14ac:dyDescent="0.3">
      <c r="A19" s="20"/>
      <c r="B19" s="754" t="s">
        <v>212</v>
      </c>
      <c r="C19" s="755"/>
      <c r="D19" s="874">
        <f>SUM(D16:D18)</f>
        <v>118200</v>
      </c>
      <c r="E19" s="874">
        <f>SUM(E16:E18)</f>
        <v>110800</v>
      </c>
      <c r="F19" s="874">
        <f>D19-E19</f>
        <v>7400</v>
      </c>
      <c r="G19" s="756"/>
      <c r="H19" s="20"/>
      <c r="I19" s="20"/>
      <c r="J19" s="20"/>
      <c r="K19" s="20"/>
      <c r="L19" s="20"/>
      <c r="M19" s="20"/>
      <c r="N19" s="20"/>
    </row>
    <row r="20" spans="1:14" x14ac:dyDescent="0.25">
      <c r="A20" s="20"/>
      <c r="B20" s="751" t="s">
        <v>213</v>
      </c>
      <c r="C20" s="752"/>
      <c r="D20" s="875"/>
      <c r="E20" s="875"/>
      <c r="F20" s="875"/>
      <c r="G20" s="753"/>
      <c r="H20" s="20"/>
      <c r="I20" s="20"/>
      <c r="J20" s="20"/>
      <c r="K20" s="20"/>
      <c r="L20" s="20"/>
      <c r="M20" s="20"/>
      <c r="N20" s="20"/>
    </row>
    <row r="21" spans="1:14" x14ac:dyDescent="0.25">
      <c r="A21" s="20"/>
      <c r="B21" s="741" t="s">
        <v>318</v>
      </c>
      <c r="C21" s="742" t="s">
        <v>319</v>
      </c>
      <c r="D21" s="872">
        <v>18000</v>
      </c>
      <c r="E21" s="872">
        <v>16500</v>
      </c>
      <c r="F21" s="872">
        <f t="shared" ref="F21:F26" si="0">D21-E21</f>
        <v>1500</v>
      </c>
      <c r="G21" s="743"/>
      <c r="H21" s="20"/>
      <c r="I21" s="20"/>
      <c r="J21" s="20"/>
      <c r="K21" s="20"/>
      <c r="L21" s="20"/>
      <c r="M21" s="20"/>
      <c r="N21" s="20"/>
    </row>
    <row r="22" spans="1:14" x14ac:dyDescent="0.25">
      <c r="A22" s="20"/>
      <c r="B22" s="688" t="s">
        <v>320</v>
      </c>
      <c r="C22" s="689" t="s">
        <v>218</v>
      </c>
      <c r="D22" s="811">
        <v>52000</v>
      </c>
      <c r="E22" s="811">
        <v>47000</v>
      </c>
      <c r="F22" s="811">
        <f t="shared" si="0"/>
        <v>5000</v>
      </c>
      <c r="G22" s="744"/>
      <c r="H22" s="20"/>
      <c r="I22" s="20"/>
      <c r="J22" s="20"/>
      <c r="K22" s="20"/>
      <c r="L22" s="20"/>
      <c r="M22" s="20"/>
      <c r="N22" s="20"/>
    </row>
    <row r="23" spans="1:14" x14ac:dyDescent="0.25">
      <c r="A23" s="20"/>
      <c r="B23" s="698" t="s">
        <v>321</v>
      </c>
      <c r="C23" s="745" t="s">
        <v>221</v>
      </c>
      <c r="D23" s="839">
        <v>18000</v>
      </c>
      <c r="E23" s="839">
        <v>14200</v>
      </c>
      <c r="F23" s="839">
        <f t="shared" si="0"/>
        <v>3800</v>
      </c>
      <c r="G23" s="746" t="s">
        <v>222</v>
      </c>
      <c r="H23" s="20"/>
      <c r="I23" s="20"/>
      <c r="J23" s="20"/>
      <c r="K23" s="20"/>
      <c r="L23" s="20"/>
      <c r="M23" s="20"/>
      <c r="N23" s="20"/>
    </row>
    <row r="24" spans="1:14" x14ac:dyDescent="0.25">
      <c r="A24" s="20"/>
      <c r="B24" s="748" t="s">
        <v>322</v>
      </c>
      <c r="C24" s="749" t="s">
        <v>323</v>
      </c>
      <c r="D24" s="873">
        <v>38000</v>
      </c>
      <c r="E24" s="873">
        <v>32000</v>
      </c>
      <c r="F24" s="873">
        <f t="shared" si="0"/>
        <v>6000</v>
      </c>
      <c r="G24" s="750"/>
      <c r="H24" s="20"/>
      <c r="I24" s="20"/>
      <c r="J24" s="20"/>
      <c r="K24" s="20"/>
      <c r="L24" s="20"/>
      <c r="M24" s="20"/>
      <c r="N24" s="20"/>
    </row>
    <row r="25" spans="1:14" ht="15.75" thickBot="1" x14ac:dyDescent="0.3">
      <c r="A25" s="20"/>
      <c r="B25" s="757" t="s">
        <v>228</v>
      </c>
      <c r="C25" s="758"/>
      <c r="D25" s="876">
        <f>SUM(D21:D24)</f>
        <v>126000</v>
      </c>
      <c r="E25" s="876">
        <f>SUM(E21:E24)</f>
        <v>109700</v>
      </c>
      <c r="F25" s="876">
        <f t="shared" si="0"/>
        <v>16300</v>
      </c>
      <c r="G25" s="759"/>
      <c r="H25" s="20"/>
      <c r="I25" s="20"/>
      <c r="J25" s="20"/>
      <c r="K25" s="20"/>
      <c r="L25" s="20"/>
      <c r="M25" s="20"/>
      <c r="N25" s="20"/>
    </row>
    <row r="26" spans="1:14" ht="15.75" thickBot="1" x14ac:dyDescent="0.3">
      <c r="A26" s="20"/>
      <c r="B26" s="760" t="s">
        <v>229</v>
      </c>
      <c r="C26" s="761"/>
      <c r="D26" s="877">
        <f>D19+D25</f>
        <v>244200</v>
      </c>
      <c r="E26" s="877">
        <f>E19+E25</f>
        <v>220500</v>
      </c>
      <c r="F26" s="877">
        <f t="shared" si="0"/>
        <v>23700</v>
      </c>
      <c r="G26" s="762" t="s">
        <v>324</v>
      </c>
      <c r="H26" s="20"/>
      <c r="I26" s="20"/>
      <c r="J26" s="20"/>
      <c r="K26" s="20"/>
      <c r="L26" s="20"/>
      <c r="M26" s="20"/>
      <c r="N26" s="20"/>
    </row>
    <row r="27" spans="1:14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x14ac:dyDescent="0.25">
      <c r="A28" s="20"/>
      <c r="B28" s="525" t="s">
        <v>325</v>
      </c>
      <c r="C28" s="525"/>
      <c r="D28" s="525"/>
      <c r="E28" s="525"/>
      <c r="F28" s="525"/>
      <c r="G28" s="525"/>
      <c r="H28" s="20"/>
      <c r="I28" s="20"/>
      <c r="J28" s="20"/>
      <c r="K28" s="20"/>
      <c r="L28" s="20"/>
      <c r="M28" s="20"/>
      <c r="N28" s="20"/>
    </row>
    <row r="29" spans="1:14" x14ac:dyDescent="0.25">
      <c r="A29" s="20"/>
      <c r="B29" s="681" t="s">
        <v>326</v>
      </c>
      <c r="C29" s="682" t="s">
        <v>327</v>
      </c>
      <c r="D29" s="682" t="s">
        <v>313</v>
      </c>
      <c r="E29" s="682" t="s">
        <v>314</v>
      </c>
      <c r="F29" s="682" t="s">
        <v>269</v>
      </c>
      <c r="G29" s="684" t="s">
        <v>193</v>
      </c>
      <c r="H29" s="20"/>
      <c r="I29" s="20"/>
      <c r="J29" s="20"/>
      <c r="K29" s="20"/>
      <c r="L29" s="20"/>
      <c r="M29" s="20"/>
      <c r="N29" s="20"/>
    </row>
    <row r="30" spans="1:14" x14ac:dyDescent="0.25">
      <c r="A30" s="20"/>
      <c r="B30" s="741" t="s">
        <v>328</v>
      </c>
      <c r="C30" s="742" t="s">
        <v>273</v>
      </c>
      <c r="D30" s="872">
        <v>142000</v>
      </c>
      <c r="E30" s="872">
        <v>128000</v>
      </c>
      <c r="F30" s="878">
        <f t="shared" ref="F30:F38" si="1">IFERROR((D30-E30)/ABS(E30),"")</f>
        <v>0.109375</v>
      </c>
      <c r="G30" s="743" t="s">
        <v>274</v>
      </c>
      <c r="H30" s="20"/>
      <c r="I30" s="20"/>
      <c r="J30" s="20"/>
      <c r="K30" s="20"/>
      <c r="L30" s="20"/>
      <c r="M30" s="20"/>
      <c r="N30" s="20"/>
    </row>
    <row r="31" spans="1:14" x14ac:dyDescent="0.25">
      <c r="A31" s="20"/>
      <c r="B31" s="688" t="s">
        <v>329</v>
      </c>
      <c r="C31" s="689" t="s">
        <v>273</v>
      </c>
      <c r="D31" s="811">
        <v>-106800</v>
      </c>
      <c r="E31" s="811">
        <v>-98600</v>
      </c>
      <c r="F31" s="879">
        <f t="shared" si="1"/>
        <v>-8.3164300202839755E-2</v>
      </c>
      <c r="G31" s="744"/>
      <c r="H31" s="20"/>
      <c r="I31" s="20"/>
      <c r="J31" s="20"/>
      <c r="K31" s="20"/>
      <c r="L31" s="20"/>
      <c r="M31" s="20"/>
      <c r="N31" s="20"/>
    </row>
    <row r="32" spans="1:14" x14ac:dyDescent="0.25">
      <c r="A32" s="20"/>
      <c r="B32" s="741" t="s">
        <v>278</v>
      </c>
      <c r="C32" s="742" t="s">
        <v>273</v>
      </c>
      <c r="D32" s="872">
        <v>-31240</v>
      </c>
      <c r="E32" s="872">
        <v>-28160</v>
      </c>
      <c r="F32" s="878">
        <f t="shared" si="1"/>
        <v>-0.109375</v>
      </c>
      <c r="G32" s="743"/>
      <c r="H32" s="20"/>
      <c r="I32" s="20"/>
      <c r="J32" s="20"/>
      <c r="K32" s="20"/>
      <c r="L32" s="20"/>
      <c r="M32" s="20"/>
      <c r="N32" s="20"/>
    </row>
    <row r="33" spans="1:14" x14ac:dyDescent="0.25">
      <c r="A33" s="20"/>
      <c r="B33" s="705" t="s">
        <v>330</v>
      </c>
      <c r="C33" s="706" t="s">
        <v>273</v>
      </c>
      <c r="D33" s="815">
        <v>-7100</v>
      </c>
      <c r="E33" s="815">
        <v>-6400</v>
      </c>
      <c r="F33" s="880">
        <f t="shared" si="1"/>
        <v>-0.109375</v>
      </c>
      <c r="G33" s="763"/>
      <c r="H33" s="20"/>
      <c r="I33" s="20"/>
      <c r="J33" s="20"/>
      <c r="K33" s="20"/>
      <c r="L33" s="20"/>
      <c r="M33" s="20"/>
      <c r="N33" s="20"/>
    </row>
    <row r="34" spans="1:14" ht="15.75" thickBot="1" x14ac:dyDescent="0.3">
      <c r="A34" s="20"/>
      <c r="B34" s="754" t="s">
        <v>282</v>
      </c>
      <c r="C34" s="755" t="s">
        <v>273</v>
      </c>
      <c r="D34" s="874">
        <f>SUM(D30:D33)</f>
        <v>-3140</v>
      </c>
      <c r="E34" s="874">
        <f>SUM(E30:E33)</f>
        <v>-5160</v>
      </c>
      <c r="F34" s="881">
        <f t="shared" si="1"/>
        <v>0.39147286821705424</v>
      </c>
      <c r="G34" s="756" t="s">
        <v>331</v>
      </c>
      <c r="H34" s="20"/>
      <c r="I34" s="20"/>
      <c r="J34" s="20"/>
      <c r="K34" s="20"/>
      <c r="L34" s="20"/>
      <c r="M34" s="20"/>
      <c r="N34" s="20"/>
    </row>
    <row r="35" spans="1:14" x14ac:dyDescent="0.25">
      <c r="A35" s="20"/>
      <c r="B35" s="764" t="s">
        <v>332</v>
      </c>
      <c r="C35" s="765" t="s">
        <v>286</v>
      </c>
      <c r="D35" s="882">
        <v>710</v>
      </c>
      <c r="E35" s="882">
        <v>512</v>
      </c>
      <c r="F35" s="883">
        <f t="shared" si="1"/>
        <v>0.38671875</v>
      </c>
      <c r="G35" s="766" t="s">
        <v>333</v>
      </c>
      <c r="H35" s="20"/>
      <c r="I35" s="20"/>
      <c r="J35" s="20"/>
      <c r="K35" s="20"/>
      <c r="L35" s="20"/>
      <c r="M35" s="20"/>
      <c r="N35" s="20"/>
    </row>
    <row r="36" spans="1:14" x14ac:dyDescent="0.25">
      <c r="A36" s="20"/>
      <c r="B36" s="688" t="s">
        <v>334</v>
      </c>
      <c r="C36" s="689" t="s">
        <v>293</v>
      </c>
      <c r="D36" s="811">
        <v>-3124</v>
      </c>
      <c r="E36" s="811">
        <v>-3200</v>
      </c>
      <c r="F36" s="879">
        <f t="shared" si="1"/>
        <v>2.375E-2</v>
      </c>
      <c r="G36" s="744" t="s">
        <v>333</v>
      </c>
      <c r="H36" s="20"/>
      <c r="I36" s="20"/>
      <c r="J36" s="20"/>
      <c r="K36" s="20"/>
      <c r="L36" s="20"/>
      <c r="M36" s="20"/>
      <c r="N36" s="20"/>
    </row>
    <row r="37" spans="1:14" x14ac:dyDescent="0.25">
      <c r="A37" s="20"/>
      <c r="B37" s="748" t="s">
        <v>335</v>
      </c>
      <c r="C37" s="749" t="s">
        <v>299</v>
      </c>
      <c r="D37" s="873">
        <v>-7550</v>
      </c>
      <c r="E37" s="873">
        <v>-6350</v>
      </c>
      <c r="F37" s="884">
        <f t="shared" si="1"/>
        <v>-0.1889763779527559</v>
      </c>
      <c r="G37" s="750" t="s">
        <v>209</v>
      </c>
      <c r="H37" s="20"/>
      <c r="I37" s="20"/>
      <c r="J37" s="20"/>
      <c r="K37" s="20"/>
      <c r="L37" s="20"/>
      <c r="M37" s="20"/>
      <c r="N37" s="20"/>
    </row>
    <row r="38" spans="1:14" ht="15.75" thickBot="1" x14ac:dyDescent="0.3">
      <c r="A38" s="20"/>
      <c r="B38" s="768" t="s">
        <v>336</v>
      </c>
      <c r="C38" s="769"/>
      <c r="D38" s="885">
        <f>D34+D35+D36+D37</f>
        <v>-13104</v>
      </c>
      <c r="E38" s="885">
        <f>E34+E35+E36+E37</f>
        <v>-14198</v>
      </c>
      <c r="F38" s="886">
        <f t="shared" si="1"/>
        <v>7.7053106071277647E-2</v>
      </c>
      <c r="G38" s="770" t="s">
        <v>337</v>
      </c>
      <c r="H38" s="20"/>
      <c r="I38" s="20"/>
      <c r="J38" s="20"/>
      <c r="K38" s="20"/>
      <c r="L38" s="20"/>
      <c r="M38" s="20"/>
      <c r="N38" s="20"/>
    </row>
    <row r="39" spans="1:14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14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spans="1:14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spans="1:14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1:14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1:14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1:14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4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1:14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spans="1:14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1:14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1:14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spans="1:14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spans="1:14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1:14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14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 spans="1:14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</sheetData>
  <mergeCells count="5">
    <mergeCell ref="B2:N2"/>
    <mergeCell ref="B4:E4"/>
    <mergeCell ref="B13:G13"/>
    <mergeCell ref="B28:G28"/>
    <mergeCell ref="I13:M13"/>
  </mergeCells>
  <conditionalFormatting sqref="F16:F26">
    <cfRule type="cellIs" dxfId="41" priority="5" operator="greaterThan">
      <formula>0</formula>
    </cfRule>
    <cfRule type="cellIs" dxfId="40" priority="6" operator="lessThan">
      <formula>0</formula>
    </cfRule>
  </conditionalFormatting>
  <conditionalFormatting sqref="F30">
    <cfRule type="cellIs" dxfId="39" priority="1" operator="greaterThan">
      <formula>0</formula>
    </cfRule>
    <cfRule type="cellIs" dxfId="38" priority="2" operator="lessThan">
      <formula>0</formula>
    </cfRule>
  </conditionalFormatting>
  <conditionalFormatting sqref="F34">
    <cfRule type="cellIs" dxfId="37" priority="3" operator="greaterThan">
      <formula>0</formula>
    </cfRule>
    <cfRule type="cellIs" dxfId="36" priority="4" operator="lessThan">
      <formula>0</formula>
    </cfRule>
  </conditionalFormatting>
  <conditionalFormatting sqref="F30:F38">
    <cfRule type="cellIs" dxfId="35" priority="7" operator="lessThan">
      <formula>0</formula>
    </cfRule>
  </conditionalFormatting>
  <conditionalFormatting sqref="F30:F38">
    <cfRule type="cellIs" dxfId="34" priority="8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07FB-EED5-4218-ACE8-7ED0A15352D2}">
  <sheetPr>
    <tabColor rgb="FF27AE60"/>
  </sheetPr>
  <dimension ref="A1:N70"/>
  <sheetViews>
    <sheetView showGridLines="0" workbookViewId="0">
      <selection activeCell="C7" sqref="C7"/>
    </sheetView>
  </sheetViews>
  <sheetFormatPr baseColWidth="10" defaultRowHeight="15" x14ac:dyDescent="0.25"/>
  <cols>
    <col min="1" max="1" width="3.85546875" customWidth="1"/>
    <col min="2" max="2" width="43.85546875" customWidth="1"/>
    <col min="3" max="6" width="16.140625" customWidth="1"/>
    <col min="7" max="7" width="13.28515625" customWidth="1"/>
  </cols>
  <sheetData>
    <row r="1" spans="1:14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7.25" x14ac:dyDescent="0.3">
      <c r="A2" s="20"/>
      <c r="B2" s="523" t="s">
        <v>357</v>
      </c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</row>
    <row r="3" spans="1:14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x14ac:dyDescent="0.25">
      <c r="A4" s="20"/>
      <c r="B4" s="524" t="s">
        <v>174</v>
      </c>
      <c r="C4" s="524"/>
      <c r="D4" s="524"/>
      <c r="E4" s="524"/>
      <c r="F4" s="20"/>
      <c r="G4" s="20"/>
      <c r="H4" s="20"/>
      <c r="I4" s="20"/>
      <c r="J4" s="20"/>
      <c r="K4" s="20"/>
      <c r="L4" s="20"/>
      <c r="M4" s="20"/>
      <c r="N4" s="20"/>
    </row>
    <row r="5" spans="1:14" x14ac:dyDescent="0.25">
      <c r="A5" s="20"/>
      <c r="B5" s="21" t="s">
        <v>175</v>
      </c>
      <c r="C5" s="21" t="s">
        <v>35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x14ac:dyDescent="0.25">
      <c r="A6" s="20"/>
      <c r="B6" s="21" t="s">
        <v>177</v>
      </c>
      <c r="C6" s="21" t="s">
        <v>358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20"/>
      <c r="B7" s="21" t="s">
        <v>179</v>
      </c>
      <c r="C7" s="37">
        <v>0.75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x14ac:dyDescent="0.25">
      <c r="A8" s="20"/>
      <c r="B8" s="21" t="s">
        <v>181</v>
      </c>
      <c r="C8" s="21" t="s">
        <v>80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x14ac:dyDescent="0.25">
      <c r="A9" s="20"/>
      <c r="B9" s="21" t="s">
        <v>182</v>
      </c>
      <c r="C9" s="21" t="s">
        <v>359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25">
      <c r="A10" s="20"/>
      <c r="B10" s="21" t="s">
        <v>184</v>
      </c>
      <c r="C10" s="21" t="s">
        <v>360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x14ac:dyDescent="0.25">
      <c r="A11" s="20"/>
      <c r="B11" s="21" t="s">
        <v>311</v>
      </c>
      <c r="C11" s="21" t="s">
        <v>85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5.75" x14ac:dyDescent="0.25">
      <c r="A13" s="20"/>
      <c r="B13" s="521" t="s">
        <v>361</v>
      </c>
      <c r="C13" s="521"/>
      <c r="D13" s="521"/>
      <c r="E13" s="521"/>
      <c r="F13" s="521"/>
      <c r="G13" s="521"/>
      <c r="H13" s="20"/>
      <c r="I13" s="526" t="s">
        <v>338</v>
      </c>
      <c r="J13" s="526"/>
      <c r="K13" s="526"/>
      <c r="L13" s="526"/>
      <c r="M13" s="526"/>
      <c r="N13" s="20"/>
    </row>
    <row r="14" spans="1:14" x14ac:dyDescent="0.25">
      <c r="A14" s="20"/>
      <c r="B14" s="681" t="s">
        <v>188</v>
      </c>
      <c r="C14" s="682" t="s">
        <v>189</v>
      </c>
      <c r="D14" s="682" t="s">
        <v>313</v>
      </c>
      <c r="E14" s="682" t="s">
        <v>314</v>
      </c>
      <c r="F14" s="682" t="s">
        <v>315</v>
      </c>
      <c r="G14" s="684" t="s">
        <v>193</v>
      </c>
      <c r="H14" s="20"/>
      <c r="I14" s="14" t="s">
        <v>326</v>
      </c>
      <c r="J14" s="14" t="s">
        <v>339</v>
      </c>
      <c r="K14" s="14" t="s">
        <v>340</v>
      </c>
      <c r="L14" s="14" t="s">
        <v>341</v>
      </c>
      <c r="M14" s="14" t="s">
        <v>73</v>
      </c>
      <c r="N14" s="20"/>
    </row>
    <row r="15" spans="1:14" x14ac:dyDescent="0.25">
      <c r="A15" s="20"/>
      <c r="B15" s="738" t="s">
        <v>194</v>
      </c>
      <c r="C15" s="739"/>
      <c r="D15" s="739"/>
      <c r="E15" s="739"/>
      <c r="F15" s="739"/>
      <c r="G15" s="740"/>
      <c r="H15" s="20"/>
      <c r="I15" s="38" t="s">
        <v>342</v>
      </c>
      <c r="J15" s="38" t="s">
        <v>343</v>
      </c>
      <c r="K15" s="38">
        <v>1</v>
      </c>
      <c r="L15" s="38">
        <v>0.91800000000000004</v>
      </c>
      <c r="M15" s="38" t="s">
        <v>344</v>
      </c>
      <c r="N15" s="20"/>
    </row>
    <row r="16" spans="1:14" x14ac:dyDescent="0.25">
      <c r="A16" s="20"/>
      <c r="B16" s="741" t="s">
        <v>316</v>
      </c>
      <c r="C16" s="742" t="s">
        <v>196</v>
      </c>
      <c r="D16" s="872">
        <v>12000</v>
      </c>
      <c r="E16" s="872">
        <v>11500</v>
      </c>
      <c r="F16" s="872">
        <f>D16-E16</f>
        <v>500</v>
      </c>
      <c r="G16" s="743"/>
      <c r="H16" s="20"/>
      <c r="I16" s="38" t="s">
        <v>345</v>
      </c>
      <c r="J16" s="38" t="s">
        <v>75</v>
      </c>
      <c r="K16" s="38">
        <v>1</v>
      </c>
      <c r="L16" s="38">
        <v>0.92500000000000004</v>
      </c>
      <c r="M16" s="38" t="s">
        <v>346</v>
      </c>
      <c r="N16" s="20"/>
    </row>
    <row r="17" spans="1:14" x14ac:dyDescent="0.25">
      <c r="A17" s="20"/>
      <c r="B17" s="688" t="s">
        <v>198</v>
      </c>
      <c r="C17" s="689" t="s">
        <v>199</v>
      </c>
      <c r="D17" s="811">
        <v>110000</v>
      </c>
      <c r="E17" s="811">
        <v>105000</v>
      </c>
      <c r="F17" s="811">
        <f>D17-E17</f>
        <v>5000</v>
      </c>
      <c r="G17" s="744"/>
      <c r="H17" s="20"/>
      <c r="I17" s="38" t="s">
        <v>347</v>
      </c>
      <c r="J17" s="38" t="s">
        <v>348</v>
      </c>
      <c r="K17" s="38">
        <v>1</v>
      </c>
      <c r="L17" s="38">
        <v>1</v>
      </c>
      <c r="M17" s="38" t="s">
        <v>346</v>
      </c>
      <c r="N17" s="20"/>
    </row>
    <row r="18" spans="1:14" x14ac:dyDescent="0.25">
      <c r="A18" s="20"/>
      <c r="B18" s="748" t="s">
        <v>317</v>
      </c>
      <c r="C18" s="749" t="s">
        <v>208</v>
      </c>
      <c r="D18" s="873">
        <v>5200</v>
      </c>
      <c r="E18" s="873">
        <v>4800</v>
      </c>
      <c r="F18" s="873">
        <f>D18-E18</f>
        <v>400</v>
      </c>
      <c r="G18" s="750"/>
      <c r="H18" s="20"/>
      <c r="I18" s="39" t="s">
        <v>349</v>
      </c>
      <c r="J18" s="39" t="s">
        <v>350</v>
      </c>
      <c r="K18" s="39"/>
      <c r="L18" s="39"/>
      <c r="M18" s="39" t="s">
        <v>351</v>
      </c>
      <c r="N18" s="20"/>
    </row>
    <row r="19" spans="1:14" ht="15.75" thickBot="1" x14ac:dyDescent="0.3">
      <c r="A19" s="20"/>
      <c r="B19" s="754" t="s">
        <v>212</v>
      </c>
      <c r="C19" s="755"/>
      <c r="D19" s="874">
        <f>SUM(D16:D18)</f>
        <v>127200</v>
      </c>
      <c r="E19" s="874">
        <f>SUM(E16:E18)</f>
        <v>121300</v>
      </c>
      <c r="F19" s="874">
        <f>D19-E19</f>
        <v>5900</v>
      </c>
      <c r="G19" s="756"/>
      <c r="H19" s="20"/>
      <c r="I19" s="20"/>
      <c r="J19" s="20"/>
      <c r="K19" s="20"/>
      <c r="L19" s="20"/>
      <c r="M19" s="20"/>
      <c r="N19" s="20"/>
    </row>
    <row r="20" spans="1:14" x14ac:dyDescent="0.25">
      <c r="A20" s="20"/>
      <c r="B20" s="751" t="s">
        <v>213</v>
      </c>
      <c r="C20" s="752"/>
      <c r="D20" s="875"/>
      <c r="E20" s="875"/>
      <c r="F20" s="875"/>
      <c r="G20" s="753"/>
      <c r="H20" s="20"/>
      <c r="I20" s="20"/>
      <c r="J20" s="20"/>
      <c r="K20" s="20"/>
      <c r="L20" s="20"/>
      <c r="M20" s="20"/>
      <c r="N20" s="20"/>
    </row>
    <row r="21" spans="1:14" x14ac:dyDescent="0.25">
      <c r="A21" s="20"/>
      <c r="B21" s="741" t="s">
        <v>318</v>
      </c>
      <c r="C21" s="742" t="s">
        <v>319</v>
      </c>
      <c r="D21" s="872">
        <v>71000</v>
      </c>
      <c r="E21" s="872">
        <v>65000</v>
      </c>
      <c r="F21" s="872">
        <f t="shared" ref="F21:F26" si="0">D21-E21</f>
        <v>6000</v>
      </c>
      <c r="G21" s="743"/>
      <c r="H21" s="20"/>
      <c r="I21" s="20"/>
      <c r="J21" s="20"/>
      <c r="K21" s="20"/>
      <c r="L21" s="20"/>
      <c r="M21" s="20"/>
      <c r="N21" s="20"/>
    </row>
    <row r="22" spans="1:14" x14ac:dyDescent="0.25">
      <c r="A22" s="20"/>
      <c r="B22" s="688" t="s">
        <v>320</v>
      </c>
      <c r="C22" s="689" t="s">
        <v>218</v>
      </c>
      <c r="D22" s="811">
        <v>44000</v>
      </c>
      <c r="E22" s="811">
        <v>41000</v>
      </c>
      <c r="F22" s="811">
        <f t="shared" si="0"/>
        <v>3000</v>
      </c>
      <c r="G22" s="744"/>
      <c r="H22" s="20"/>
      <c r="I22" s="20"/>
      <c r="J22" s="20"/>
      <c r="K22" s="20"/>
      <c r="L22" s="20"/>
      <c r="M22" s="20"/>
      <c r="N22" s="20"/>
    </row>
    <row r="23" spans="1:14" x14ac:dyDescent="0.25">
      <c r="A23" s="20"/>
      <c r="B23" s="698" t="s">
        <v>321</v>
      </c>
      <c r="C23" s="745" t="s">
        <v>221</v>
      </c>
      <c r="D23" s="839">
        <v>8500</v>
      </c>
      <c r="E23" s="839">
        <v>7200</v>
      </c>
      <c r="F23" s="839">
        <f t="shared" si="0"/>
        <v>1300</v>
      </c>
      <c r="G23" s="746" t="s">
        <v>222</v>
      </c>
      <c r="H23" s="20"/>
      <c r="I23" s="20"/>
      <c r="J23" s="20"/>
      <c r="K23" s="20"/>
      <c r="L23" s="20"/>
      <c r="M23" s="20"/>
      <c r="N23" s="20"/>
    </row>
    <row r="24" spans="1:14" x14ac:dyDescent="0.25">
      <c r="A24" s="20"/>
      <c r="B24" s="748" t="s">
        <v>322</v>
      </c>
      <c r="C24" s="749" t="s">
        <v>323</v>
      </c>
      <c r="D24" s="873">
        <v>31000</v>
      </c>
      <c r="E24" s="873">
        <v>27000</v>
      </c>
      <c r="F24" s="873">
        <f t="shared" si="0"/>
        <v>4000</v>
      </c>
      <c r="G24" s="750"/>
      <c r="H24" s="20"/>
      <c r="I24" s="20"/>
      <c r="J24" s="20"/>
      <c r="K24" s="20"/>
      <c r="L24" s="20"/>
      <c r="M24" s="20"/>
      <c r="N24" s="20"/>
    </row>
    <row r="25" spans="1:14" ht="15.75" thickBot="1" x14ac:dyDescent="0.3">
      <c r="A25" s="20"/>
      <c r="B25" s="757" t="s">
        <v>228</v>
      </c>
      <c r="C25" s="758"/>
      <c r="D25" s="876">
        <f>SUM(D21:D24)</f>
        <v>154500</v>
      </c>
      <c r="E25" s="876">
        <f>SUM(E21:E24)</f>
        <v>140200</v>
      </c>
      <c r="F25" s="876">
        <f t="shared" si="0"/>
        <v>14300</v>
      </c>
      <c r="G25" s="759"/>
      <c r="H25" s="20"/>
      <c r="I25" s="20"/>
      <c r="J25" s="20"/>
      <c r="K25" s="20"/>
      <c r="L25" s="20"/>
      <c r="M25" s="20"/>
      <c r="N25" s="20"/>
    </row>
    <row r="26" spans="1:14" ht="15.75" thickBot="1" x14ac:dyDescent="0.3">
      <c r="A26" s="20"/>
      <c r="B26" s="760" t="s">
        <v>229</v>
      </c>
      <c r="C26" s="761"/>
      <c r="D26" s="877">
        <f>D19+D25</f>
        <v>281700</v>
      </c>
      <c r="E26" s="877">
        <f>E19+E25</f>
        <v>261500</v>
      </c>
      <c r="F26" s="877">
        <f t="shared" si="0"/>
        <v>20200</v>
      </c>
      <c r="G26" s="762" t="s">
        <v>324</v>
      </c>
      <c r="H26" s="20"/>
      <c r="I26" s="20"/>
      <c r="J26" s="20"/>
      <c r="K26" s="20"/>
      <c r="L26" s="20"/>
      <c r="M26" s="20"/>
      <c r="N26" s="20"/>
    </row>
    <row r="27" spans="1:14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x14ac:dyDescent="0.25">
      <c r="A28" s="20"/>
      <c r="B28" s="525" t="s">
        <v>325</v>
      </c>
      <c r="C28" s="525"/>
      <c r="D28" s="525"/>
      <c r="E28" s="525"/>
      <c r="F28" s="525"/>
      <c r="G28" s="525"/>
      <c r="H28" s="20"/>
      <c r="I28" s="20"/>
      <c r="J28" s="20"/>
      <c r="K28" s="20"/>
      <c r="L28" s="20"/>
      <c r="M28" s="20"/>
      <c r="N28" s="20"/>
    </row>
    <row r="29" spans="1:14" x14ac:dyDescent="0.25">
      <c r="A29" s="20"/>
      <c r="B29" s="681" t="s">
        <v>326</v>
      </c>
      <c r="C29" s="682" t="s">
        <v>327</v>
      </c>
      <c r="D29" s="682" t="s">
        <v>313</v>
      </c>
      <c r="E29" s="682" t="s">
        <v>314</v>
      </c>
      <c r="F29" s="682" t="s">
        <v>269</v>
      </c>
      <c r="G29" s="684" t="s">
        <v>193</v>
      </c>
      <c r="H29" s="20"/>
      <c r="I29" s="20"/>
      <c r="J29" s="20"/>
      <c r="K29" s="20"/>
      <c r="L29" s="20"/>
      <c r="M29" s="20"/>
      <c r="N29" s="20"/>
    </row>
    <row r="30" spans="1:14" x14ac:dyDescent="0.25">
      <c r="A30" s="20"/>
      <c r="B30" s="741" t="s">
        <v>328</v>
      </c>
      <c r="C30" s="742" t="s">
        <v>273</v>
      </c>
      <c r="D30" s="872">
        <v>195000</v>
      </c>
      <c r="E30" s="872">
        <v>178000</v>
      </c>
      <c r="F30" s="878">
        <f t="shared" ref="F30:F38" si="1">IFERROR((D30-E30)/ABS(E30),"")</f>
        <v>9.5505617977528087E-2</v>
      </c>
      <c r="G30" s="743" t="s">
        <v>274</v>
      </c>
      <c r="H30" s="20"/>
      <c r="I30" s="20"/>
      <c r="J30" s="20"/>
      <c r="K30" s="20"/>
      <c r="L30" s="20"/>
      <c r="M30" s="20"/>
      <c r="N30" s="20"/>
    </row>
    <row r="31" spans="1:14" x14ac:dyDescent="0.25">
      <c r="A31" s="20"/>
      <c r="B31" s="688" t="s">
        <v>329</v>
      </c>
      <c r="C31" s="689" t="s">
        <v>273</v>
      </c>
      <c r="D31" s="811">
        <v>-169000</v>
      </c>
      <c r="E31" s="811">
        <v>-156200</v>
      </c>
      <c r="F31" s="879">
        <f t="shared" si="1"/>
        <v>-8.1946222791293211E-2</v>
      </c>
      <c r="G31" s="744"/>
      <c r="H31" s="20"/>
      <c r="I31" s="20"/>
      <c r="J31" s="20"/>
      <c r="K31" s="20"/>
      <c r="L31" s="20"/>
      <c r="M31" s="20"/>
      <c r="N31" s="20"/>
    </row>
    <row r="32" spans="1:14" x14ac:dyDescent="0.25">
      <c r="A32" s="20"/>
      <c r="B32" s="741" t="s">
        <v>278</v>
      </c>
      <c r="C32" s="742" t="s">
        <v>273</v>
      </c>
      <c r="D32" s="872">
        <v>-42900</v>
      </c>
      <c r="E32" s="872">
        <v>-39160</v>
      </c>
      <c r="F32" s="878">
        <f t="shared" si="1"/>
        <v>-9.5505617977528087E-2</v>
      </c>
      <c r="G32" s="743"/>
      <c r="H32" s="20"/>
      <c r="I32" s="20"/>
      <c r="J32" s="20"/>
      <c r="K32" s="20"/>
      <c r="L32" s="20"/>
      <c r="M32" s="20"/>
      <c r="N32" s="20"/>
    </row>
    <row r="33" spans="1:14" x14ac:dyDescent="0.25">
      <c r="A33" s="20"/>
      <c r="B33" s="705" t="s">
        <v>330</v>
      </c>
      <c r="C33" s="706" t="s">
        <v>273</v>
      </c>
      <c r="D33" s="815">
        <v>-9750</v>
      </c>
      <c r="E33" s="815">
        <v>-8900</v>
      </c>
      <c r="F33" s="880">
        <f t="shared" si="1"/>
        <v>-9.5505617977528087E-2</v>
      </c>
      <c r="G33" s="763"/>
      <c r="H33" s="20"/>
      <c r="I33" s="20"/>
      <c r="J33" s="20"/>
      <c r="K33" s="20"/>
      <c r="L33" s="20"/>
      <c r="M33" s="20"/>
      <c r="N33" s="20"/>
    </row>
    <row r="34" spans="1:14" ht="15.75" thickBot="1" x14ac:dyDescent="0.3">
      <c r="A34" s="20"/>
      <c r="B34" s="754" t="s">
        <v>282</v>
      </c>
      <c r="C34" s="755" t="s">
        <v>273</v>
      </c>
      <c r="D34" s="874">
        <f>SUM(D30:D33)</f>
        <v>-26650</v>
      </c>
      <c r="E34" s="874">
        <f>SUM(E30:E33)</f>
        <v>-26260</v>
      </c>
      <c r="F34" s="881">
        <f t="shared" si="1"/>
        <v>-1.4851485148514851E-2</v>
      </c>
      <c r="G34" s="756" t="s">
        <v>331</v>
      </c>
      <c r="H34" s="20"/>
      <c r="I34" s="20"/>
      <c r="J34" s="20"/>
      <c r="K34" s="20"/>
      <c r="L34" s="20"/>
      <c r="M34" s="20"/>
      <c r="N34" s="20"/>
    </row>
    <row r="35" spans="1:14" x14ac:dyDescent="0.25">
      <c r="A35" s="20"/>
      <c r="B35" s="764" t="s">
        <v>332</v>
      </c>
      <c r="C35" s="765" t="s">
        <v>286</v>
      </c>
      <c r="D35" s="882">
        <v>975</v>
      </c>
      <c r="E35" s="882">
        <v>712</v>
      </c>
      <c r="F35" s="883">
        <f t="shared" si="1"/>
        <v>0.3693820224719101</v>
      </c>
      <c r="G35" s="766" t="s">
        <v>333</v>
      </c>
      <c r="H35" s="20"/>
      <c r="I35" s="20"/>
      <c r="J35" s="20"/>
      <c r="K35" s="20"/>
      <c r="L35" s="20"/>
      <c r="M35" s="20"/>
      <c r="N35" s="20"/>
    </row>
    <row r="36" spans="1:14" x14ac:dyDescent="0.25">
      <c r="A36" s="20"/>
      <c r="B36" s="688" t="s">
        <v>334</v>
      </c>
      <c r="C36" s="689" t="s">
        <v>293</v>
      </c>
      <c r="D36" s="811">
        <v>-4290</v>
      </c>
      <c r="E36" s="811">
        <v>-4450</v>
      </c>
      <c r="F36" s="879">
        <f t="shared" si="1"/>
        <v>3.5955056179775284E-2</v>
      </c>
      <c r="G36" s="744" t="s">
        <v>333</v>
      </c>
      <c r="H36" s="20"/>
      <c r="I36" s="20"/>
      <c r="J36" s="20"/>
      <c r="K36" s="20"/>
      <c r="L36" s="20"/>
      <c r="M36" s="20"/>
      <c r="N36" s="20"/>
    </row>
    <row r="37" spans="1:14" x14ac:dyDescent="0.25">
      <c r="A37" s="20"/>
      <c r="B37" s="748" t="s">
        <v>335</v>
      </c>
      <c r="C37" s="749" t="s">
        <v>299</v>
      </c>
      <c r="D37" s="873">
        <v>-5250</v>
      </c>
      <c r="E37" s="873">
        <v>-4450</v>
      </c>
      <c r="F37" s="884">
        <f t="shared" si="1"/>
        <v>-0.1797752808988764</v>
      </c>
      <c r="G37" s="750" t="s">
        <v>209</v>
      </c>
      <c r="H37" s="20"/>
      <c r="I37" s="20"/>
      <c r="J37" s="20"/>
      <c r="K37" s="20"/>
      <c r="L37" s="20"/>
      <c r="M37" s="20"/>
      <c r="N37" s="20"/>
    </row>
    <row r="38" spans="1:14" ht="15.75" thickBot="1" x14ac:dyDescent="0.3">
      <c r="A38" s="20"/>
      <c r="B38" s="768" t="s">
        <v>336</v>
      </c>
      <c r="C38" s="769"/>
      <c r="D38" s="885">
        <f>D34+D35+D36+D37</f>
        <v>-35215</v>
      </c>
      <c r="E38" s="885">
        <f>E34+E35+E36+E37</f>
        <v>-34448</v>
      </c>
      <c r="F38" s="886">
        <f t="shared" si="1"/>
        <v>-2.2265443567115652E-2</v>
      </c>
      <c r="G38" s="770" t="s">
        <v>337</v>
      </c>
      <c r="H38" s="20"/>
      <c r="I38" s="20"/>
      <c r="J38" s="20"/>
      <c r="K38" s="20"/>
      <c r="L38" s="20"/>
      <c r="M38" s="20"/>
      <c r="N38" s="20"/>
    </row>
    <row r="39" spans="1:14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14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spans="1:14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spans="1:14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1:14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1:14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1:14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4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1:14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spans="1:14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1:14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1:14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spans="1:14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spans="1:14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1:14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14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 spans="1:14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</sheetData>
  <mergeCells count="5">
    <mergeCell ref="B2:N2"/>
    <mergeCell ref="B4:E4"/>
    <mergeCell ref="B13:G13"/>
    <mergeCell ref="B28:G28"/>
    <mergeCell ref="I13:M13"/>
  </mergeCells>
  <conditionalFormatting sqref="F16:F26">
    <cfRule type="cellIs" dxfId="33" priority="5" operator="greaterThan">
      <formula>0</formula>
    </cfRule>
    <cfRule type="cellIs" dxfId="32" priority="6" operator="lessThan">
      <formula>0</formula>
    </cfRule>
  </conditionalFormatting>
  <conditionalFormatting sqref="F30">
    <cfRule type="cellIs" dxfId="31" priority="1" operator="greaterThan">
      <formula>0</formula>
    </cfRule>
    <cfRule type="cellIs" dxfId="30" priority="2" operator="lessThan">
      <formula>0</formula>
    </cfRule>
  </conditionalFormatting>
  <conditionalFormatting sqref="F34">
    <cfRule type="cellIs" dxfId="29" priority="3" operator="greaterThan">
      <formula>0</formula>
    </cfRule>
    <cfRule type="cellIs" dxfId="28" priority="4" operator="lessThan">
      <formula>0</formula>
    </cfRule>
  </conditionalFormatting>
  <conditionalFormatting sqref="F30:F38">
    <cfRule type="cellIs" dxfId="27" priority="7" operator="lessThan">
      <formula>0</formula>
    </cfRule>
  </conditionalFormatting>
  <conditionalFormatting sqref="F30:F38">
    <cfRule type="cellIs" dxfId="26" priority="8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54C9-B4D3-4F7D-B6B5-2D5F82F56555}">
  <sheetPr>
    <tabColor rgb="FF27AE60"/>
  </sheetPr>
  <dimension ref="A1:N70"/>
  <sheetViews>
    <sheetView showGridLines="0" workbookViewId="0">
      <selection activeCell="C6" sqref="C6"/>
    </sheetView>
  </sheetViews>
  <sheetFormatPr baseColWidth="10" defaultRowHeight="15" x14ac:dyDescent="0.25"/>
  <cols>
    <col min="1" max="1" width="3.85546875" customWidth="1"/>
    <col min="2" max="2" width="43.85546875" customWidth="1"/>
    <col min="3" max="3" width="44.42578125" customWidth="1"/>
    <col min="4" max="6" width="16.140625" customWidth="1"/>
    <col min="7" max="7" width="13.28515625" customWidth="1"/>
  </cols>
  <sheetData>
    <row r="1" spans="1:14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7.25" x14ac:dyDescent="0.3">
      <c r="A2" s="20"/>
      <c r="B2" s="523" t="s">
        <v>362</v>
      </c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</row>
    <row r="3" spans="1:14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x14ac:dyDescent="0.25">
      <c r="A4" s="20"/>
      <c r="B4" s="524" t="s">
        <v>174</v>
      </c>
      <c r="C4" s="524"/>
      <c r="D4" s="524"/>
      <c r="E4" s="524"/>
      <c r="F4" s="20"/>
      <c r="G4" s="20"/>
      <c r="H4" s="20"/>
      <c r="I4" s="20"/>
      <c r="J4" s="20"/>
      <c r="K4" s="20"/>
      <c r="L4" s="20"/>
      <c r="M4" s="20"/>
      <c r="N4" s="20"/>
    </row>
    <row r="5" spans="1:14" x14ac:dyDescent="0.25">
      <c r="A5" s="20"/>
      <c r="B5" s="21" t="s">
        <v>175</v>
      </c>
      <c r="C5" s="21" t="s">
        <v>37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x14ac:dyDescent="0.25">
      <c r="A6" s="20"/>
      <c r="B6" s="21" t="s">
        <v>177</v>
      </c>
      <c r="C6" s="21" t="s">
        <v>363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20"/>
      <c r="B7" s="21" t="s">
        <v>179</v>
      </c>
      <c r="C7" s="37">
        <v>0.6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x14ac:dyDescent="0.25">
      <c r="A8" s="20"/>
      <c r="B8" s="21" t="s">
        <v>181</v>
      </c>
      <c r="C8" s="21" t="s">
        <v>80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x14ac:dyDescent="0.25">
      <c r="A9" s="20"/>
      <c r="B9" s="21" t="s">
        <v>182</v>
      </c>
      <c r="C9" s="21" t="s">
        <v>364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25">
      <c r="A10" s="20"/>
      <c r="B10" s="21" t="s">
        <v>184</v>
      </c>
      <c r="C10" s="21" t="s">
        <v>365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x14ac:dyDescent="0.25">
      <c r="A11" s="20"/>
      <c r="B11" s="21" t="s">
        <v>311</v>
      </c>
      <c r="C11" s="21" t="s">
        <v>87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5.75" x14ac:dyDescent="0.25">
      <c r="A13" s="20"/>
      <c r="B13" s="521" t="s">
        <v>366</v>
      </c>
      <c r="C13" s="521"/>
      <c r="D13" s="521"/>
      <c r="E13" s="521"/>
      <c r="F13" s="521"/>
      <c r="G13" s="521"/>
      <c r="H13" s="20"/>
      <c r="I13" s="526" t="s">
        <v>338</v>
      </c>
      <c r="J13" s="526"/>
      <c r="K13" s="526"/>
      <c r="L13" s="526"/>
      <c r="M13" s="526"/>
      <c r="N13" s="20"/>
    </row>
    <row r="14" spans="1:14" x14ac:dyDescent="0.25">
      <c r="A14" s="20"/>
      <c r="B14" s="681" t="s">
        <v>188</v>
      </c>
      <c r="C14" s="682" t="s">
        <v>189</v>
      </c>
      <c r="D14" s="682" t="s">
        <v>313</v>
      </c>
      <c r="E14" s="682" t="s">
        <v>314</v>
      </c>
      <c r="F14" s="682" t="s">
        <v>315</v>
      </c>
      <c r="G14" s="684" t="s">
        <v>193</v>
      </c>
      <c r="H14" s="20"/>
      <c r="I14" s="14" t="s">
        <v>326</v>
      </c>
      <c r="J14" s="14" t="s">
        <v>339</v>
      </c>
      <c r="K14" s="14" t="s">
        <v>340</v>
      </c>
      <c r="L14" s="14" t="s">
        <v>341</v>
      </c>
      <c r="M14" s="14" t="s">
        <v>73</v>
      </c>
      <c r="N14" s="20"/>
    </row>
    <row r="15" spans="1:14" x14ac:dyDescent="0.25">
      <c r="A15" s="20"/>
      <c r="B15" s="738" t="s">
        <v>194</v>
      </c>
      <c r="C15" s="739"/>
      <c r="D15" s="739"/>
      <c r="E15" s="739"/>
      <c r="F15" s="739"/>
      <c r="G15" s="740"/>
      <c r="H15" s="20"/>
      <c r="I15" s="38" t="s">
        <v>342</v>
      </c>
      <c r="J15" s="38" t="s">
        <v>343</v>
      </c>
      <c r="K15" s="38">
        <v>1</v>
      </c>
      <c r="L15" s="38">
        <v>0.67800000000000005</v>
      </c>
      <c r="M15" s="38" t="s">
        <v>344</v>
      </c>
      <c r="N15" s="20"/>
    </row>
    <row r="16" spans="1:14" x14ac:dyDescent="0.25">
      <c r="A16" s="20"/>
      <c r="B16" s="741" t="s">
        <v>316</v>
      </c>
      <c r="C16" s="742" t="s">
        <v>196</v>
      </c>
      <c r="D16" s="872">
        <v>28000</v>
      </c>
      <c r="E16" s="872">
        <v>26000</v>
      </c>
      <c r="F16" s="872">
        <f>D16-E16</f>
        <v>2000</v>
      </c>
      <c r="G16" s="743"/>
      <c r="H16" s="20"/>
      <c r="I16" s="38" t="s">
        <v>345</v>
      </c>
      <c r="J16" s="38" t="s">
        <v>75</v>
      </c>
      <c r="K16" s="38">
        <v>1</v>
      </c>
      <c r="L16" s="38">
        <v>0.68200000000000005</v>
      </c>
      <c r="M16" s="38" t="s">
        <v>346</v>
      </c>
      <c r="N16" s="20"/>
    </row>
    <row r="17" spans="1:14" x14ac:dyDescent="0.25">
      <c r="A17" s="20"/>
      <c r="B17" s="688" t="s">
        <v>198</v>
      </c>
      <c r="C17" s="689" t="s">
        <v>199</v>
      </c>
      <c r="D17" s="811">
        <v>42000</v>
      </c>
      <c r="E17" s="811">
        <v>40000</v>
      </c>
      <c r="F17" s="811">
        <f>D17-E17</f>
        <v>2000</v>
      </c>
      <c r="G17" s="744"/>
      <c r="H17" s="20"/>
      <c r="I17" s="38" t="s">
        <v>347</v>
      </c>
      <c r="J17" s="38" t="s">
        <v>348</v>
      </c>
      <c r="K17" s="38">
        <v>1</v>
      </c>
      <c r="L17" s="38">
        <v>1</v>
      </c>
      <c r="M17" s="38" t="s">
        <v>346</v>
      </c>
      <c r="N17" s="20"/>
    </row>
    <row r="18" spans="1:14" x14ac:dyDescent="0.25">
      <c r="A18" s="20"/>
      <c r="B18" s="748" t="s">
        <v>317</v>
      </c>
      <c r="C18" s="749" t="s">
        <v>208</v>
      </c>
      <c r="D18" s="873">
        <v>5200</v>
      </c>
      <c r="E18" s="873">
        <v>4800</v>
      </c>
      <c r="F18" s="873">
        <f>D18-E18</f>
        <v>400</v>
      </c>
      <c r="G18" s="750"/>
      <c r="H18" s="20"/>
      <c r="I18" s="39" t="s">
        <v>349</v>
      </c>
      <c r="J18" s="39" t="s">
        <v>350</v>
      </c>
      <c r="K18" s="39"/>
      <c r="L18" s="39"/>
      <c r="M18" s="39" t="s">
        <v>351</v>
      </c>
      <c r="N18" s="20"/>
    </row>
    <row r="19" spans="1:14" ht="15.75" thickBot="1" x14ac:dyDescent="0.3">
      <c r="A19" s="20"/>
      <c r="B19" s="754" t="s">
        <v>212</v>
      </c>
      <c r="C19" s="755"/>
      <c r="D19" s="874">
        <f>SUM(D16:D18)</f>
        <v>75200</v>
      </c>
      <c r="E19" s="874">
        <f>SUM(E16:E18)</f>
        <v>70800</v>
      </c>
      <c r="F19" s="874">
        <f>D19-E19</f>
        <v>4400</v>
      </c>
      <c r="G19" s="756"/>
      <c r="H19" s="20"/>
      <c r="I19" s="20"/>
      <c r="J19" s="20"/>
      <c r="K19" s="20"/>
      <c r="L19" s="20"/>
      <c r="M19" s="20"/>
      <c r="N19" s="20"/>
    </row>
    <row r="20" spans="1:14" x14ac:dyDescent="0.25">
      <c r="A20" s="20"/>
      <c r="B20" s="751" t="s">
        <v>213</v>
      </c>
      <c r="C20" s="752"/>
      <c r="D20" s="875"/>
      <c r="E20" s="875"/>
      <c r="F20" s="875"/>
      <c r="G20" s="753"/>
      <c r="H20" s="20"/>
      <c r="I20" s="20"/>
      <c r="J20" s="20"/>
      <c r="K20" s="20"/>
      <c r="L20" s="20"/>
      <c r="M20" s="20"/>
      <c r="N20" s="20"/>
    </row>
    <row r="21" spans="1:14" x14ac:dyDescent="0.25">
      <c r="A21" s="20"/>
      <c r="B21" s="741" t="s">
        <v>318</v>
      </c>
      <c r="C21" s="742" t="s">
        <v>319</v>
      </c>
      <c r="D21" s="872">
        <v>5000</v>
      </c>
      <c r="E21" s="872">
        <v>4500</v>
      </c>
      <c r="F21" s="872">
        <f t="shared" ref="F21:F26" si="0">D21-E21</f>
        <v>500</v>
      </c>
      <c r="G21" s="743"/>
      <c r="H21" s="20"/>
      <c r="I21" s="20"/>
      <c r="J21" s="20"/>
      <c r="K21" s="20"/>
      <c r="L21" s="20"/>
      <c r="M21" s="20"/>
      <c r="N21" s="20"/>
    </row>
    <row r="22" spans="1:14" x14ac:dyDescent="0.25">
      <c r="A22" s="20"/>
      <c r="B22" s="688" t="s">
        <v>320</v>
      </c>
      <c r="C22" s="689" t="s">
        <v>218</v>
      </c>
      <c r="D22" s="811">
        <v>21000</v>
      </c>
      <c r="E22" s="811">
        <v>18500</v>
      </c>
      <c r="F22" s="811">
        <f t="shared" si="0"/>
        <v>2500</v>
      </c>
      <c r="G22" s="744"/>
      <c r="H22" s="20"/>
      <c r="I22" s="20"/>
      <c r="J22" s="20"/>
      <c r="K22" s="20"/>
      <c r="L22" s="20"/>
      <c r="M22" s="20"/>
      <c r="N22" s="20"/>
    </row>
    <row r="23" spans="1:14" x14ac:dyDescent="0.25">
      <c r="A23" s="20"/>
      <c r="B23" s="698" t="s">
        <v>321</v>
      </c>
      <c r="C23" s="745" t="s">
        <v>221</v>
      </c>
      <c r="D23" s="839">
        <v>9200</v>
      </c>
      <c r="E23" s="839">
        <v>7800</v>
      </c>
      <c r="F23" s="839">
        <f t="shared" si="0"/>
        <v>1400</v>
      </c>
      <c r="G23" s="746" t="s">
        <v>222</v>
      </c>
      <c r="H23" s="20"/>
      <c r="I23" s="20"/>
      <c r="J23" s="20"/>
      <c r="K23" s="20"/>
      <c r="L23" s="20"/>
      <c r="M23" s="20"/>
      <c r="N23" s="20"/>
    </row>
    <row r="24" spans="1:14" x14ac:dyDescent="0.25">
      <c r="A24" s="20"/>
      <c r="B24" s="748" t="s">
        <v>322</v>
      </c>
      <c r="C24" s="749" t="s">
        <v>323</v>
      </c>
      <c r="D24" s="873">
        <v>28000</v>
      </c>
      <c r="E24" s="873">
        <v>24000</v>
      </c>
      <c r="F24" s="873">
        <f t="shared" si="0"/>
        <v>4000</v>
      </c>
      <c r="G24" s="750"/>
      <c r="H24" s="20"/>
      <c r="I24" s="20"/>
      <c r="J24" s="20"/>
      <c r="K24" s="20"/>
      <c r="L24" s="20"/>
      <c r="M24" s="20"/>
      <c r="N24" s="20"/>
    </row>
    <row r="25" spans="1:14" ht="15.75" thickBot="1" x14ac:dyDescent="0.3">
      <c r="A25" s="20"/>
      <c r="B25" s="757" t="s">
        <v>228</v>
      </c>
      <c r="C25" s="758"/>
      <c r="D25" s="876">
        <f>SUM(D21:D24)</f>
        <v>63200</v>
      </c>
      <c r="E25" s="876">
        <f>SUM(E21:E24)</f>
        <v>54800</v>
      </c>
      <c r="F25" s="876">
        <f t="shared" si="0"/>
        <v>8400</v>
      </c>
      <c r="G25" s="759"/>
      <c r="H25" s="20"/>
      <c r="I25" s="20"/>
      <c r="J25" s="20"/>
      <c r="K25" s="20"/>
      <c r="L25" s="20"/>
      <c r="M25" s="20"/>
      <c r="N25" s="20"/>
    </row>
    <row r="26" spans="1:14" ht="15.75" thickBot="1" x14ac:dyDescent="0.3">
      <c r="A26" s="20"/>
      <c r="B26" s="760" t="s">
        <v>229</v>
      </c>
      <c r="C26" s="761"/>
      <c r="D26" s="877">
        <f>D19+D25</f>
        <v>138400</v>
      </c>
      <c r="E26" s="877">
        <f>E19+E25</f>
        <v>125600</v>
      </c>
      <c r="F26" s="877">
        <f t="shared" si="0"/>
        <v>12800</v>
      </c>
      <c r="G26" s="762" t="s">
        <v>324</v>
      </c>
      <c r="H26" s="20"/>
      <c r="I26" s="20"/>
      <c r="J26" s="20"/>
      <c r="K26" s="20"/>
      <c r="L26" s="20"/>
      <c r="M26" s="20"/>
      <c r="N26" s="20"/>
    </row>
    <row r="27" spans="1:14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x14ac:dyDescent="0.25">
      <c r="A28" s="20"/>
      <c r="B28" s="525" t="s">
        <v>325</v>
      </c>
      <c r="C28" s="525"/>
      <c r="D28" s="525"/>
      <c r="E28" s="525"/>
      <c r="F28" s="525"/>
      <c r="G28" s="525"/>
      <c r="H28" s="20"/>
      <c r="I28" s="20"/>
      <c r="J28" s="20"/>
      <c r="K28" s="20"/>
      <c r="L28" s="20"/>
      <c r="M28" s="20"/>
      <c r="N28" s="20"/>
    </row>
    <row r="29" spans="1:14" x14ac:dyDescent="0.25">
      <c r="A29" s="20"/>
      <c r="B29" s="681" t="s">
        <v>326</v>
      </c>
      <c r="C29" s="682" t="s">
        <v>327</v>
      </c>
      <c r="D29" s="682" t="s">
        <v>313</v>
      </c>
      <c r="E29" s="682" t="s">
        <v>314</v>
      </c>
      <c r="F29" s="682" t="s">
        <v>269</v>
      </c>
      <c r="G29" s="684" t="s">
        <v>193</v>
      </c>
      <c r="H29" s="20"/>
      <c r="I29" s="20"/>
      <c r="J29" s="20"/>
      <c r="K29" s="20"/>
      <c r="L29" s="20"/>
      <c r="M29" s="20"/>
      <c r="N29" s="20"/>
    </row>
    <row r="30" spans="1:14" x14ac:dyDescent="0.25">
      <c r="A30" s="20"/>
      <c r="B30" s="741" t="s">
        <v>328</v>
      </c>
      <c r="C30" s="742" t="s">
        <v>273</v>
      </c>
      <c r="D30" s="872">
        <v>88000</v>
      </c>
      <c r="E30" s="872">
        <v>79000</v>
      </c>
      <c r="F30" s="878">
        <f t="shared" ref="F30:F38" si="1">IFERROR((D30-E30)/ABS(E30),"")</f>
        <v>0.11392405063291139</v>
      </c>
      <c r="G30" s="743" t="s">
        <v>274</v>
      </c>
      <c r="H30" s="20"/>
      <c r="I30" s="20"/>
      <c r="J30" s="20"/>
      <c r="K30" s="20"/>
      <c r="L30" s="20"/>
      <c r="M30" s="20"/>
      <c r="N30" s="20"/>
    </row>
    <row r="31" spans="1:14" x14ac:dyDescent="0.25">
      <c r="A31" s="20"/>
      <c r="B31" s="688" t="s">
        <v>329</v>
      </c>
      <c r="C31" s="689" t="s">
        <v>273</v>
      </c>
      <c r="D31" s="811">
        <v>-70600</v>
      </c>
      <c r="E31" s="811">
        <v>-64900</v>
      </c>
      <c r="F31" s="879">
        <f t="shared" si="1"/>
        <v>-8.7827426810477657E-2</v>
      </c>
      <c r="G31" s="744"/>
      <c r="H31" s="20"/>
      <c r="I31" s="20"/>
      <c r="J31" s="20"/>
      <c r="K31" s="20"/>
      <c r="L31" s="20"/>
      <c r="M31" s="20"/>
      <c r="N31" s="20"/>
    </row>
    <row r="32" spans="1:14" x14ac:dyDescent="0.25">
      <c r="A32" s="20"/>
      <c r="B32" s="741" t="s">
        <v>278</v>
      </c>
      <c r="C32" s="742" t="s">
        <v>273</v>
      </c>
      <c r="D32" s="872">
        <v>-19360</v>
      </c>
      <c r="E32" s="872">
        <v>-17380</v>
      </c>
      <c r="F32" s="878">
        <f t="shared" si="1"/>
        <v>-0.11392405063291139</v>
      </c>
      <c r="G32" s="743"/>
      <c r="H32" s="20"/>
      <c r="I32" s="20"/>
      <c r="J32" s="20"/>
      <c r="K32" s="20"/>
      <c r="L32" s="20"/>
      <c r="M32" s="20"/>
      <c r="N32" s="20"/>
    </row>
    <row r="33" spans="1:14" x14ac:dyDescent="0.25">
      <c r="A33" s="20"/>
      <c r="B33" s="705" t="s">
        <v>330</v>
      </c>
      <c r="C33" s="706" t="s">
        <v>273</v>
      </c>
      <c r="D33" s="815">
        <v>-4400</v>
      </c>
      <c r="E33" s="815">
        <v>-3950</v>
      </c>
      <c r="F33" s="880">
        <f t="shared" si="1"/>
        <v>-0.11392405063291139</v>
      </c>
      <c r="G33" s="763"/>
      <c r="H33" s="20"/>
      <c r="I33" s="20"/>
      <c r="J33" s="20"/>
      <c r="K33" s="20"/>
      <c r="L33" s="20"/>
      <c r="M33" s="20"/>
      <c r="N33" s="20"/>
    </row>
    <row r="34" spans="1:14" ht="15.75" thickBot="1" x14ac:dyDescent="0.3">
      <c r="A34" s="20"/>
      <c r="B34" s="754" t="s">
        <v>282</v>
      </c>
      <c r="C34" s="755" t="s">
        <v>273</v>
      </c>
      <c r="D34" s="874">
        <f>SUM(D30:D33)</f>
        <v>-6360</v>
      </c>
      <c r="E34" s="874">
        <f>SUM(E30:E33)</f>
        <v>-7230</v>
      </c>
      <c r="F34" s="881">
        <f t="shared" si="1"/>
        <v>0.12033195020746888</v>
      </c>
      <c r="G34" s="756" t="s">
        <v>331</v>
      </c>
      <c r="H34" s="20"/>
      <c r="I34" s="20"/>
      <c r="J34" s="20"/>
      <c r="K34" s="20"/>
      <c r="L34" s="20"/>
      <c r="M34" s="20"/>
      <c r="N34" s="20"/>
    </row>
    <row r="35" spans="1:14" x14ac:dyDescent="0.25">
      <c r="A35" s="20"/>
      <c r="B35" s="764" t="s">
        <v>332</v>
      </c>
      <c r="C35" s="765" t="s">
        <v>286</v>
      </c>
      <c r="D35" s="882">
        <v>440</v>
      </c>
      <c r="E35" s="882">
        <v>316</v>
      </c>
      <c r="F35" s="883">
        <f t="shared" si="1"/>
        <v>0.39240506329113922</v>
      </c>
      <c r="G35" s="766" t="s">
        <v>333</v>
      </c>
      <c r="H35" s="20"/>
      <c r="I35" s="20"/>
      <c r="J35" s="20"/>
      <c r="K35" s="20"/>
      <c r="L35" s="20"/>
      <c r="M35" s="20"/>
      <c r="N35" s="20"/>
    </row>
    <row r="36" spans="1:14" x14ac:dyDescent="0.25">
      <c r="A36" s="20"/>
      <c r="B36" s="688" t="s">
        <v>334</v>
      </c>
      <c r="C36" s="689" t="s">
        <v>293</v>
      </c>
      <c r="D36" s="811">
        <v>-1936</v>
      </c>
      <c r="E36" s="811">
        <v>-1975</v>
      </c>
      <c r="F36" s="879">
        <f t="shared" si="1"/>
        <v>1.9746835443037975E-2</v>
      </c>
      <c r="G36" s="744" t="s">
        <v>333</v>
      </c>
      <c r="H36" s="20"/>
      <c r="I36" s="20"/>
      <c r="J36" s="20"/>
      <c r="K36" s="20"/>
      <c r="L36" s="20"/>
      <c r="M36" s="20"/>
      <c r="N36" s="20"/>
    </row>
    <row r="37" spans="1:14" x14ac:dyDescent="0.25">
      <c r="A37" s="20"/>
      <c r="B37" s="748" t="s">
        <v>335</v>
      </c>
      <c r="C37" s="749" t="s">
        <v>299</v>
      </c>
      <c r="D37" s="873">
        <v>-3100</v>
      </c>
      <c r="E37" s="873">
        <v>-2525</v>
      </c>
      <c r="F37" s="884">
        <f t="shared" si="1"/>
        <v>-0.22772277227722773</v>
      </c>
      <c r="G37" s="750" t="s">
        <v>209</v>
      </c>
      <c r="H37" s="20"/>
      <c r="I37" s="20"/>
      <c r="J37" s="20"/>
      <c r="K37" s="20"/>
      <c r="L37" s="20"/>
      <c r="M37" s="20"/>
      <c r="N37" s="20"/>
    </row>
    <row r="38" spans="1:14" ht="15.75" thickBot="1" x14ac:dyDescent="0.3">
      <c r="A38" s="20"/>
      <c r="B38" s="768" t="s">
        <v>336</v>
      </c>
      <c r="C38" s="769"/>
      <c r="D38" s="885">
        <f>D34+D35+D36+D37</f>
        <v>-10956</v>
      </c>
      <c r="E38" s="885">
        <f>E34+E35+E36+E37</f>
        <v>-11414</v>
      </c>
      <c r="F38" s="886">
        <f t="shared" si="1"/>
        <v>4.0126160855090243E-2</v>
      </c>
      <c r="G38" s="770" t="s">
        <v>337</v>
      </c>
      <c r="H38" s="20"/>
      <c r="I38" s="20"/>
      <c r="J38" s="20"/>
      <c r="K38" s="20"/>
      <c r="L38" s="20"/>
      <c r="M38" s="20"/>
      <c r="N38" s="20"/>
    </row>
    <row r="39" spans="1:14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14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spans="1:14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spans="1:14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1:14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1:14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1:14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4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1:14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spans="1:14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1:14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1:14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spans="1:14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spans="1:14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1:14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14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 spans="1:14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</sheetData>
  <mergeCells count="5">
    <mergeCell ref="B2:N2"/>
    <mergeCell ref="B4:E4"/>
    <mergeCell ref="B13:G13"/>
    <mergeCell ref="B28:G28"/>
    <mergeCell ref="I13:M13"/>
  </mergeCells>
  <conditionalFormatting sqref="F16:F26">
    <cfRule type="cellIs" dxfId="25" priority="5" operator="greaterThan">
      <formula>0</formula>
    </cfRule>
    <cfRule type="cellIs" dxfId="24" priority="6" operator="lessThan">
      <formula>0</formula>
    </cfRule>
  </conditionalFormatting>
  <conditionalFormatting sqref="F30">
    <cfRule type="cellIs" dxfId="23" priority="1" operator="greaterThan">
      <formula>0</formula>
    </cfRule>
    <cfRule type="cellIs" dxfId="22" priority="2" operator="lessThan">
      <formula>0</formula>
    </cfRule>
  </conditionalFormatting>
  <conditionalFormatting sqref="F34">
    <cfRule type="cellIs" dxfId="21" priority="3" operator="greaterThan">
      <formula>0</formula>
    </cfRule>
    <cfRule type="cellIs" dxfId="20" priority="4" operator="lessThan">
      <formula>0</formula>
    </cfRule>
  </conditionalFormatting>
  <conditionalFormatting sqref="F30:F38">
    <cfRule type="cellIs" dxfId="19" priority="7" operator="lessThan">
      <formula>0</formula>
    </cfRule>
  </conditionalFormatting>
  <conditionalFormatting sqref="F30:F38">
    <cfRule type="cellIs" dxfId="18" priority="8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E2E0-AFB0-4E74-8C60-673BE768C883}">
  <sheetPr>
    <tabColor rgb="FF2980B9"/>
  </sheetPr>
  <dimension ref="A1:Q60"/>
  <sheetViews>
    <sheetView topLeftCell="A16" workbookViewId="0">
      <selection activeCell="B29" sqref="B29:L29"/>
    </sheetView>
  </sheetViews>
  <sheetFormatPr baseColWidth="10" defaultRowHeight="15" x14ac:dyDescent="0.25"/>
  <cols>
    <col min="1" max="1" width="13.7109375" customWidth="1"/>
    <col min="2" max="2" width="36.5703125" customWidth="1"/>
    <col min="3" max="5" width="22.85546875" customWidth="1"/>
    <col min="6" max="6" width="20.5703125" customWidth="1"/>
    <col min="7" max="7" width="18.28515625" customWidth="1"/>
    <col min="8" max="8" width="20.5703125" customWidth="1"/>
    <col min="9" max="9" width="18.28515625" customWidth="1"/>
    <col min="10" max="10" width="22.85546875" customWidth="1"/>
    <col min="11" max="12" width="18.28515625" customWidth="1"/>
  </cols>
  <sheetData>
    <row r="1" spans="1:17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 x14ac:dyDescent="0.3">
      <c r="A2" s="16"/>
      <c r="B2" s="527" t="s">
        <v>367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16"/>
    </row>
    <row r="3" spans="1:17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15.75" x14ac:dyDescent="0.25">
      <c r="A4" s="16"/>
      <c r="B4" s="528" t="s">
        <v>368</v>
      </c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16"/>
      <c r="N4" s="16"/>
      <c r="O4" s="16"/>
      <c r="P4" s="16"/>
      <c r="Q4" s="16"/>
    </row>
    <row r="5" spans="1:17" x14ac:dyDescent="0.25">
      <c r="A5" s="16"/>
      <c r="B5" s="14" t="s">
        <v>369</v>
      </c>
      <c r="C5" s="14" t="s">
        <v>370</v>
      </c>
      <c r="D5" s="14" t="s">
        <v>371</v>
      </c>
      <c r="E5" s="14" t="s">
        <v>372</v>
      </c>
      <c r="F5" s="14" t="s">
        <v>373</v>
      </c>
      <c r="G5" s="14" t="s">
        <v>374</v>
      </c>
      <c r="H5" s="14" t="s">
        <v>72</v>
      </c>
      <c r="I5" s="14" t="s">
        <v>375</v>
      </c>
      <c r="J5" s="14" t="s">
        <v>376</v>
      </c>
      <c r="K5" s="14" t="s">
        <v>377</v>
      </c>
      <c r="L5" s="14" t="s">
        <v>378</v>
      </c>
      <c r="M5" s="16"/>
      <c r="N5" s="16"/>
      <c r="O5" s="16"/>
      <c r="P5" s="16"/>
      <c r="Q5" s="16"/>
    </row>
    <row r="6" spans="1:17" x14ac:dyDescent="0.25">
      <c r="A6" s="16"/>
      <c r="B6" s="41" t="s">
        <v>379</v>
      </c>
      <c r="C6" s="41" t="s">
        <v>26</v>
      </c>
      <c r="D6" s="41" t="s">
        <v>31</v>
      </c>
      <c r="E6" s="41" t="s">
        <v>380</v>
      </c>
      <c r="F6" s="41" t="s">
        <v>381</v>
      </c>
      <c r="G6" s="41">
        <v>18500</v>
      </c>
      <c r="H6" s="41" t="s">
        <v>77</v>
      </c>
      <c r="I6" s="41">
        <v>1</v>
      </c>
      <c r="J6" s="41">
        <v>18500</v>
      </c>
      <c r="K6" s="41" t="s">
        <v>382</v>
      </c>
      <c r="L6" s="41" t="s">
        <v>383</v>
      </c>
      <c r="M6" s="16"/>
      <c r="N6" s="16"/>
      <c r="O6" s="16"/>
      <c r="P6" s="16"/>
      <c r="Q6" s="16"/>
    </row>
    <row r="7" spans="1:17" x14ac:dyDescent="0.25">
      <c r="A7" s="16"/>
      <c r="B7" s="21" t="s">
        <v>379</v>
      </c>
      <c r="C7" s="21" t="s">
        <v>26</v>
      </c>
      <c r="D7" s="21" t="s">
        <v>33</v>
      </c>
      <c r="E7" s="21" t="s">
        <v>380</v>
      </c>
      <c r="F7" s="21" t="s">
        <v>381</v>
      </c>
      <c r="G7" s="21">
        <v>12400</v>
      </c>
      <c r="H7" s="21" t="s">
        <v>82</v>
      </c>
      <c r="I7" s="21">
        <v>1.165</v>
      </c>
      <c r="J7" s="21">
        <v>14446</v>
      </c>
      <c r="K7" s="21" t="s">
        <v>384</v>
      </c>
      <c r="L7" s="21" t="s">
        <v>383</v>
      </c>
      <c r="M7" s="16"/>
      <c r="N7" s="16"/>
      <c r="O7" s="16"/>
      <c r="P7" s="16"/>
      <c r="Q7" s="16"/>
    </row>
    <row r="8" spans="1:17" x14ac:dyDescent="0.25">
      <c r="A8" s="16"/>
      <c r="B8" s="41" t="s">
        <v>385</v>
      </c>
      <c r="C8" s="41" t="s">
        <v>26</v>
      </c>
      <c r="D8" s="41" t="s">
        <v>35</v>
      </c>
      <c r="E8" s="41" t="s">
        <v>380</v>
      </c>
      <c r="F8" s="41" t="s">
        <v>381</v>
      </c>
      <c r="G8" s="41">
        <v>8500</v>
      </c>
      <c r="H8" s="41" t="s">
        <v>84</v>
      </c>
      <c r="I8" s="41">
        <v>0.91800000000000004</v>
      </c>
      <c r="J8" s="41">
        <v>7803</v>
      </c>
      <c r="K8" s="41" t="s">
        <v>386</v>
      </c>
      <c r="L8" s="41" t="s">
        <v>383</v>
      </c>
      <c r="M8" s="16"/>
      <c r="N8" s="16"/>
      <c r="O8" s="16"/>
      <c r="P8" s="16"/>
      <c r="Q8" s="16"/>
    </row>
    <row r="9" spans="1:17" x14ac:dyDescent="0.25">
      <c r="A9" s="16"/>
      <c r="B9" s="21" t="s">
        <v>387</v>
      </c>
      <c r="C9" s="21" t="s">
        <v>26</v>
      </c>
      <c r="D9" s="21" t="s">
        <v>37</v>
      </c>
      <c r="E9" s="21" t="s">
        <v>388</v>
      </c>
      <c r="F9" s="21" t="s">
        <v>389</v>
      </c>
      <c r="G9" s="21">
        <v>5200</v>
      </c>
      <c r="H9" s="21" t="s">
        <v>86</v>
      </c>
      <c r="I9" s="21">
        <v>0.67800000000000005</v>
      </c>
      <c r="J9" s="21">
        <v>3526</v>
      </c>
      <c r="K9" s="21" t="s">
        <v>390</v>
      </c>
      <c r="L9" s="21" t="s">
        <v>383</v>
      </c>
      <c r="M9" s="16"/>
      <c r="N9" s="16"/>
      <c r="O9" s="16"/>
      <c r="P9" s="16"/>
      <c r="Q9" s="16"/>
    </row>
    <row r="10" spans="1:17" x14ac:dyDescent="0.25">
      <c r="A10" s="16"/>
      <c r="B10" s="41" t="s">
        <v>391</v>
      </c>
      <c r="C10" s="41" t="s">
        <v>31</v>
      </c>
      <c r="D10" s="41" t="s">
        <v>26</v>
      </c>
      <c r="E10" s="41" t="s">
        <v>392</v>
      </c>
      <c r="F10" s="41" t="s">
        <v>393</v>
      </c>
      <c r="G10" s="41">
        <v>4200</v>
      </c>
      <c r="H10" s="41" t="s">
        <v>77</v>
      </c>
      <c r="I10" s="41">
        <v>1</v>
      </c>
      <c r="J10" s="41">
        <v>4200</v>
      </c>
      <c r="K10" s="41" t="s">
        <v>394</v>
      </c>
      <c r="L10" s="41" t="s">
        <v>383</v>
      </c>
      <c r="M10" s="16"/>
      <c r="N10" s="16"/>
      <c r="O10" s="16"/>
      <c r="P10" s="16"/>
      <c r="Q10" s="16"/>
    </row>
    <row r="11" spans="1:17" x14ac:dyDescent="0.25">
      <c r="A11" s="16"/>
      <c r="B11" s="42" t="s">
        <v>391</v>
      </c>
      <c r="C11" s="42" t="s">
        <v>33</v>
      </c>
      <c r="D11" s="42" t="s">
        <v>26</v>
      </c>
      <c r="E11" s="42" t="s">
        <v>392</v>
      </c>
      <c r="F11" s="42" t="s">
        <v>393</v>
      </c>
      <c r="G11" s="42">
        <v>2800</v>
      </c>
      <c r="H11" s="42" t="s">
        <v>82</v>
      </c>
      <c r="I11" s="42">
        <v>1.165</v>
      </c>
      <c r="J11" s="42">
        <v>3262</v>
      </c>
      <c r="K11" s="42" t="s">
        <v>395</v>
      </c>
      <c r="L11" s="42" t="s">
        <v>396</v>
      </c>
      <c r="M11" s="16"/>
      <c r="N11" s="16"/>
      <c r="O11" s="16"/>
      <c r="P11" s="16"/>
      <c r="Q11" s="16"/>
    </row>
    <row r="12" spans="1:17" x14ac:dyDescent="0.25">
      <c r="A12" s="16"/>
      <c r="B12" s="41" t="s">
        <v>397</v>
      </c>
      <c r="C12" s="41" t="s">
        <v>26</v>
      </c>
      <c r="D12" s="41" t="s">
        <v>37</v>
      </c>
      <c r="E12" s="41" t="s">
        <v>398</v>
      </c>
      <c r="F12" s="41" t="s">
        <v>399</v>
      </c>
      <c r="G12" s="41">
        <v>1500</v>
      </c>
      <c r="H12" s="41" t="s">
        <v>77</v>
      </c>
      <c r="I12" s="41">
        <v>1</v>
      </c>
      <c r="J12" s="41">
        <v>1500</v>
      </c>
      <c r="K12" s="41" t="s">
        <v>400</v>
      </c>
      <c r="L12" s="41" t="s">
        <v>383</v>
      </c>
      <c r="M12" s="16"/>
      <c r="N12" s="16"/>
      <c r="O12" s="16"/>
      <c r="P12" s="16"/>
      <c r="Q12" s="16"/>
    </row>
    <row r="13" spans="1:17" x14ac:dyDescent="0.25">
      <c r="A13" s="16"/>
      <c r="B13" s="24" t="s">
        <v>401</v>
      </c>
      <c r="C13" s="24"/>
      <c r="D13" s="24"/>
      <c r="E13" s="24"/>
      <c r="F13" s="24"/>
      <c r="G13" s="24"/>
      <c r="H13" s="24"/>
      <c r="I13" s="24"/>
      <c r="J13" s="24">
        <f>SUM(I6:I12)</f>
        <v>6.9260000000000002</v>
      </c>
      <c r="K13" s="24"/>
      <c r="L13" s="24" t="str">
        <f>COUNTA(K6:K12)&amp;" lignes"</f>
        <v>7 lignes</v>
      </c>
      <c r="M13" s="16"/>
      <c r="N13" s="16"/>
      <c r="O13" s="16"/>
      <c r="P13" s="16"/>
      <c r="Q13" s="16"/>
    </row>
    <row r="14" spans="1:1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ht="15.75" x14ac:dyDescent="0.25">
      <c r="A15" s="16"/>
      <c r="B15" s="528" t="s">
        <v>402</v>
      </c>
      <c r="C15" s="528"/>
      <c r="D15" s="528"/>
      <c r="E15" s="528"/>
      <c r="F15" s="528"/>
      <c r="G15" s="528"/>
      <c r="H15" s="528"/>
      <c r="I15" s="528"/>
      <c r="J15" s="528"/>
      <c r="K15" s="528"/>
      <c r="L15" s="528"/>
      <c r="M15" s="16"/>
      <c r="N15" s="16"/>
      <c r="O15" s="16"/>
      <c r="P15" s="16"/>
      <c r="Q15" s="16"/>
    </row>
    <row r="16" spans="1:17" x14ac:dyDescent="0.25">
      <c r="A16" s="16"/>
      <c r="B16" s="14" t="s">
        <v>403</v>
      </c>
      <c r="C16" s="14" t="s">
        <v>404</v>
      </c>
      <c r="D16" s="14" t="s">
        <v>405</v>
      </c>
      <c r="E16" s="14" t="s">
        <v>406</v>
      </c>
      <c r="F16" s="14" t="s">
        <v>407</v>
      </c>
      <c r="G16" s="14" t="s">
        <v>408</v>
      </c>
      <c r="H16" s="14" t="s">
        <v>409</v>
      </c>
      <c r="I16" s="14" t="s">
        <v>410</v>
      </c>
      <c r="J16" s="14" t="s">
        <v>411</v>
      </c>
      <c r="K16" s="14" t="s">
        <v>412</v>
      </c>
      <c r="L16" s="14" t="s">
        <v>378</v>
      </c>
      <c r="M16" s="16"/>
      <c r="N16" s="16"/>
      <c r="O16" s="16"/>
      <c r="P16" s="16"/>
      <c r="Q16" s="16"/>
    </row>
    <row r="17" spans="1:17" x14ac:dyDescent="0.25">
      <c r="A17" s="16"/>
      <c r="B17" s="41" t="s">
        <v>31</v>
      </c>
      <c r="C17" s="43">
        <v>1</v>
      </c>
      <c r="D17" s="41">
        <v>85000</v>
      </c>
      <c r="E17" s="41">
        <v>62000</v>
      </c>
      <c r="F17" s="41">
        <f>D17-E17</f>
        <v>23000</v>
      </c>
      <c r="G17" s="41">
        <v>3500</v>
      </c>
      <c r="H17" s="41">
        <f>F17-G17</f>
        <v>19500</v>
      </c>
      <c r="I17" s="41">
        <v>0</v>
      </c>
      <c r="J17" s="41" t="s">
        <v>413</v>
      </c>
      <c r="K17" s="44">
        <v>43472</v>
      </c>
      <c r="L17" s="41" t="s">
        <v>414</v>
      </c>
      <c r="M17" s="16"/>
      <c r="N17" s="16"/>
      <c r="O17" s="16"/>
      <c r="P17" s="16"/>
      <c r="Q17" s="16"/>
    </row>
    <row r="18" spans="1:17" x14ac:dyDescent="0.25">
      <c r="A18" s="16"/>
      <c r="B18" s="21" t="s">
        <v>33</v>
      </c>
      <c r="C18" s="37">
        <v>0.8</v>
      </c>
      <c r="D18" s="21">
        <v>72000</v>
      </c>
      <c r="E18" s="21">
        <v>48500</v>
      </c>
      <c r="F18" s="21">
        <f>D18-E18</f>
        <v>23500</v>
      </c>
      <c r="G18" s="21">
        <v>4200</v>
      </c>
      <c r="H18" s="21">
        <f>F18-G18</f>
        <v>19300</v>
      </c>
      <c r="I18" s="21">
        <v>12400</v>
      </c>
      <c r="J18" s="21" t="s">
        <v>413</v>
      </c>
      <c r="K18" s="21" t="s">
        <v>415</v>
      </c>
      <c r="L18" s="21" t="s">
        <v>414</v>
      </c>
      <c r="M18" s="16"/>
      <c r="N18" s="16"/>
      <c r="O18" s="16"/>
      <c r="P18" s="16"/>
      <c r="Q18" s="16"/>
    </row>
    <row r="19" spans="1:17" x14ac:dyDescent="0.25">
      <c r="A19" s="16"/>
      <c r="B19" s="41" t="s">
        <v>35</v>
      </c>
      <c r="C19" s="43">
        <v>0.75</v>
      </c>
      <c r="D19" s="41">
        <v>95000</v>
      </c>
      <c r="E19" s="41">
        <v>71000</v>
      </c>
      <c r="F19" s="41">
        <f>D19-E19</f>
        <v>24000</v>
      </c>
      <c r="G19" s="41">
        <v>5800</v>
      </c>
      <c r="H19" s="41">
        <f>F19-G19</f>
        <v>18200</v>
      </c>
      <c r="I19" s="41">
        <v>18200</v>
      </c>
      <c r="J19" s="41" t="s">
        <v>413</v>
      </c>
      <c r="K19" s="44">
        <v>44197</v>
      </c>
      <c r="L19" s="41" t="s">
        <v>414</v>
      </c>
      <c r="M19" s="16"/>
      <c r="N19" s="16"/>
      <c r="O19" s="16"/>
      <c r="P19" s="16"/>
      <c r="Q19" s="16"/>
    </row>
    <row r="20" spans="1:17" x14ac:dyDescent="0.25">
      <c r="A20" s="16"/>
      <c r="B20" s="21" t="s">
        <v>37</v>
      </c>
      <c r="C20" s="37">
        <v>0.6</v>
      </c>
      <c r="D20" s="21">
        <v>38000</v>
      </c>
      <c r="E20" s="21">
        <v>28500</v>
      </c>
      <c r="F20" s="21">
        <f>D20-E20</f>
        <v>9500</v>
      </c>
      <c r="G20" s="21">
        <v>1200</v>
      </c>
      <c r="H20" s="21">
        <f>F20-G20</f>
        <v>8300</v>
      </c>
      <c r="I20" s="21">
        <v>7600</v>
      </c>
      <c r="J20" s="21" t="s">
        <v>413</v>
      </c>
      <c r="K20" s="45">
        <v>44570</v>
      </c>
      <c r="L20" s="21" t="s">
        <v>414</v>
      </c>
      <c r="M20" s="16"/>
      <c r="N20" s="16"/>
      <c r="O20" s="16"/>
      <c r="P20" s="16"/>
      <c r="Q20" s="16"/>
    </row>
    <row r="21" spans="1:17" x14ac:dyDescent="0.25">
      <c r="A21" s="16"/>
      <c r="B21" s="24" t="s">
        <v>416</v>
      </c>
      <c r="C21" s="24"/>
      <c r="D21" s="24">
        <f t="shared" ref="D21:I21" si="0">SUM(D17:D20)</f>
        <v>290000</v>
      </c>
      <c r="E21" s="24">
        <f t="shared" si="0"/>
        <v>210000</v>
      </c>
      <c r="F21" s="24">
        <f t="shared" si="0"/>
        <v>80000</v>
      </c>
      <c r="G21" s="24">
        <f t="shared" si="0"/>
        <v>14700</v>
      </c>
      <c r="H21" s="24">
        <f t="shared" si="0"/>
        <v>65300</v>
      </c>
      <c r="I21" s="24">
        <f t="shared" si="0"/>
        <v>38200</v>
      </c>
      <c r="J21" s="24"/>
      <c r="K21" s="24"/>
      <c r="L21" s="24"/>
      <c r="M21" s="16"/>
      <c r="N21" s="16"/>
      <c r="O21" s="16"/>
      <c r="P21" s="16"/>
      <c r="Q21" s="16"/>
    </row>
    <row r="22" spans="1:1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ht="15.75" x14ac:dyDescent="0.25">
      <c r="A23" s="16"/>
      <c r="B23" s="528" t="s">
        <v>417</v>
      </c>
      <c r="C23" s="528"/>
      <c r="D23" s="528"/>
      <c r="E23" s="528"/>
      <c r="F23" s="528"/>
      <c r="G23" s="528"/>
      <c r="H23" s="528"/>
      <c r="I23" s="528"/>
      <c r="J23" s="528"/>
      <c r="K23" s="528"/>
      <c r="L23" s="528"/>
      <c r="M23" s="16"/>
      <c r="N23" s="16"/>
      <c r="O23" s="16"/>
      <c r="P23" s="16"/>
      <c r="Q23" s="16"/>
    </row>
    <row r="24" spans="1:17" x14ac:dyDescent="0.25">
      <c r="A24" s="16"/>
      <c r="B24" s="14" t="s">
        <v>418</v>
      </c>
      <c r="C24" s="14" t="s">
        <v>419</v>
      </c>
      <c r="D24" s="14" t="s">
        <v>420</v>
      </c>
      <c r="E24" s="14" t="s">
        <v>421</v>
      </c>
      <c r="F24" s="14" t="s">
        <v>422</v>
      </c>
      <c r="G24" s="14" t="s">
        <v>423</v>
      </c>
      <c r="H24" s="14" t="s">
        <v>424</v>
      </c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16"/>
      <c r="B25" s="41" t="s">
        <v>425</v>
      </c>
      <c r="C25" s="41" t="s">
        <v>26</v>
      </c>
      <c r="D25" s="41" t="s">
        <v>31</v>
      </c>
      <c r="E25" s="41">
        <v>14800</v>
      </c>
      <c r="F25" s="41">
        <v>18500</v>
      </c>
      <c r="G25" s="41">
        <f ca="1">G25-F25</f>
        <v>0</v>
      </c>
      <c r="H25" s="41">
        <f ca="1">H25</f>
        <v>0</v>
      </c>
      <c r="I25" s="16"/>
      <c r="J25" s="16"/>
      <c r="K25" s="16"/>
      <c r="L25" s="16"/>
      <c r="M25" s="16"/>
      <c r="N25" s="16"/>
      <c r="O25" s="16"/>
      <c r="P25" s="16"/>
      <c r="Q25" s="16"/>
    </row>
    <row r="26" spans="1:17" x14ac:dyDescent="0.25">
      <c r="A26" s="16"/>
      <c r="B26" s="21" t="s">
        <v>426</v>
      </c>
      <c r="C26" s="21" t="s">
        <v>26</v>
      </c>
      <c r="D26" s="21" t="s">
        <v>33</v>
      </c>
      <c r="E26" s="21">
        <v>9800</v>
      </c>
      <c r="F26" s="21">
        <v>12400</v>
      </c>
      <c r="G26" s="21">
        <f ca="1">G26-F26</f>
        <v>0</v>
      </c>
      <c r="H26" s="21">
        <f ca="1">H26</f>
        <v>0</v>
      </c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25">
      <c r="A27" s="16"/>
      <c r="B27" s="24" t="s">
        <v>427</v>
      </c>
      <c r="C27" s="24"/>
      <c r="D27" s="24"/>
      <c r="E27" s="24">
        <f>SUM(F25:F26)</f>
        <v>30900</v>
      </c>
      <c r="F27" s="24">
        <f ca="1">SUM(G25:G26)</f>
        <v>0</v>
      </c>
      <c r="G27" s="24">
        <f ca="1">SUM(H25:H26)</f>
        <v>0</v>
      </c>
      <c r="H27" s="24">
        <f>SUM(I25:I26)</f>
        <v>0</v>
      </c>
      <c r="I27" s="16"/>
      <c r="J27" s="16"/>
      <c r="K27" s="16"/>
      <c r="L27" s="16"/>
      <c r="M27" s="16"/>
      <c r="N27" s="16"/>
      <c r="O27" s="16"/>
      <c r="P27" s="16"/>
      <c r="Q27" s="16"/>
    </row>
    <row r="28" spans="1:17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ht="15.75" x14ac:dyDescent="0.25">
      <c r="A29" s="16"/>
      <c r="B29" s="521" t="s">
        <v>428</v>
      </c>
      <c r="C29" s="521"/>
      <c r="D29" s="521"/>
      <c r="E29" s="521"/>
      <c r="F29" s="521"/>
      <c r="G29" s="521"/>
      <c r="H29" s="521"/>
      <c r="I29" s="521"/>
      <c r="J29" s="521"/>
      <c r="K29" s="521"/>
      <c r="L29" s="521"/>
      <c r="M29" s="16"/>
      <c r="N29" s="16"/>
      <c r="O29" s="16"/>
      <c r="P29" s="16"/>
      <c r="Q29" s="16"/>
    </row>
    <row r="30" spans="1:17" x14ac:dyDescent="0.25">
      <c r="A30" s="16"/>
      <c r="B30" s="14" t="s">
        <v>326</v>
      </c>
      <c r="C30" s="14" t="s">
        <v>429</v>
      </c>
      <c r="D30" s="14" t="s">
        <v>430</v>
      </c>
      <c r="E30" s="14" t="s">
        <v>431</v>
      </c>
      <c r="F30" s="14" t="s">
        <v>378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x14ac:dyDescent="0.25">
      <c r="A31" s="16"/>
      <c r="B31" s="46" t="s">
        <v>432</v>
      </c>
      <c r="C31" s="46">
        <v>48900</v>
      </c>
      <c r="D31" s="46">
        <v>48900</v>
      </c>
      <c r="E31" s="46">
        <f>C31-D31</f>
        <v>0</v>
      </c>
      <c r="F31" s="46" t="str">
        <f>IF(E31=0,"✅ OK","⚠️ ÉCART")</f>
        <v>✅ OK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 x14ac:dyDescent="0.25">
      <c r="A32" s="16"/>
      <c r="B32" s="17" t="s">
        <v>433</v>
      </c>
      <c r="C32" s="17">
        <v>5200</v>
      </c>
      <c r="D32" s="17">
        <v>5200</v>
      </c>
      <c r="E32" s="17">
        <f>C32-D32</f>
        <v>0</v>
      </c>
      <c r="F32" s="17" t="str">
        <f>IF(E32=0,"✅ OK","⚠️ ÉCART")</f>
        <v>✅ OK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25">
      <c r="A33" s="16"/>
      <c r="B33" s="46" t="s">
        <v>434</v>
      </c>
      <c r="C33" s="46">
        <v>7462</v>
      </c>
      <c r="D33" s="46">
        <v>7462</v>
      </c>
      <c r="E33" s="46">
        <f>C33-D33</f>
        <v>0</v>
      </c>
      <c r="F33" s="46" t="str">
        <f>IF(E33=0,"✅ OK","⚠️ ÉCART")</f>
        <v>✅ OK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25">
      <c r="A34" s="16"/>
      <c r="B34" s="27" t="s">
        <v>435</v>
      </c>
      <c r="C34" s="27">
        <f>SUM(C31:C33)</f>
        <v>61562</v>
      </c>
      <c r="D34" s="27">
        <f>SUM(D31:D33)</f>
        <v>61562</v>
      </c>
      <c r="E34" s="27">
        <f>C34-D34</f>
        <v>0</v>
      </c>
      <c r="F34" s="27" t="str">
        <f>IF(E34=0,"✅ ÉQUILIBRÉ","🚨 REVOIR")</f>
        <v>✅ ÉQUILIBRÉ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17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1:17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1:17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1:17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17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17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17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17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17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17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17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17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17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17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17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17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17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spans="1:17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</sheetData>
  <mergeCells count="5">
    <mergeCell ref="B2:P2"/>
    <mergeCell ref="B4:L4"/>
    <mergeCell ref="B15:L15"/>
    <mergeCell ref="B23:L23"/>
    <mergeCell ref="B29:L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F570-A4BA-488B-A147-FE11BF72DD8E}">
  <sheetPr>
    <tabColor rgb="FF2980B9"/>
  </sheetPr>
  <dimension ref="A1:S70"/>
  <sheetViews>
    <sheetView workbookViewId="0">
      <pane ySplit="4" topLeftCell="A5" activePane="bottomLeft" state="frozen"/>
      <selection pane="bottomLeft" activeCell="C6" sqref="C6"/>
    </sheetView>
  </sheetViews>
  <sheetFormatPr baseColWidth="10" defaultRowHeight="15" x14ac:dyDescent="0.25"/>
  <cols>
    <col min="1" max="1" width="3.85546875" customWidth="1"/>
    <col min="2" max="2" width="53.28515625" customWidth="1"/>
    <col min="3" max="11" width="17.140625" customWidth="1"/>
    <col min="12" max="12" width="11.42578125" customWidth="1"/>
  </cols>
  <sheetData>
    <row r="1" spans="1:19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8.75" x14ac:dyDescent="0.3">
      <c r="A2" s="16"/>
      <c r="B2" s="527" t="s">
        <v>436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16"/>
      <c r="R2" s="16"/>
      <c r="S2" s="16"/>
    </row>
    <row r="3" spans="1:19" x14ac:dyDescent="0.25">
      <c r="A3" s="16"/>
      <c r="B3" s="529" t="s">
        <v>445</v>
      </c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16"/>
      <c r="N3" s="16"/>
      <c r="O3" s="16"/>
      <c r="P3" s="16"/>
      <c r="Q3" s="16"/>
      <c r="R3" s="16"/>
      <c r="S3" s="16"/>
    </row>
    <row r="4" spans="1:19" x14ac:dyDescent="0.25">
      <c r="A4" s="16"/>
      <c r="B4" s="681" t="s">
        <v>188</v>
      </c>
      <c r="C4" s="682" t="s">
        <v>26</v>
      </c>
      <c r="D4" s="682" t="s">
        <v>437</v>
      </c>
      <c r="E4" s="682" t="s">
        <v>438</v>
      </c>
      <c r="F4" s="682" t="s">
        <v>439</v>
      </c>
      <c r="G4" s="682" t="s">
        <v>440</v>
      </c>
      <c r="H4" s="682" t="s">
        <v>441</v>
      </c>
      <c r="I4" s="682" t="s">
        <v>442</v>
      </c>
      <c r="J4" s="682" t="s">
        <v>443</v>
      </c>
      <c r="K4" s="682" t="s">
        <v>444</v>
      </c>
      <c r="L4" s="684" t="s">
        <v>269</v>
      </c>
      <c r="M4" s="16"/>
      <c r="N4" s="16"/>
      <c r="O4" s="16"/>
      <c r="P4" s="16"/>
      <c r="Q4" s="16"/>
      <c r="R4" s="16"/>
      <c r="S4" s="16"/>
    </row>
    <row r="5" spans="1:19" x14ac:dyDescent="0.25">
      <c r="A5" s="16"/>
      <c r="B5" s="695" t="s">
        <v>194</v>
      </c>
      <c r="C5" s="696"/>
      <c r="D5" s="696"/>
      <c r="E5" s="696"/>
      <c r="F5" s="696"/>
      <c r="G5" s="696"/>
      <c r="H5" s="696">
        <f t="shared" ref="H5:H11" si="0">SUM(C5:G5)</f>
        <v>0</v>
      </c>
      <c r="I5" s="696"/>
      <c r="J5" s="696">
        <f>SUM(C5:H5)</f>
        <v>0</v>
      </c>
      <c r="K5" s="696"/>
      <c r="L5" s="697"/>
      <c r="M5" s="16"/>
      <c r="N5" s="16"/>
      <c r="O5" s="16"/>
      <c r="P5" s="16"/>
      <c r="Q5" s="16"/>
      <c r="R5" s="16"/>
      <c r="S5" s="16"/>
    </row>
    <row r="6" spans="1:19" x14ac:dyDescent="0.25">
      <c r="A6" s="16"/>
      <c r="B6" s="690" t="s">
        <v>446</v>
      </c>
      <c r="C6" s="813">
        <v>61000</v>
      </c>
      <c r="D6" s="813">
        <v>20000</v>
      </c>
      <c r="E6" s="813">
        <v>40800</v>
      </c>
      <c r="F6" s="813">
        <v>16708</v>
      </c>
      <c r="G6" s="813">
        <v>5627</v>
      </c>
      <c r="H6" s="813">
        <f t="shared" si="0"/>
        <v>144135</v>
      </c>
      <c r="I6" s="813">
        <v>-85000</v>
      </c>
      <c r="J6" s="813">
        <f t="shared" ref="J6:J11" si="1">H6+I6</f>
        <v>59135</v>
      </c>
      <c r="K6" s="813">
        <v>85000</v>
      </c>
      <c r="L6" s="814">
        <f t="shared" ref="L6:L12" si="2">IFERROR((J6-K6)/ABS(K6),"")</f>
        <v>-0.30429411764705883</v>
      </c>
      <c r="M6" s="16"/>
      <c r="N6" s="16"/>
      <c r="O6" s="16"/>
      <c r="P6" s="16"/>
      <c r="Q6" s="16"/>
      <c r="R6" s="16"/>
      <c r="S6" s="16"/>
    </row>
    <row r="7" spans="1:19" x14ac:dyDescent="0.25">
      <c r="A7" s="16"/>
      <c r="B7" s="688" t="s">
        <v>447</v>
      </c>
      <c r="C7" s="811">
        <v>18000</v>
      </c>
      <c r="D7" s="811">
        <v>14500</v>
      </c>
      <c r="E7" s="811">
        <v>47765</v>
      </c>
      <c r="F7" s="811">
        <v>9180</v>
      </c>
      <c r="G7" s="811">
        <v>16817</v>
      </c>
      <c r="H7" s="811">
        <f t="shared" si="0"/>
        <v>106262</v>
      </c>
      <c r="I7" s="811">
        <v>0</v>
      </c>
      <c r="J7" s="811">
        <f t="shared" si="1"/>
        <v>106262</v>
      </c>
      <c r="K7" s="811">
        <v>97000</v>
      </c>
      <c r="L7" s="812">
        <f t="shared" si="2"/>
        <v>9.5484536082474231E-2</v>
      </c>
      <c r="M7" s="16"/>
      <c r="N7" s="16"/>
      <c r="O7" s="16"/>
      <c r="P7" s="16"/>
      <c r="Q7" s="16"/>
      <c r="R7" s="16"/>
      <c r="S7" s="16"/>
    </row>
    <row r="8" spans="1:19" x14ac:dyDescent="0.25">
      <c r="A8" s="16"/>
      <c r="B8" s="690" t="s">
        <v>448</v>
      </c>
      <c r="C8" s="813">
        <v>142000</v>
      </c>
      <c r="D8" s="813">
        <v>95000</v>
      </c>
      <c r="E8" s="813">
        <v>79220</v>
      </c>
      <c r="F8" s="813">
        <v>100980</v>
      </c>
      <c r="G8" s="813">
        <v>28476</v>
      </c>
      <c r="H8" s="813">
        <f t="shared" si="0"/>
        <v>445676</v>
      </c>
      <c r="I8" s="813">
        <v>0</v>
      </c>
      <c r="J8" s="813">
        <f t="shared" si="1"/>
        <v>445676</v>
      </c>
      <c r="K8" s="813">
        <v>418000</v>
      </c>
      <c r="L8" s="814">
        <f t="shared" si="2"/>
        <v>6.621052631578947E-2</v>
      </c>
      <c r="M8" s="16"/>
      <c r="N8" s="16"/>
      <c r="O8" s="16"/>
      <c r="P8" s="16"/>
      <c r="Q8" s="16"/>
      <c r="R8" s="16"/>
      <c r="S8" s="16"/>
    </row>
    <row r="9" spans="1:19" x14ac:dyDescent="0.25">
      <c r="A9" s="16"/>
      <c r="B9" s="688" t="s">
        <v>201</v>
      </c>
      <c r="C9" s="811">
        <v>28500</v>
      </c>
      <c r="D9" s="811">
        <v>12000</v>
      </c>
      <c r="E9" s="811">
        <v>20970</v>
      </c>
      <c r="F9" s="811">
        <v>20196</v>
      </c>
      <c r="G9" s="811">
        <v>4068</v>
      </c>
      <c r="H9" s="811">
        <f t="shared" si="0"/>
        <v>85734</v>
      </c>
      <c r="I9" s="811">
        <v>0</v>
      </c>
      <c r="J9" s="811">
        <f t="shared" si="1"/>
        <v>85734</v>
      </c>
      <c r="K9" s="811">
        <v>78000</v>
      </c>
      <c r="L9" s="812">
        <f t="shared" si="2"/>
        <v>9.9153846153846148E-2</v>
      </c>
      <c r="M9" s="16"/>
      <c r="N9" s="16"/>
      <c r="O9" s="16"/>
      <c r="P9" s="16"/>
      <c r="Q9" s="16"/>
      <c r="R9" s="16"/>
      <c r="S9" s="16"/>
    </row>
    <row r="10" spans="1:19" x14ac:dyDescent="0.25">
      <c r="A10" s="16"/>
      <c r="B10" s="690" t="s">
        <v>207</v>
      </c>
      <c r="C10" s="813">
        <v>12400</v>
      </c>
      <c r="D10" s="813">
        <v>5200</v>
      </c>
      <c r="E10" s="813">
        <v>7922</v>
      </c>
      <c r="F10" s="813">
        <v>8446</v>
      </c>
      <c r="G10" s="813">
        <v>2373</v>
      </c>
      <c r="H10" s="813">
        <f t="shared" si="0"/>
        <v>36341</v>
      </c>
      <c r="I10" s="813">
        <v>0</v>
      </c>
      <c r="J10" s="813">
        <f t="shared" si="1"/>
        <v>36341</v>
      </c>
      <c r="K10" s="813">
        <v>32000</v>
      </c>
      <c r="L10" s="814">
        <f t="shared" si="2"/>
        <v>0.13565625000000001</v>
      </c>
      <c r="M10" s="16"/>
      <c r="N10" s="16"/>
      <c r="O10" s="16"/>
      <c r="P10" s="16"/>
      <c r="Q10" s="16"/>
      <c r="R10" s="16"/>
      <c r="S10" s="16"/>
    </row>
    <row r="11" spans="1:19" x14ac:dyDescent="0.25">
      <c r="A11" s="16"/>
      <c r="B11" s="705" t="s">
        <v>210</v>
      </c>
      <c r="C11" s="815">
        <v>8500</v>
      </c>
      <c r="D11" s="815">
        <v>4800</v>
      </c>
      <c r="E11" s="815">
        <v>6058</v>
      </c>
      <c r="F11" s="815">
        <v>6885</v>
      </c>
      <c r="G11" s="815">
        <v>1898</v>
      </c>
      <c r="H11" s="815">
        <f t="shared" si="0"/>
        <v>28141</v>
      </c>
      <c r="I11" s="815">
        <v>0</v>
      </c>
      <c r="J11" s="815">
        <f t="shared" si="1"/>
        <v>28141</v>
      </c>
      <c r="K11" s="815">
        <v>25000</v>
      </c>
      <c r="L11" s="816">
        <f t="shared" si="2"/>
        <v>0.12564</v>
      </c>
      <c r="M11" s="16"/>
      <c r="N11" s="16"/>
      <c r="O11" s="16"/>
      <c r="P11" s="16"/>
      <c r="Q11" s="16"/>
      <c r="R11" s="16"/>
      <c r="S11" s="16"/>
    </row>
    <row r="12" spans="1:19" ht="15.75" thickBot="1" x14ac:dyDescent="0.3">
      <c r="A12" s="16"/>
      <c r="B12" s="709" t="s">
        <v>212</v>
      </c>
      <c r="C12" s="817">
        <f t="shared" ref="C12:J12" si="3">SUM(C6:C11)</f>
        <v>270400</v>
      </c>
      <c r="D12" s="817">
        <f t="shared" si="3"/>
        <v>151500</v>
      </c>
      <c r="E12" s="817">
        <f t="shared" si="3"/>
        <v>202735</v>
      </c>
      <c r="F12" s="817">
        <f t="shared" si="3"/>
        <v>162395</v>
      </c>
      <c r="G12" s="817">
        <f t="shared" si="3"/>
        <v>59259</v>
      </c>
      <c r="H12" s="817">
        <f t="shared" si="3"/>
        <v>846289</v>
      </c>
      <c r="I12" s="817">
        <f t="shared" si="3"/>
        <v>-85000</v>
      </c>
      <c r="J12" s="817">
        <f t="shared" si="3"/>
        <v>761289</v>
      </c>
      <c r="K12" s="817">
        <v>720000</v>
      </c>
      <c r="L12" s="818">
        <f t="shared" si="2"/>
        <v>5.7345833333333332E-2</v>
      </c>
      <c r="M12" s="16"/>
      <c r="N12" s="16"/>
      <c r="O12" s="16"/>
      <c r="P12" s="16"/>
      <c r="Q12" s="16"/>
      <c r="R12" s="16"/>
      <c r="S12" s="16"/>
    </row>
    <row r="13" spans="1:19" x14ac:dyDescent="0.25">
      <c r="A13" s="16"/>
      <c r="B13" s="724" t="s">
        <v>213</v>
      </c>
      <c r="C13" s="819"/>
      <c r="D13" s="819"/>
      <c r="E13" s="819"/>
      <c r="F13" s="819"/>
      <c r="G13" s="819"/>
      <c r="H13" s="819"/>
      <c r="I13" s="819"/>
      <c r="J13" s="819"/>
      <c r="K13" s="819"/>
      <c r="L13" s="838"/>
      <c r="M13" s="16"/>
      <c r="N13" s="16"/>
      <c r="O13" s="16"/>
      <c r="P13" s="16"/>
      <c r="Q13" s="16"/>
      <c r="R13" s="16"/>
      <c r="S13" s="16"/>
    </row>
    <row r="14" spans="1:19" x14ac:dyDescent="0.25">
      <c r="A14" s="16"/>
      <c r="B14" s="690" t="s">
        <v>214</v>
      </c>
      <c r="C14" s="813">
        <v>45200</v>
      </c>
      <c r="D14" s="813">
        <v>62000</v>
      </c>
      <c r="E14" s="813">
        <v>20970</v>
      </c>
      <c r="F14" s="813">
        <v>65178</v>
      </c>
      <c r="G14" s="813">
        <v>3390</v>
      </c>
      <c r="H14" s="813">
        <f>SUM(C14:G14)</f>
        <v>196738</v>
      </c>
      <c r="I14" s="813">
        <v>0</v>
      </c>
      <c r="J14" s="813">
        <f>H14+I14</f>
        <v>196738</v>
      </c>
      <c r="K14" s="813">
        <v>188000</v>
      </c>
      <c r="L14" s="814">
        <f t="shared" ref="L14:L20" si="4">IFERROR((J14-K14)/ABS(K14),"")</f>
        <v>4.6478723404255316E-2</v>
      </c>
      <c r="M14" s="16"/>
      <c r="N14" s="16"/>
      <c r="O14" s="16"/>
      <c r="P14" s="16"/>
      <c r="Q14" s="16"/>
      <c r="R14" s="16"/>
      <c r="S14" s="16"/>
    </row>
    <row r="15" spans="1:19" x14ac:dyDescent="0.25">
      <c r="A15" s="16"/>
      <c r="B15" s="688" t="s">
        <v>320</v>
      </c>
      <c r="C15" s="811">
        <v>67800</v>
      </c>
      <c r="D15" s="811">
        <v>38000</v>
      </c>
      <c r="E15" s="811">
        <v>60580</v>
      </c>
      <c r="F15" s="811">
        <v>40392</v>
      </c>
      <c r="G15" s="811">
        <v>14238</v>
      </c>
      <c r="H15" s="811">
        <f>SUM(C15:G15)</f>
        <v>221010</v>
      </c>
      <c r="I15" s="811">
        <v>0</v>
      </c>
      <c r="J15" s="811">
        <f>H15+I15</f>
        <v>221010</v>
      </c>
      <c r="K15" s="811">
        <v>200000</v>
      </c>
      <c r="L15" s="812">
        <f t="shared" si="4"/>
        <v>0.10505</v>
      </c>
      <c r="M15" s="16"/>
      <c r="N15" s="16"/>
      <c r="O15" s="16"/>
      <c r="P15" s="16"/>
      <c r="Q15" s="16"/>
      <c r="R15" s="16"/>
      <c r="S15" s="16"/>
    </row>
    <row r="16" spans="1:19" x14ac:dyDescent="0.25">
      <c r="A16" s="16"/>
      <c r="B16" s="698" t="s">
        <v>449</v>
      </c>
      <c r="C16" s="839">
        <v>23500</v>
      </c>
      <c r="D16" s="839">
        <v>12500</v>
      </c>
      <c r="E16" s="839">
        <v>20970</v>
      </c>
      <c r="F16" s="839">
        <v>7803</v>
      </c>
      <c r="G16" s="839">
        <v>6240</v>
      </c>
      <c r="H16" s="839">
        <f>SUM(C16:G16)</f>
        <v>71013</v>
      </c>
      <c r="I16" s="839">
        <v>-70013</v>
      </c>
      <c r="J16" s="839">
        <f>H16+I16</f>
        <v>1000</v>
      </c>
      <c r="K16" s="839">
        <v>0</v>
      </c>
      <c r="L16" s="840" t="str">
        <f t="shared" si="4"/>
        <v/>
      </c>
      <c r="M16" s="16"/>
      <c r="N16" s="16"/>
      <c r="O16" s="16"/>
      <c r="P16" s="16"/>
      <c r="Q16" s="16"/>
      <c r="R16" s="16"/>
      <c r="S16" s="16"/>
    </row>
    <row r="17" spans="1:19" x14ac:dyDescent="0.25">
      <c r="A17" s="16"/>
      <c r="B17" s="688" t="s">
        <v>450</v>
      </c>
      <c r="C17" s="811">
        <v>8900</v>
      </c>
      <c r="D17" s="811">
        <v>6200</v>
      </c>
      <c r="E17" s="811">
        <v>9282</v>
      </c>
      <c r="F17" s="811">
        <v>8262</v>
      </c>
      <c r="G17" s="811">
        <v>2712</v>
      </c>
      <c r="H17" s="811">
        <f>SUM(C17:G17)</f>
        <v>35356</v>
      </c>
      <c r="I17" s="811">
        <v>0</v>
      </c>
      <c r="J17" s="811">
        <f>H17+I17</f>
        <v>35356</v>
      </c>
      <c r="K17" s="811">
        <v>32000</v>
      </c>
      <c r="L17" s="812">
        <f t="shared" si="4"/>
        <v>0.104875</v>
      </c>
      <c r="M17" s="16"/>
      <c r="N17" s="16"/>
      <c r="O17" s="16"/>
      <c r="P17" s="16"/>
      <c r="Q17" s="16"/>
      <c r="R17" s="16"/>
      <c r="S17" s="16"/>
    </row>
    <row r="18" spans="1:19" x14ac:dyDescent="0.25">
      <c r="A18" s="16"/>
      <c r="B18" s="711" t="s">
        <v>451</v>
      </c>
      <c r="C18" s="821">
        <v>54300</v>
      </c>
      <c r="D18" s="821">
        <v>24000</v>
      </c>
      <c r="E18" s="821">
        <v>44270</v>
      </c>
      <c r="F18" s="821">
        <v>28458</v>
      </c>
      <c r="G18" s="821">
        <v>18984</v>
      </c>
      <c r="H18" s="821">
        <f>SUM(C18:G18)</f>
        <v>170012</v>
      </c>
      <c r="I18" s="821">
        <v>0</v>
      </c>
      <c r="J18" s="821">
        <f>H18+I18</f>
        <v>170012</v>
      </c>
      <c r="K18" s="821">
        <v>158000</v>
      </c>
      <c r="L18" s="822">
        <f t="shared" si="4"/>
        <v>7.6025316455696199E-2</v>
      </c>
      <c r="M18" s="16"/>
      <c r="N18" s="16"/>
      <c r="O18" s="16"/>
      <c r="P18" s="16"/>
      <c r="Q18" s="16"/>
      <c r="R18" s="16"/>
      <c r="S18" s="16"/>
    </row>
    <row r="19" spans="1:19" ht="15.75" thickBot="1" x14ac:dyDescent="0.3">
      <c r="A19" s="16"/>
      <c r="B19" s="713" t="s">
        <v>228</v>
      </c>
      <c r="C19" s="823">
        <f t="shared" ref="C19:J19" si="5">SUM(C14:C18)</f>
        <v>199700</v>
      </c>
      <c r="D19" s="823">
        <f t="shared" si="5"/>
        <v>142700</v>
      </c>
      <c r="E19" s="823">
        <f t="shared" si="5"/>
        <v>156072</v>
      </c>
      <c r="F19" s="823">
        <f t="shared" si="5"/>
        <v>150093</v>
      </c>
      <c r="G19" s="823">
        <f t="shared" si="5"/>
        <v>45564</v>
      </c>
      <c r="H19" s="823">
        <f t="shared" si="5"/>
        <v>694129</v>
      </c>
      <c r="I19" s="823">
        <f t="shared" si="5"/>
        <v>-70013</v>
      </c>
      <c r="J19" s="823">
        <f t="shared" si="5"/>
        <v>624116</v>
      </c>
      <c r="K19" s="823">
        <v>578000</v>
      </c>
      <c r="L19" s="824">
        <f t="shared" si="4"/>
        <v>7.9785467128027684E-2</v>
      </c>
      <c r="M19" s="16"/>
      <c r="N19" s="16"/>
      <c r="O19" s="16"/>
      <c r="P19" s="16"/>
      <c r="Q19" s="16"/>
      <c r="R19" s="16"/>
      <c r="S19" s="16"/>
    </row>
    <row r="20" spans="1:19" ht="15.75" thickBot="1" x14ac:dyDescent="0.3">
      <c r="A20" s="16"/>
      <c r="B20" s="726" t="s">
        <v>452</v>
      </c>
      <c r="C20" s="841">
        <f t="shared" ref="C20:J20" si="6">C12+C19</f>
        <v>470100</v>
      </c>
      <c r="D20" s="841">
        <f t="shared" si="6"/>
        <v>294200</v>
      </c>
      <c r="E20" s="841">
        <f t="shared" si="6"/>
        <v>358807</v>
      </c>
      <c r="F20" s="841">
        <f t="shared" si="6"/>
        <v>312488</v>
      </c>
      <c r="G20" s="841">
        <f t="shared" si="6"/>
        <v>104823</v>
      </c>
      <c r="H20" s="841">
        <f t="shared" si="6"/>
        <v>1540418</v>
      </c>
      <c r="I20" s="841">
        <f t="shared" si="6"/>
        <v>-155013</v>
      </c>
      <c r="J20" s="841">
        <f t="shared" si="6"/>
        <v>1385405</v>
      </c>
      <c r="K20" s="841">
        <v>1298000</v>
      </c>
      <c r="L20" s="842">
        <f t="shared" si="4"/>
        <v>6.73382126348228E-2</v>
      </c>
      <c r="M20" s="16"/>
      <c r="N20" s="16"/>
      <c r="O20" s="16"/>
      <c r="P20" s="16"/>
      <c r="Q20" s="16"/>
      <c r="R20" s="16"/>
      <c r="S20" s="16"/>
    </row>
    <row r="21" spans="1:19" x14ac:dyDescent="0.25">
      <c r="A21" s="16"/>
      <c r="B21" s="725"/>
      <c r="C21" s="843"/>
      <c r="D21" s="843"/>
      <c r="E21" s="843"/>
      <c r="F21" s="843"/>
      <c r="G21" s="843"/>
      <c r="H21" s="843"/>
      <c r="I21" s="843"/>
      <c r="J21" s="843"/>
      <c r="K21" s="843"/>
      <c r="L21" s="844"/>
      <c r="M21" s="16"/>
      <c r="N21" s="16"/>
      <c r="O21" s="16"/>
      <c r="P21" s="16"/>
      <c r="Q21" s="16"/>
      <c r="R21" s="16"/>
      <c r="S21" s="16"/>
    </row>
    <row r="22" spans="1:19" x14ac:dyDescent="0.25">
      <c r="A22" s="16"/>
      <c r="B22" s="695" t="s">
        <v>453</v>
      </c>
      <c r="C22" s="845"/>
      <c r="D22" s="845"/>
      <c r="E22" s="845"/>
      <c r="F22" s="845"/>
      <c r="G22" s="845"/>
      <c r="H22" s="845"/>
      <c r="I22" s="845"/>
      <c r="J22" s="845"/>
      <c r="K22" s="845"/>
      <c r="L22" s="846"/>
      <c r="M22" s="16"/>
      <c r="N22" s="16"/>
      <c r="O22" s="16"/>
      <c r="P22" s="16"/>
      <c r="Q22" s="16"/>
      <c r="R22" s="16"/>
      <c r="S22" s="16"/>
    </row>
    <row r="23" spans="1:19" x14ac:dyDescent="0.25">
      <c r="A23" s="16"/>
      <c r="B23" s="688" t="s">
        <v>454</v>
      </c>
      <c r="C23" s="811">
        <v>178500</v>
      </c>
      <c r="D23" s="811">
        <v>62000</v>
      </c>
      <c r="E23" s="811">
        <v>52425</v>
      </c>
      <c r="F23" s="811">
        <v>53265</v>
      </c>
      <c r="G23" s="811">
        <v>10170</v>
      </c>
      <c r="H23" s="811">
        <f>SUM(C23:G23)</f>
        <v>356360</v>
      </c>
      <c r="I23" s="811">
        <v>-265000</v>
      </c>
      <c r="J23" s="811">
        <f>H23+I23</f>
        <v>91360</v>
      </c>
      <c r="K23" s="811"/>
      <c r="L23" s="847"/>
      <c r="M23" s="16"/>
      <c r="N23" s="16"/>
      <c r="O23" s="16"/>
      <c r="P23" s="16"/>
      <c r="Q23" s="16"/>
      <c r="R23" s="16"/>
      <c r="S23" s="16"/>
    </row>
    <row r="24" spans="1:19" x14ac:dyDescent="0.25">
      <c r="A24" s="16"/>
      <c r="B24" s="690" t="s">
        <v>455</v>
      </c>
      <c r="C24" s="813">
        <v>32800</v>
      </c>
      <c r="D24" s="813">
        <v>18500</v>
      </c>
      <c r="E24" s="813">
        <v>26096</v>
      </c>
      <c r="F24" s="813">
        <v>13586</v>
      </c>
      <c r="G24" s="813">
        <v>6036</v>
      </c>
      <c r="H24" s="813">
        <f>SUM(C24:G24)</f>
        <v>97018</v>
      </c>
      <c r="I24" s="813">
        <v>0</v>
      </c>
      <c r="J24" s="813">
        <f>H24+I24</f>
        <v>97018</v>
      </c>
      <c r="K24" s="813"/>
      <c r="L24" s="848"/>
      <c r="M24" s="16"/>
      <c r="N24" s="16"/>
      <c r="O24" s="16"/>
      <c r="P24" s="16"/>
      <c r="Q24" s="16"/>
      <c r="R24" s="16"/>
      <c r="S24" s="16"/>
    </row>
    <row r="25" spans="1:19" x14ac:dyDescent="0.25">
      <c r="A25" s="16"/>
      <c r="B25" s="688" t="s">
        <v>456</v>
      </c>
      <c r="C25" s="811">
        <v>-4200</v>
      </c>
      <c r="D25" s="811">
        <v>2800</v>
      </c>
      <c r="E25" s="811">
        <v>5823</v>
      </c>
      <c r="F25" s="811">
        <v>4590</v>
      </c>
      <c r="G25" s="811">
        <v>1356</v>
      </c>
      <c r="H25" s="811">
        <f>SUM(C25:G25)</f>
        <v>10369</v>
      </c>
      <c r="I25" s="811">
        <v>0</v>
      </c>
      <c r="J25" s="811">
        <f>H25+I25</f>
        <v>10369</v>
      </c>
      <c r="K25" s="811"/>
      <c r="L25" s="847"/>
      <c r="M25" s="16"/>
      <c r="N25" s="16"/>
      <c r="O25" s="16"/>
      <c r="P25" s="16"/>
      <c r="Q25" s="16"/>
      <c r="R25" s="16"/>
      <c r="S25" s="16"/>
    </row>
    <row r="26" spans="1:19" x14ac:dyDescent="0.25">
      <c r="A26" s="16"/>
      <c r="B26" s="690" t="s">
        <v>457</v>
      </c>
      <c r="C26" s="813">
        <v>0</v>
      </c>
      <c r="D26" s="813">
        <v>0</v>
      </c>
      <c r="E26" s="813">
        <v>-3200</v>
      </c>
      <c r="F26" s="813">
        <v>-2100</v>
      </c>
      <c r="G26" s="813">
        <v>-800</v>
      </c>
      <c r="H26" s="813">
        <f>SUM(C26:G26)</f>
        <v>-6100</v>
      </c>
      <c r="I26" s="813">
        <v>0</v>
      </c>
      <c r="J26" s="849">
        <f>PQ_TAUX_CHANGE!H50</f>
        <v>0</v>
      </c>
      <c r="K26" s="813"/>
      <c r="L26" s="848"/>
      <c r="M26" s="16"/>
      <c r="N26" s="16"/>
      <c r="O26" s="16"/>
      <c r="P26" s="16"/>
      <c r="Q26" s="16"/>
      <c r="R26" s="16"/>
      <c r="S26" s="16"/>
    </row>
    <row r="27" spans="1:19" x14ac:dyDescent="0.25">
      <c r="A27" s="16"/>
      <c r="B27" s="705" t="s">
        <v>458</v>
      </c>
      <c r="C27" s="815">
        <v>18700</v>
      </c>
      <c r="D27" s="815">
        <v>0</v>
      </c>
      <c r="E27" s="815">
        <v>15856</v>
      </c>
      <c r="F27" s="815">
        <v>18812</v>
      </c>
      <c r="G27" s="815">
        <v>7564</v>
      </c>
      <c r="H27" s="815">
        <f>SUM(C27:G27)</f>
        <v>60932</v>
      </c>
      <c r="I27" s="815">
        <v>0</v>
      </c>
      <c r="J27" s="815">
        <f>H27+I27</f>
        <v>60932</v>
      </c>
      <c r="K27" s="815"/>
      <c r="L27" s="850"/>
      <c r="M27" s="16"/>
      <c r="N27" s="16"/>
      <c r="O27" s="16"/>
      <c r="P27" s="16"/>
      <c r="Q27" s="16"/>
      <c r="R27" s="16"/>
      <c r="S27" s="16"/>
    </row>
    <row r="28" spans="1:19" ht="15.75" thickBot="1" x14ac:dyDescent="0.3">
      <c r="A28" s="16"/>
      <c r="B28" s="709" t="s">
        <v>245</v>
      </c>
      <c r="C28" s="817">
        <f t="shared" ref="C28:J28" si="7">SUM(C23:C27)</f>
        <v>225800</v>
      </c>
      <c r="D28" s="817">
        <f t="shared" si="7"/>
        <v>83300</v>
      </c>
      <c r="E28" s="817">
        <f t="shared" si="7"/>
        <v>97000</v>
      </c>
      <c r="F28" s="817">
        <f t="shared" si="7"/>
        <v>88153</v>
      </c>
      <c r="G28" s="817">
        <f t="shared" si="7"/>
        <v>24326</v>
      </c>
      <c r="H28" s="817">
        <f t="shared" si="7"/>
        <v>518579</v>
      </c>
      <c r="I28" s="817">
        <f t="shared" si="7"/>
        <v>-265000</v>
      </c>
      <c r="J28" s="817">
        <f t="shared" si="7"/>
        <v>259679</v>
      </c>
      <c r="K28" s="817">
        <v>232200</v>
      </c>
      <c r="L28" s="818">
        <f>IFERROR((J28-K28)/ABS(K28),"")</f>
        <v>0.11834194659776055</v>
      </c>
      <c r="M28" s="16"/>
      <c r="N28" s="16"/>
      <c r="O28" s="16"/>
      <c r="P28" s="16"/>
      <c r="Q28" s="16"/>
      <c r="R28" s="16"/>
      <c r="S28" s="16"/>
    </row>
    <row r="29" spans="1:19" x14ac:dyDescent="0.25">
      <c r="A29" s="16"/>
      <c r="B29" s="707" t="s">
        <v>246</v>
      </c>
      <c r="C29" s="819"/>
      <c r="D29" s="819"/>
      <c r="E29" s="819"/>
      <c r="F29" s="819"/>
      <c r="G29" s="819"/>
      <c r="H29" s="819"/>
      <c r="I29" s="819"/>
      <c r="J29" s="819"/>
      <c r="K29" s="819"/>
      <c r="L29" s="838"/>
      <c r="M29" s="16"/>
      <c r="N29" s="16"/>
      <c r="O29" s="16"/>
      <c r="P29" s="16"/>
      <c r="Q29" s="16"/>
      <c r="R29" s="16"/>
      <c r="S29" s="16"/>
    </row>
    <row r="30" spans="1:19" x14ac:dyDescent="0.25">
      <c r="A30" s="16"/>
      <c r="B30" s="690" t="s">
        <v>459</v>
      </c>
      <c r="C30" s="813">
        <v>125000</v>
      </c>
      <c r="D30" s="813">
        <v>48000</v>
      </c>
      <c r="E30" s="813">
        <v>41773</v>
      </c>
      <c r="F30" s="813">
        <v>64260</v>
      </c>
      <c r="G30" s="813">
        <v>16254</v>
      </c>
      <c r="H30" s="813">
        <f>SUM(C30:G30)</f>
        <v>295287</v>
      </c>
      <c r="I30" s="813">
        <v>-5200</v>
      </c>
      <c r="J30" s="813">
        <f>H30+I30</f>
        <v>290087</v>
      </c>
      <c r="K30" s="851">
        <v>340000</v>
      </c>
      <c r="L30" s="814">
        <f>IFERROR((J30-K30)/ABS(K30),"")</f>
        <v>-0.14680294117647058</v>
      </c>
      <c r="M30" s="16"/>
      <c r="N30" s="16"/>
      <c r="O30" s="16"/>
      <c r="P30" s="16"/>
      <c r="Q30" s="16"/>
      <c r="R30" s="16"/>
      <c r="S30" s="16"/>
    </row>
    <row r="31" spans="1:19" x14ac:dyDescent="0.25">
      <c r="A31" s="16"/>
      <c r="B31" s="688" t="s">
        <v>249</v>
      </c>
      <c r="C31" s="811">
        <v>22800</v>
      </c>
      <c r="D31" s="811">
        <v>9500</v>
      </c>
      <c r="E31" s="811">
        <v>20970</v>
      </c>
      <c r="F31" s="811">
        <v>18360</v>
      </c>
      <c r="G31" s="811">
        <v>4068</v>
      </c>
      <c r="H31" s="811">
        <f>SUM(C31:G31)</f>
        <v>75698</v>
      </c>
      <c r="I31" s="811">
        <v>0</v>
      </c>
      <c r="J31" s="811">
        <f>H31+I31</f>
        <v>75698</v>
      </c>
      <c r="K31" s="811"/>
      <c r="L31" s="812"/>
      <c r="M31" s="16"/>
      <c r="N31" s="16"/>
      <c r="O31" s="16"/>
      <c r="P31" s="16"/>
      <c r="Q31" s="16"/>
      <c r="R31" s="16"/>
      <c r="S31" s="16"/>
    </row>
    <row r="32" spans="1:19" x14ac:dyDescent="0.25">
      <c r="A32" s="16"/>
      <c r="B32" s="690" t="s">
        <v>460</v>
      </c>
      <c r="C32" s="813">
        <v>15400</v>
      </c>
      <c r="D32" s="813">
        <v>7200</v>
      </c>
      <c r="E32" s="813">
        <v>8738</v>
      </c>
      <c r="F32" s="813">
        <v>6426</v>
      </c>
      <c r="G32" s="813">
        <v>2780</v>
      </c>
      <c r="H32" s="813">
        <f>SUM(C32:G32)</f>
        <v>40544</v>
      </c>
      <c r="I32" s="813">
        <v>0</v>
      </c>
      <c r="J32" s="813">
        <f>H32+I32</f>
        <v>40544</v>
      </c>
      <c r="K32" s="813"/>
      <c r="L32" s="814"/>
      <c r="M32" s="16"/>
      <c r="N32" s="16"/>
      <c r="O32" s="16"/>
      <c r="P32" s="16"/>
      <c r="Q32" s="16"/>
      <c r="R32" s="16"/>
      <c r="S32" s="16"/>
    </row>
    <row r="33" spans="1:19" x14ac:dyDescent="0.25">
      <c r="A33" s="16"/>
      <c r="B33" s="705" t="s">
        <v>461</v>
      </c>
      <c r="C33" s="815">
        <v>18900</v>
      </c>
      <c r="D33" s="815">
        <v>9800</v>
      </c>
      <c r="E33" s="815">
        <v>11440</v>
      </c>
      <c r="F33" s="815">
        <v>9180</v>
      </c>
      <c r="G33" s="815">
        <v>3390</v>
      </c>
      <c r="H33" s="815">
        <f>SUM(C33:G33)</f>
        <v>52710</v>
      </c>
      <c r="I33" s="815">
        <v>0</v>
      </c>
      <c r="J33" s="815">
        <f>H33+I33</f>
        <v>52710</v>
      </c>
      <c r="K33" s="815"/>
      <c r="L33" s="816"/>
      <c r="M33" s="16"/>
      <c r="N33" s="16"/>
      <c r="O33" s="16"/>
      <c r="P33" s="16"/>
      <c r="Q33" s="16"/>
      <c r="R33" s="16"/>
      <c r="S33" s="16"/>
    </row>
    <row r="34" spans="1:19" ht="15.75" thickBot="1" x14ac:dyDescent="0.3">
      <c r="A34" s="16"/>
      <c r="B34" s="709" t="s">
        <v>255</v>
      </c>
      <c r="C34" s="817">
        <f t="shared" ref="C34:J34" si="8">SUM(C30:C33)</f>
        <v>182100</v>
      </c>
      <c r="D34" s="817">
        <f t="shared" si="8"/>
        <v>74500</v>
      </c>
      <c r="E34" s="817">
        <f t="shared" si="8"/>
        <v>82921</v>
      </c>
      <c r="F34" s="817">
        <f t="shared" si="8"/>
        <v>98226</v>
      </c>
      <c r="G34" s="817">
        <f t="shared" si="8"/>
        <v>26492</v>
      </c>
      <c r="H34" s="817">
        <f t="shared" si="8"/>
        <v>464239</v>
      </c>
      <c r="I34" s="817">
        <f t="shared" si="8"/>
        <v>-5200</v>
      </c>
      <c r="J34" s="817">
        <f t="shared" si="8"/>
        <v>459039</v>
      </c>
      <c r="K34" s="817">
        <v>440000</v>
      </c>
      <c r="L34" s="818">
        <f>IFERROR((J34-K34)/ABS(K34),"")</f>
        <v>4.3270454545454543E-2</v>
      </c>
      <c r="M34" s="16"/>
      <c r="N34" s="16"/>
      <c r="O34" s="16"/>
      <c r="P34" s="16"/>
      <c r="Q34" s="16"/>
      <c r="R34" s="16"/>
      <c r="S34" s="16"/>
    </row>
    <row r="35" spans="1:19" x14ac:dyDescent="0.25">
      <c r="A35" s="16"/>
      <c r="B35" s="707" t="s">
        <v>256</v>
      </c>
      <c r="C35" s="819"/>
      <c r="D35" s="819"/>
      <c r="E35" s="819"/>
      <c r="F35" s="819"/>
      <c r="G35" s="819"/>
      <c r="H35" s="819"/>
      <c r="I35" s="819"/>
      <c r="J35" s="819"/>
      <c r="K35" s="819"/>
      <c r="L35" s="838"/>
      <c r="M35" s="16"/>
      <c r="N35" s="16"/>
      <c r="O35" s="16"/>
      <c r="P35" s="16"/>
      <c r="Q35" s="16"/>
      <c r="R35" s="16"/>
      <c r="S35" s="16"/>
    </row>
    <row r="36" spans="1:19" x14ac:dyDescent="0.25">
      <c r="A36" s="16"/>
      <c r="B36" s="690" t="s">
        <v>462</v>
      </c>
      <c r="C36" s="813">
        <v>38200</v>
      </c>
      <c r="D36" s="813">
        <v>22000</v>
      </c>
      <c r="E36" s="813">
        <v>26303</v>
      </c>
      <c r="F36" s="813">
        <v>31212</v>
      </c>
      <c r="G36" s="813">
        <v>9490</v>
      </c>
      <c r="H36" s="813">
        <f>SUM(C36:G36)</f>
        <v>127205</v>
      </c>
      <c r="I36" s="813">
        <v>0</v>
      </c>
      <c r="J36" s="813">
        <f>H36+I36</f>
        <v>127205</v>
      </c>
      <c r="K36" s="852">
        <v>115000</v>
      </c>
      <c r="L36" s="814"/>
      <c r="M36" s="16"/>
      <c r="N36" s="16"/>
      <c r="O36" s="16"/>
      <c r="P36" s="16"/>
      <c r="Q36" s="16"/>
      <c r="R36" s="16"/>
      <c r="S36" s="16"/>
    </row>
    <row r="37" spans="1:19" x14ac:dyDescent="0.25">
      <c r="A37" s="16"/>
      <c r="B37" s="688" t="s">
        <v>463</v>
      </c>
      <c r="C37" s="811">
        <v>28500</v>
      </c>
      <c r="D37" s="811">
        <v>15000</v>
      </c>
      <c r="E37" s="811">
        <v>17475</v>
      </c>
      <c r="F37" s="811">
        <v>18360</v>
      </c>
      <c r="G37" s="811">
        <v>6102</v>
      </c>
      <c r="H37" s="811">
        <f>SUM(C37:G37)</f>
        <v>85437</v>
      </c>
      <c r="I37" s="811">
        <v>0</v>
      </c>
      <c r="J37" s="811">
        <f>H37+I37</f>
        <v>85437</v>
      </c>
      <c r="K37" s="853">
        <v>72000</v>
      </c>
      <c r="L37" s="812">
        <f>IFERROR((J37-K37)/ABS(K37),"")</f>
        <v>0.18662500000000001</v>
      </c>
      <c r="M37" s="16"/>
      <c r="N37" s="16"/>
      <c r="O37" s="16"/>
      <c r="P37" s="16"/>
      <c r="Q37" s="16"/>
      <c r="R37" s="16"/>
      <c r="S37" s="16"/>
    </row>
    <row r="38" spans="1:19" x14ac:dyDescent="0.25">
      <c r="A38" s="16"/>
      <c r="B38" s="698" t="s">
        <v>464</v>
      </c>
      <c r="C38" s="839">
        <v>21400</v>
      </c>
      <c r="D38" s="839">
        <v>11800</v>
      </c>
      <c r="E38" s="839">
        <v>18200</v>
      </c>
      <c r="F38" s="839">
        <v>7500</v>
      </c>
      <c r="G38" s="839">
        <v>5100</v>
      </c>
      <c r="H38" s="839">
        <f>SUM(C38:G38)</f>
        <v>64000</v>
      </c>
      <c r="I38" s="839">
        <v>-64000</v>
      </c>
      <c r="J38" s="839">
        <f>H38+I38</f>
        <v>0</v>
      </c>
      <c r="K38" s="839"/>
      <c r="L38" s="840"/>
      <c r="M38" s="16"/>
      <c r="N38" s="16"/>
      <c r="O38" s="16"/>
      <c r="P38" s="16"/>
      <c r="Q38" s="16"/>
      <c r="R38" s="16"/>
      <c r="S38" s="16"/>
    </row>
    <row r="39" spans="1:19" x14ac:dyDescent="0.25">
      <c r="A39" s="16"/>
      <c r="B39" s="705" t="s">
        <v>465</v>
      </c>
      <c r="C39" s="815">
        <v>12800</v>
      </c>
      <c r="D39" s="815">
        <v>7500</v>
      </c>
      <c r="E39" s="815">
        <v>8738</v>
      </c>
      <c r="F39" s="815">
        <v>7344</v>
      </c>
      <c r="G39" s="815">
        <v>2712</v>
      </c>
      <c r="H39" s="815">
        <f>SUM(C39:G39)</f>
        <v>39094</v>
      </c>
      <c r="I39" s="815">
        <v>0</v>
      </c>
      <c r="J39" s="815">
        <f>H39+I39</f>
        <v>39094</v>
      </c>
      <c r="K39" s="815"/>
      <c r="L39" s="816"/>
      <c r="M39" s="16"/>
      <c r="N39" s="16"/>
      <c r="O39" s="16"/>
      <c r="P39" s="16"/>
      <c r="Q39" s="16"/>
      <c r="R39" s="16"/>
      <c r="S39" s="16"/>
    </row>
    <row r="40" spans="1:19" ht="15.75" thickBot="1" x14ac:dyDescent="0.3">
      <c r="A40" s="16"/>
      <c r="B40" s="713" t="s">
        <v>264</v>
      </c>
      <c r="C40" s="823">
        <f t="shared" ref="C40:J40" si="9">SUM(C36:C39)</f>
        <v>100900</v>
      </c>
      <c r="D40" s="823">
        <f t="shared" si="9"/>
        <v>56300</v>
      </c>
      <c r="E40" s="823">
        <f t="shared" si="9"/>
        <v>70716</v>
      </c>
      <c r="F40" s="823">
        <f t="shared" si="9"/>
        <v>64416</v>
      </c>
      <c r="G40" s="823">
        <f t="shared" si="9"/>
        <v>23404</v>
      </c>
      <c r="H40" s="823">
        <f t="shared" si="9"/>
        <v>315736</v>
      </c>
      <c r="I40" s="823">
        <f t="shared" si="9"/>
        <v>-64000</v>
      </c>
      <c r="J40" s="823">
        <f t="shared" si="9"/>
        <v>251736</v>
      </c>
      <c r="K40" s="823">
        <v>243000</v>
      </c>
      <c r="L40" s="824">
        <f>IFERROR((J40-K40)/ABS(K40),"")</f>
        <v>3.5950617283950617E-2</v>
      </c>
      <c r="M40" s="16"/>
      <c r="N40" s="16"/>
      <c r="O40" s="16"/>
      <c r="P40" s="16"/>
      <c r="Q40" s="16"/>
      <c r="R40" s="16"/>
      <c r="S40" s="16"/>
    </row>
    <row r="41" spans="1:19" ht="15.75" thickBot="1" x14ac:dyDescent="0.3">
      <c r="A41" s="16"/>
      <c r="B41" s="726" t="s">
        <v>466</v>
      </c>
      <c r="C41" s="841">
        <f t="shared" ref="C41:I41" si="10">C28+C34+C40</f>
        <v>508800</v>
      </c>
      <c r="D41" s="841">
        <f t="shared" si="10"/>
        <v>214100</v>
      </c>
      <c r="E41" s="841">
        <f t="shared" si="10"/>
        <v>250637</v>
      </c>
      <c r="F41" s="841">
        <f t="shared" si="10"/>
        <v>250795</v>
      </c>
      <c r="G41" s="841">
        <f t="shared" si="10"/>
        <v>74222</v>
      </c>
      <c r="H41" s="841">
        <f t="shared" si="10"/>
        <v>1298554</v>
      </c>
      <c r="I41" s="841">
        <f t="shared" si="10"/>
        <v>-334200</v>
      </c>
      <c r="J41" s="841">
        <f>J28+J34+J40</f>
        <v>970454</v>
      </c>
      <c r="K41" s="841">
        <v>1298000</v>
      </c>
      <c r="L41" s="842">
        <f>IFERROR((J41-K41)/ABS(K41),"")</f>
        <v>-0.25234668721109399</v>
      </c>
      <c r="M41" s="16"/>
      <c r="N41" s="16"/>
      <c r="O41" s="16"/>
      <c r="P41" s="16"/>
      <c r="Q41" s="16"/>
      <c r="R41" s="16"/>
      <c r="S41" s="16"/>
    </row>
    <row r="42" spans="1:19" x14ac:dyDescent="0.25">
      <c r="A42" s="16"/>
      <c r="B42" s="383" t="s">
        <v>4242</v>
      </c>
      <c r="C42" s="16"/>
      <c r="D42" s="16"/>
      <c r="E42" s="16"/>
      <c r="F42" s="16"/>
      <c r="G42" s="16"/>
      <c r="H42" s="16"/>
      <c r="I42" s="16"/>
      <c r="J42" s="650">
        <f>J20-J41</f>
        <v>414951</v>
      </c>
      <c r="K42" s="16"/>
      <c r="L42" s="403"/>
      <c r="M42" s="16"/>
      <c r="N42" s="16"/>
      <c r="O42" s="16"/>
      <c r="P42" s="16"/>
      <c r="Q42" s="16"/>
      <c r="R42" s="16"/>
      <c r="S42" s="16"/>
    </row>
    <row r="43" spans="1:19" x14ac:dyDescent="0.25">
      <c r="A43" s="16"/>
      <c r="B43" s="48" t="s">
        <v>467</v>
      </c>
      <c r="C43" s="16"/>
      <c r="D43" s="16"/>
      <c r="E43" s="16"/>
      <c r="F43" s="16"/>
      <c r="G43" s="16"/>
      <c r="H43" s="16"/>
      <c r="I43" s="16"/>
      <c r="J43" s="40" t="str">
        <f>IF(ABS(J20-(J41+J42))&lt;1,"✅ BILAN ÉQUILIBRÉ","🚨 DÉSÉQUILIBRE : "&amp;TEXT(J20-J41,"#,##0")&amp;" k€")</f>
        <v>✅ BILAN ÉQUILIBRÉ</v>
      </c>
      <c r="K43" s="16"/>
      <c r="L43" s="403"/>
      <c r="M43" s="16"/>
      <c r="N43" s="16"/>
      <c r="O43" s="16"/>
      <c r="P43" s="16"/>
      <c r="Q43" s="16"/>
      <c r="R43" s="16"/>
      <c r="S43" s="16"/>
    </row>
    <row r="44" spans="1:19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1:19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pans="1:19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pans="1:19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pans="1:19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pans="1:19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spans="1:19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</sheetData>
  <mergeCells count="2">
    <mergeCell ref="B2:P2"/>
    <mergeCell ref="B3:L3"/>
  </mergeCells>
  <conditionalFormatting sqref="L5:L43">
    <cfRule type="cellIs" dxfId="17" priority="1" operator="greaterThan">
      <formula>0.05</formula>
    </cfRule>
    <cfRule type="cellIs" dxfId="16" priority="2" operator="lessThan">
      <formula>-0.05</formula>
    </cfRule>
  </conditionalFormatting>
  <conditionalFormatting sqref="L6:L41">
    <cfRule type="cellIs" dxfId="15" priority="3" operator="lessThan">
      <formula>0</formula>
    </cfRule>
  </conditionalFormatting>
  <conditionalFormatting sqref="L6:L41">
    <cfRule type="cellIs" dxfId="14" priority="4" operator="greaterThanOrEqual">
      <formula>0</formula>
    </cfRule>
  </conditionalFormatting>
  <printOptions horizontalCentered="1"/>
  <pageMargins left="0.7" right="0.7" top="0.75" bottom="0.75" header="0.3" footer="0.3"/>
  <pageSetup paperSize="9" scale="0" orientation="landscape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51E3-6389-40C3-BB6D-6167BE97BEFE}">
  <sheetPr>
    <tabColor rgb="FF2980B9"/>
  </sheetPr>
  <dimension ref="A1:N80"/>
  <sheetViews>
    <sheetView workbookViewId="0">
      <pane ySplit="5" topLeftCell="A6" activePane="bottomLeft" state="frozen"/>
      <selection pane="bottomLeft" activeCell="C14" sqref="C14"/>
    </sheetView>
  </sheetViews>
  <sheetFormatPr baseColWidth="10" defaultRowHeight="15" x14ac:dyDescent="0.25"/>
  <cols>
    <col min="1" max="1" width="3.85546875" customWidth="1"/>
    <col min="2" max="2" width="53.28515625" customWidth="1"/>
    <col min="3" max="3" width="21.5703125" customWidth="1"/>
    <col min="4" max="12" width="17.140625" customWidth="1"/>
    <col min="13" max="13" width="11.42578125" customWidth="1"/>
  </cols>
  <sheetData>
    <row r="1" spans="1:14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.75" x14ac:dyDescent="0.3">
      <c r="A2" s="16"/>
      <c r="B2" s="527" t="s">
        <v>468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16"/>
    </row>
    <row r="3" spans="1:14" x14ac:dyDescent="0.25">
      <c r="A3" s="16"/>
      <c r="B3" s="530" t="s">
        <v>469</v>
      </c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16"/>
    </row>
    <row r="4" spans="1:14" x14ac:dyDescent="0.25">
      <c r="A4" s="16"/>
      <c r="B4" s="531" t="s">
        <v>2100</v>
      </c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  <c r="N4" s="16"/>
    </row>
    <row r="5" spans="1:14" ht="24.75" x14ac:dyDescent="0.25">
      <c r="A5" s="16"/>
      <c r="B5" s="681" t="s">
        <v>267</v>
      </c>
      <c r="C5" s="682" t="s">
        <v>470</v>
      </c>
      <c r="D5" s="682" t="s">
        <v>26</v>
      </c>
      <c r="E5" s="682" t="s">
        <v>31</v>
      </c>
      <c r="F5" s="683" t="s">
        <v>2101</v>
      </c>
      <c r="G5" s="683" t="s">
        <v>2102</v>
      </c>
      <c r="H5" s="683" t="s">
        <v>2103</v>
      </c>
      <c r="I5" s="682" t="s">
        <v>471</v>
      </c>
      <c r="J5" s="682" t="s">
        <v>472</v>
      </c>
      <c r="K5" s="682" t="s">
        <v>443</v>
      </c>
      <c r="L5" s="682" t="s">
        <v>444</v>
      </c>
      <c r="M5" s="684" t="s">
        <v>269</v>
      </c>
      <c r="N5" s="16"/>
    </row>
    <row r="6" spans="1:14" x14ac:dyDescent="0.25">
      <c r="A6" s="16"/>
      <c r="B6" s="685" t="s">
        <v>271</v>
      </c>
      <c r="C6" s="686"/>
      <c r="D6" s="686"/>
      <c r="E6" s="686"/>
      <c r="F6" s="686"/>
      <c r="G6" s="686"/>
      <c r="H6" s="686"/>
      <c r="I6" s="686"/>
      <c r="J6" s="686"/>
      <c r="K6" s="686"/>
      <c r="L6" s="686"/>
      <c r="M6" s="687"/>
      <c r="N6" s="16"/>
    </row>
    <row r="7" spans="1:14" x14ac:dyDescent="0.25">
      <c r="A7" s="16"/>
      <c r="B7" s="688" t="s">
        <v>272</v>
      </c>
      <c r="C7" s="689" t="s">
        <v>473</v>
      </c>
      <c r="D7" s="811">
        <v>285000</v>
      </c>
      <c r="E7" s="811">
        <v>168000</v>
      </c>
      <c r="F7" s="811">
        <v>163584</v>
      </c>
      <c r="G7" s="811">
        <v>180375</v>
      </c>
      <c r="H7" s="811">
        <v>60016</v>
      </c>
      <c r="I7" s="811">
        <f t="shared" ref="I7:I13" si="0">SUM(D7:H7)</f>
        <v>856975</v>
      </c>
      <c r="J7" s="811">
        <v>-39900</v>
      </c>
      <c r="K7" s="811">
        <f>I7+J7</f>
        <v>817075</v>
      </c>
      <c r="L7" s="811">
        <v>820000</v>
      </c>
      <c r="M7" s="812">
        <f t="shared" ref="M7:M14" si="1">IFERROR((K7-L7)/ABS(L7),"")</f>
        <v>-3.5670731707317074E-3</v>
      </c>
      <c r="N7" s="16"/>
    </row>
    <row r="8" spans="1:14" x14ac:dyDescent="0.25">
      <c r="A8" s="16"/>
      <c r="B8" s="690" t="s">
        <v>474</v>
      </c>
      <c r="C8" s="691" t="s">
        <v>473</v>
      </c>
      <c r="D8" s="813">
        <v>1800</v>
      </c>
      <c r="E8" s="813">
        <v>2200</v>
      </c>
      <c r="F8" s="813">
        <v>1728</v>
      </c>
      <c r="G8" s="813">
        <v>2590</v>
      </c>
      <c r="H8" s="813">
        <v>341</v>
      </c>
      <c r="I8" s="813">
        <f t="shared" si="0"/>
        <v>8659</v>
      </c>
      <c r="J8" s="813">
        <v>0</v>
      </c>
      <c r="K8" s="813">
        <f t="shared" ref="K7:K13" si="2">I8+J8</f>
        <v>8659</v>
      </c>
      <c r="L8" s="813">
        <v>8200</v>
      </c>
      <c r="M8" s="814">
        <f t="shared" si="1"/>
        <v>5.5975609756097562E-2</v>
      </c>
      <c r="N8" s="16"/>
    </row>
    <row r="9" spans="1:14" x14ac:dyDescent="0.25">
      <c r="A9" s="16"/>
      <c r="B9" s="688" t="s">
        <v>276</v>
      </c>
      <c r="C9" s="689" t="s">
        <v>473</v>
      </c>
      <c r="D9" s="811">
        <v>3200</v>
      </c>
      <c r="E9" s="811">
        <v>1800</v>
      </c>
      <c r="F9" s="811">
        <v>2765</v>
      </c>
      <c r="G9" s="811">
        <v>2960</v>
      </c>
      <c r="H9" s="811">
        <v>818</v>
      </c>
      <c r="I9" s="811">
        <f t="shared" si="0"/>
        <v>11543</v>
      </c>
      <c r="J9" s="811">
        <v>-1500</v>
      </c>
      <c r="K9" s="811">
        <f t="shared" si="2"/>
        <v>10043</v>
      </c>
      <c r="L9" s="811">
        <v>9500</v>
      </c>
      <c r="M9" s="812">
        <f t="shared" si="1"/>
        <v>5.7157894736842102E-2</v>
      </c>
      <c r="N9" s="16"/>
    </row>
    <row r="10" spans="1:14" x14ac:dyDescent="0.25">
      <c r="A10" s="16"/>
      <c r="B10" s="690" t="s">
        <v>475</v>
      </c>
      <c r="C10" s="691" t="s">
        <v>473</v>
      </c>
      <c r="D10" s="813">
        <v>-142000</v>
      </c>
      <c r="E10" s="813">
        <v>-82000</v>
      </c>
      <c r="F10" s="813">
        <v>-78336</v>
      </c>
      <c r="G10" s="813">
        <v>-85100</v>
      </c>
      <c r="H10" s="813">
        <v>-25916</v>
      </c>
      <c r="I10" s="813">
        <f t="shared" si="0"/>
        <v>-413352</v>
      </c>
      <c r="J10" s="813">
        <v>28000</v>
      </c>
      <c r="K10" s="813">
        <f t="shared" si="2"/>
        <v>-385352</v>
      </c>
      <c r="L10" s="813">
        <v>-374000</v>
      </c>
      <c r="M10" s="814">
        <f t="shared" si="1"/>
        <v>-3.0352941176470589E-2</v>
      </c>
      <c r="N10" s="16"/>
    </row>
    <row r="11" spans="1:14" x14ac:dyDescent="0.25">
      <c r="A11" s="16"/>
      <c r="B11" s="688" t="s">
        <v>278</v>
      </c>
      <c r="C11" s="689" t="s">
        <v>473</v>
      </c>
      <c r="D11" s="811">
        <v>-68000</v>
      </c>
      <c r="E11" s="811">
        <v>-45000</v>
      </c>
      <c r="F11" s="811">
        <v>-43776</v>
      </c>
      <c r="G11" s="811">
        <v>-48100</v>
      </c>
      <c r="H11" s="811">
        <v>-15004</v>
      </c>
      <c r="I11" s="811">
        <f t="shared" si="0"/>
        <v>-219880</v>
      </c>
      <c r="J11" s="811">
        <v>0</v>
      </c>
      <c r="K11" s="811">
        <f t="shared" si="2"/>
        <v>-219880</v>
      </c>
      <c r="L11" s="811">
        <v>-224000</v>
      </c>
      <c r="M11" s="812">
        <f t="shared" si="1"/>
        <v>1.8392857142857141E-2</v>
      </c>
      <c r="N11" s="16"/>
    </row>
    <row r="12" spans="1:14" x14ac:dyDescent="0.25">
      <c r="A12" s="16"/>
      <c r="B12" s="690" t="s">
        <v>476</v>
      </c>
      <c r="C12" s="691" t="s">
        <v>473</v>
      </c>
      <c r="D12" s="813">
        <v>-22000</v>
      </c>
      <c r="E12" s="813">
        <v>-12000</v>
      </c>
      <c r="F12" s="813">
        <v>-11290</v>
      </c>
      <c r="G12" s="813">
        <v>-13135</v>
      </c>
      <c r="H12" s="813">
        <v>-4228</v>
      </c>
      <c r="I12" s="813">
        <f t="shared" si="0"/>
        <v>-62653</v>
      </c>
      <c r="J12" s="813">
        <v>0</v>
      </c>
      <c r="K12" s="813">
        <f t="shared" si="2"/>
        <v>-62653</v>
      </c>
      <c r="L12" s="813">
        <v>-64200</v>
      </c>
      <c r="M12" s="814">
        <f t="shared" si="1"/>
        <v>2.409657320872274E-2</v>
      </c>
      <c r="N12" s="16"/>
    </row>
    <row r="13" spans="1:14" x14ac:dyDescent="0.25">
      <c r="A13" s="16"/>
      <c r="B13" s="705" t="s">
        <v>281</v>
      </c>
      <c r="C13" s="706" t="s">
        <v>473</v>
      </c>
      <c r="D13" s="815">
        <v>-4500</v>
      </c>
      <c r="E13" s="815">
        <v>-2800</v>
      </c>
      <c r="F13" s="815">
        <v>-2534</v>
      </c>
      <c r="G13" s="815">
        <v>-3237</v>
      </c>
      <c r="H13" s="815">
        <v>-1023</v>
      </c>
      <c r="I13" s="815">
        <f t="shared" si="0"/>
        <v>-14094</v>
      </c>
      <c r="J13" s="815">
        <v>0</v>
      </c>
      <c r="K13" s="815">
        <f t="shared" si="2"/>
        <v>-14094</v>
      </c>
      <c r="L13" s="815">
        <v>-14500</v>
      </c>
      <c r="M13" s="816">
        <f t="shared" si="1"/>
        <v>2.8000000000000001E-2</v>
      </c>
      <c r="N13" s="16"/>
    </row>
    <row r="14" spans="1:14" ht="15.75" thickBot="1" x14ac:dyDescent="0.3">
      <c r="A14" s="16"/>
      <c r="B14" s="709" t="s">
        <v>477</v>
      </c>
      <c r="C14" s="710" t="s">
        <v>333</v>
      </c>
      <c r="D14" s="817">
        <f t="shared" ref="D14:K14" si="3">SUM(D7:D13)</f>
        <v>53500</v>
      </c>
      <c r="E14" s="817">
        <f t="shared" si="3"/>
        <v>30200</v>
      </c>
      <c r="F14" s="817">
        <f t="shared" si="3"/>
        <v>32141</v>
      </c>
      <c r="G14" s="817">
        <f t="shared" si="3"/>
        <v>36353</v>
      </c>
      <c r="H14" s="817">
        <f t="shared" si="3"/>
        <v>15004</v>
      </c>
      <c r="I14" s="817">
        <f t="shared" si="3"/>
        <v>167198</v>
      </c>
      <c r="J14" s="817">
        <f t="shared" si="3"/>
        <v>-13400</v>
      </c>
      <c r="K14" s="817">
        <f t="shared" si="3"/>
        <v>153798</v>
      </c>
      <c r="L14" s="817">
        <v>161000</v>
      </c>
      <c r="M14" s="818">
        <f t="shared" si="1"/>
        <v>-4.4732919254658388E-2</v>
      </c>
      <c r="N14" s="16"/>
    </row>
    <row r="15" spans="1:14" x14ac:dyDescent="0.25">
      <c r="A15" s="16"/>
      <c r="B15" s="707" t="s">
        <v>284</v>
      </c>
      <c r="C15" s="708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16"/>
    </row>
    <row r="16" spans="1:14" x14ac:dyDescent="0.25">
      <c r="A16" s="16"/>
      <c r="B16" s="690" t="s">
        <v>285</v>
      </c>
      <c r="C16" s="691" t="s">
        <v>478</v>
      </c>
      <c r="D16" s="813">
        <v>4200</v>
      </c>
      <c r="E16" s="813">
        <v>0</v>
      </c>
      <c r="F16" s="813">
        <v>0</v>
      </c>
      <c r="G16" s="813">
        <v>0</v>
      </c>
      <c r="H16" s="813">
        <v>0</v>
      </c>
      <c r="I16" s="813">
        <f>SUM(D16:H16)</f>
        <v>4200</v>
      </c>
      <c r="J16" s="813">
        <v>-4200</v>
      </c>
      <c r="K16" s="813">
        <f>I16+J16</f>
        <v>0</v>
      </c>
      <c r="L16" s="813">
        <v>0</v>
      </c>
      <c r="M16" s="814" t="str">
        <f>IFERROR((K16-L16)/ABS(L16),"")</f>
        <v/>
      </c>
      <c r="N16" s="16"/>
    </row>
    <row r="17" spans="1:14" x14ac:dyDescent="0.25">
      <c r="A17" s="16"/>
      <c r="B17" s="688" t="s">
        <v>479</v>
      </c>
      <c r="C17" s="689" t="s">
        <v>478</v>
      </c>
      <c r="D17" s="811">
        <v>1500</v>
      </c>
      <c r="E17" s="811">
        <v>800</v>
      </c>
      <c r="F17" s="811">
        <v>691</v>
      </c>
      <c r="G17" s="811">
        <v>1110</v>
      </c>
      <c r="H17" s="811">
        <v>0</v>
      </c>
      <c r="I17" s="811">
        <f>SUM(D17:H17)</f>
        <v>4101</v>
      </c>
      <c r="J17" s="811">
        <v>0</v>
      </c>
      <c r="K17" s="811">
        <f>I17+J17</f>
        <v>4101</v>
      </c>
      <c r="L17" s="811">
        <v>4800</v>
      </c>
      <c r="M17" s="812">
        <f>IFERROR((K17-L17)/ABS(L17),"")</f>
        <v>-0.145625</v>
      </c>
      <c r="N17" s="16"/>
    </row>
    <row r="18" spans="1:14" x14ac:dyDescent="0.25">
      <c r="A18" s="16"/>
      <c r="B18" s="711" t="s">
        <v>480</v>
      </c>
      <c r="C18" s="712" t="s">
        <v>478</v>
      </c>
      <c r="D18" s="821">
        <v>890</v>
      </c>
      <c r="E18" s="821">
        <v>420</v>
      </c>
      <c r="F18" s="821">
        <v>438</v>
      </c>
      <c r="G18" s="821">
        <v>481</v>
      </c>
      <c r="H18" s="821">
        <v>191</v>
      </c>
      <c r="I18" s="821">
        <f>SUM(D18:H18)</f>
        <v>2420</v>
      </c>
      <c r="J18" s="821">
        <v>0</v>
      </c>
      <c r="K18" s="821">
        <f>I18+J18</f>
        <v>2420</v>
      </c>
      <c r="L18" s="821">
        <v>2400</v>
      </c>
      <c r="M18" s="822">
        <f>IFERROR((K18-L18)/ABS(L18),"")</f>
        <v>8.3333333333333332E-3</v>
      </c>
      <c r="N18" s="16"/>
    </row>
    <row r="19" spans="1:14" ht="15.75" thickBot="1" x14ac:dyDescent="0.3">
      <c r="A19" s="16"/>
      <c r="B19" s="709" t="s">
        <v>290</v>
      </c>
      <c r="C19" s="710" t="s">
        <v>333</v>
      </c>
      <c r="D19" s="817">
        <f t="shared" ref="D19:K19" si="4">SUM(D16:D18)</f>
        <v>6590</v>
      </c>
      <c r="E19" s="817">
        <f t="shared" si="4"/>
        <v>1220</v>
      </c>
      <c r="F19" s="817">
        <f t="shared" si="4"/>
        <v>1129</v>
      </c>
      <c r="G19" s="817">
        <f t="shared" si="4"/>
        <v>1591</v>
      </c>
      <c r="H19" s="817">
        <f t="shared" si="4"/>
        <v>191</v>
      </c>
      <c r="I19" s="817">
        <f t="shared" si="4"/>
        <v>10721</v>
      </c>
      <c r="J19" s="817">
        <f t="shared" si="4"/>
        <v>-4200</v>
      </c>
      <c r="K19" s="817">
        <f t="shared" si="4"/>
        <v>6521</v>
      </c>
      <c r="L19" s="817">
        <v>7200</v>
      </c>
      <c r="M19" s="818">
        <f>IFERROR((K19-L19)/ABS(L19),"")</f>
        <v>-9.4305555555555559E-2</v>
      </c>
      <c r="N19" s="16"/>
    </row>
    <row r="20" spans="1:14" x14ac:dyDescent="0.25">
      <c r="A20" s="16"/>
      <c r="B20" s="707" t="s">
        <v>291</v>
      </c>
      <c r="C20" s="708"/>
      <c r="D20" s="819"/>
      <c r="E20" s="819"/>
      <c r="F20" s="819"/>
      <c r="G20" s="819"/>
      <c r="H20" s="819"/>
      <c r="I20" s="819"/>
      <c r="J20" s="819"/>
      <c r="K20" s="819"/>
      <c r="L20" s="819"/>
      <c r="M20" s="820"/>
      <c r="N20" s="16"/>
    </row>
    <row r="21" spans="1:14" x14ac:dyDescent="0.25">
      <c r="A21" s="16"/>
      <c r="B21" s="688" t="s">
        <v>481</v>
      </c>
      <c r="C21" s="689" t="s">
        <v>482</v>
      </c>
      <c r="D21" s="811">
        <v>-8200</v>
      </c>
      <c r="E21" s="811">
        <v>-4500</v>
      </c>
      <c r="F21" s="811">
        <v>-5990</v>
      </c>
      <c r="G21" s="811">
        <v>-7215</v>
      </c>
      <c r="H21" s="811">
        <v>-1910</v>
      </c>
      <c r="I21" s="811">
        <f>SUM(D21:H21)</f>
        <v>-27815</v>
      </c>
      <c r="J21" s="811">
        <v>0</v>
      </c>
      <c r="K21" s="811">
        <f>I21+J21</f>
        <v>-27815</v>
      </c>
      <c r="L21" s="811">
        <v>-31200</v>
      </c>
      <c r="M21" s="812">
        <f>IFERROR((K21-L21)/ABS(L21),"")</f>
        <v>0.10849358974358975</v>
      </c>
      <c r="N21" s="16"/>
    </row>
    <row r="22" spans="1:14" x14ac:dyDescent="0.25">
      <c r="A22" s="16"/>
      <c r="B22" s="711" t="s">
        <v>483</v>
      </c>
      <c r="C22" s="712" t="s">
        <v>482</v>
      </c>
      <c r="D22" s="821">
        <v>-1800</v>
      </c>
      <c r="E22" s="821">
        <v>-900</v>
      </c>
      <c r="F22" s="821">
        <v>-1382</v>
      </c>
      <c r="G22" s="821">
        <v>-1480</v>
      </c>
      <c r="H22" s="821">
        <v>-341</v>
      </c>
      <c r="I22" s="821">
        <f>SUM(D22:H22)</f>
        <v>-5903</v>
      </c>
      <c r="J22" s="821">
        <v>0</v>
      </c>
      <c r="K22" s="821">
        <f>I22+J22</f>
        <v>-5903</v>
      </c>
      <c r="L22" s="821">
        <v>-6400</v>
      </c>
      <c r="M22" s="822">
        <f>IFERROR((K22-L22)/ABS(L22),"")</f>
        <v>7.7656249999999996E-2</v>
      </c>
      <c r="N22" s="16"/>
    </row>
    <row r="23" spans="1:14" ht="15.75" thickBot="1" x14ac:dyDescent="0.3">
      <c r="A23" s="16"/>
      <c r="B23" s="713" t="s">
        <v>296</v>
      </c>
      <c r="C23" s="714" t="s">
        <v>333</v>
      </c>
      <c r="D23" s="823">
        <f t="shared" ref="D23:K23" si="5">SUM(D21:D22)</f>
        <v>-10000</v>
      </c>
      <c r="E23" s="823">
        <f t="shared" si="5"/>
        <v>-5400</v>
      </c>
      <c r="F23" s="823">
        <f t="shared" si="5"/>
        <v>-7372</v>
      </c>
      <c r="G23" s="823">
        <f t="shared" si="5"/>
        <v>-8695</v>
      </c>
      <c r="H23" s="823">
        <f t="shared" si="5"/>
        <v>-2251</v>
      </c>
      <c r="I23" s="823">
        <f t="shared" si="5"/>
        <v>-33718</v>
      </c>
      <c r="J23" s="823">
        <f t="shared" si="5"/>
        <v>0</v>
      </c>
      <c r="K23" s="823">
        <f t="shared" si="5"/>
        <v>-33718</v>
      </c>
      <c r="L23" s="823">
        <v>-37600</v>
      </c>
      <c r="M23" s="824">
        <f>IFERROR((K23-L23)/ABS(L23),"")</f>
        <v>0.10324468085106384</v>
      </c>
      <c r="N23" s="16"/>
    </row>
    <row r="24" spans="1:14" ht="15.75" thickBot="1" x14ac:dyDescent="0.3">
      <c r="A24" s="16"/>
      <c r="B24" s="715" t="s">
        <v>484</v>
      </c>
      <c r="C24" s="716" t="s">
        <v>485</v>
      </c>
      <c r="D24" s="825">
        <f t="shared" ref="D24:K24" si="6">D14+D19</f>
        <v>60090</v>
      </c>
      <c r="E24" s="825">
        <f t="shared" si="6"/>
        <v>31420</v>
      </c>
      <c r="F24" s="825">
        <f t="shared" si="6"/>
        <v>33270</v>
      </c>
      <c r="G24" s="825">
        <f t="shared" si="6"/>
        <v>37944</v>
      </c>
      <c r="H24" s="825">
        <f t="shared" si="6"/>
        <v>15195</v>
      </c>
      <c r="I24" s="825">
        <f t="shared" si="6"/>
        <v>177919</v>
      </c>
      <c r="J24" s="825">
        <f t="shared" si="6"/>
        <v>-17600</v>
      </c>
      <c r="K24" s="825">
        <f t="shared" si="6"/>
        <v>160319</v>
      </c>
      <c r="L24" s="825">
        <v>168200</v>
      </c>
      <c r="M24" s="826">
        <f>IFERROR((K24-L24)/ABS(L24),"")</f>
        <v>-4.6854934601664684E-2</v>
      </c>
      <c r="N24" s="16"/>
    </row>
    <row r="25" spans="1:14" x14ac:dyDescent="0.25">
      <c r="A25" s="16"/>
      <c r="B25" s="707" t="s">
        <v>486</v>
      </c>
      <c r="C25" s="708"/>
      <c r="D25" s="819"/>
      <c r="E25" s="819"/>
      <c r="F25" s="819"/>
      <c r="G25" s="819"/>
      <c r="H25" s="819"/>
      <c r="I25" s="819"/>
      <c r="J25" s="819"/>
      <c r="K25" s="819"/>
      <c r="L25" s="819"/>
      <c r="M25" s="820"/>
      <c r="N25" s="16"/>
    </row>
    <row r="26" spans="1:14" x14ac:dyDescent="0.25">
      <c r="A26" s="16"/>
      <c r="B26" s="690" t="s">
        <v>298</v>
      </c>
      <c r="C26" s="691" t="s">
        <v>299</v>
      </c>
      <c r="D26" s="813">
        <v>-12400</v>
      </c>
      <c r="E26" s="813">
        <v>-8200</v>
      </c>
      <c r="F26" s="813">
        <v>-11290</v>
      </c>
      <c r="G26" s="813">
        <v>-6660</v>
      </c>
      <c r="H26" s="813">
        <v>-2182</v>
      </c>
      <c r="I26" s="813">
        <f>SUM(D26:H26)</f>
        <v>-40732</v>
      </c>
      <c r="J26" s="813">
        <v>0</v>
      </c>
      <c r="K26" s="813">
        <f>I26+J26</f>
        <v>-40732</v>
      </c>
      <c r="L26" s="813">
        <v>-38200</v>
      </c>
      <c r="M26" s="814">
        <f>IFERROR((K26-L26)/ABS(L26),"")</f>
        <v>-6.6282722513089004E-2</v>
      </c>
      <c r="N26" s="16"/>
    </row>
    <row r="27" spans="1:14" x14ac:dyDescent="0.25">
      <c r="A27" s="16"/>
      <c r="B27" s="705" t="s">
        <v>487</v>
      </c>
      <c r="C27" s="706" t="s">
        <v>299</v>
      </c>
      <c r="D27" s="815">
        <v>-1200</v>
      </c>
      <c r="E27" s="815">
        <v>-600</v>
      </c>
      <c r="F27" s="815">
        <v>-922</v>
      </c>
      <c r="G27" s="815">
        <v>-832</v>
      </c>
      <c r="H27" s="815">
        <v>-205</v>
      </c>
      <c r="I27" s="815">
        <f>SUM(D27:H27)</f>
        <v>-3759</v>
      </c>
      <c r="J27" s="815">
        <v>0</v>
      </c>
      <c r="K27" s="815">
        <f>I27+J27</f>
        <v>-3759</v>
      </c>
      <c r="L27" s="815">
        <v>-4500</v>
      </c>
      <c r="M27" s="816">
        <f>IFERROR((K27-L27)/ABS(L27),"")</f>
        <v>0.16466666666666666</v>
      </c>
      <c r="N27" s="16"/>
    </row>
    <row r="28" spans="1:14" ht="15.75" thickBot="1" x14ac:dyDescent="0.3">
      <c r="A28" s="16"/>
      <c r="B28" s="709" t="s">
        <v>488</v>
      </c>
      <c r="C28" s="710"/>
      <c r="D28" s="817">
        <f t="shared" ref="D28:K28" si="7">D24+D23+D26+D27</f>
        <v>36490</v>
      </c>
      <c r="E28" s="817">
        <f t="shared" si="7"/>
        <v>17220</v>
      </c>
      <c r="F28" s="817">
        <f t="shared" si="7"/>
        <v>13686</v>
      </c>
      <c r="G28" s="817">
        <f t="shared" si="7"/>
        <v>21757</v>
      </c>
      <c r="H28" s="817">
        <f t="shared" si="7"/>
        <v>10557</v>
      </c>
      <c r="I28" s="817">
        <f t="shared" si="7"/>
        <v>99710</v>
      </c>
      <c r="J28" s="817">
        <f t="shared" si="7"/>
        <v>-17600</v>
      </c>
      <c r="K28" s="817">
        <f t="shared" si="7"/>
        <v>82110</v>
      </c>
      <c r="L28" s="817">
        <v>126400</v>
      </c>
      <c r="M28" s="818">
        <f>IFERROR((K28-L28)/ABS(L28),"")</f>
        <v>-0.35039556962025314</v>
      </c>
      <c r="N28" s="16"/>
    </row>
    <row r="29" spans="1:14" x14ac:dyDescent="0.25">
      <c r="A29" s="16"/>
      <c r="B29" s="717" t="s">
        <v>489</v>
      </c>
      <c r="C29" s="718" t="s">
        <v>303</v>
      </c>
      <c r="D29" s="827">
        <v>0</v>
      </c>
      <c r="E29" s="827">
        <v>0</v>
      </c>
      <c r="F29" s="827">
        <v>0</v>
      </c>
      <c r="G29" s="827">
        <v>0</v>
      </c>
      <c r="H29" s="827">
        <v>0</v>
      </c>
      <c r="I29" s="827">
        <f>SUM(D29:H29)</f>
        <v>0</v>
      </c>
      <c r="J29" s="827">
        <v>0</v>
      </c>
      <c r="K29" s="827">
        <f>I29+J29</f>
        <v>0</v>
      </c>
      <c r="L29" s="827">
        <v>0</v>
      </c>
      <c r="M29" s="828"/>
      <c r="N29" s="16"/>
    </row>
    <row r="30" spans="1:14" ht="16.5" thickBot="1" x14ac:dyDescent="0.3">
      <c r="A30" s="16"/>
      <c r="B30" s="722" t="s">
        <v>490</v>
      </c>
      <c r="C30" s="723"/>
      <c r="D30" s="829">
        <f t="shared" ref="D30:K30" si="8">D28+D29</f>
        <v>36490</v>
      </c>
      <c r="E30" s="829">
        <f t="shared" si="8"/>
        <v>17220</v>
      </c>
      <c r="F30" s="829">
        <f t="shared" si="8"/>
        <v>13686</v>
      </c>
      <c r="G30" s="829">
        <f t="shared" si="8"/>
        <v>21757</v>
      </c>
      <c r="H30" s="829">
        <f t="shared" si="8"/>
        <v>10557</v>
      </c>
      <c r="I30" s="829">
        <f t="shared" si="8"/>
        <v>99710</v>
      </c>
      <c r="J30" s="829">
        <f t="shared" si="8"/>
        <v>-17600</v>
      </c>
      <c r="K30" s="829">
        <f t="shared" si="8"/>
        <v>82110</v>
      </c>
      <c r="L30" s="829">
        <v>126400</v>
      </c>
      <c r="M30" s="830">
        <f>IFERROR((K30-L30)/ABS(L30),"")</f>
        <v>-0.35039556962025314</v>
      </c>
      <c r="N30" s="16"/>
    </row>
    <row r="31" spans="1:14" ht="28.5" customHeight="1" x14ac:dyDescent="0.25">
      <c r="A31" s="16"/>
      <c r="B31" s="719" t="s">
        <v>491</v>
      </c>
      <c r="C31" s="720"/>
      <c r="D31" s="831">
        <v>32800</v>
      </c>
      <c r="E31" s="831">
        <v>18500</v>
      </c>
      <c r="F31" s="831">
        <v>20644</v>
      </c>
      <c r="G31" s="831">
        <v>10268</v>
      </c>
      <c r="H31" s="831">
        <v>3642</v>
      </c>
      <c r="I31" s="831">
        <f>SUM(D31:H31)</f>
        <v>85854</v>
      </c>
      <c r="J31" s="831">
        <v>0</v>
      </c>
      <c r="K31" s="831">
        <f>I31+J31</f>
        <v>85854</v>
      </c>
      <c r="L31" s="831">
        <v>95000</v>
      </c>
      <c r="M31" s="832"/>
      <c r="N31" s="16"/>
    </row>
    <row r="32" spans="1:14" ht="24.75" customHeight="1" x14ac:dyDescent="0.25">
      <c r="A32" s="16"/>
      <c r="B32" s="692" t="s">
        <v>492</v>
      </c>
      <c r="C32" s="693"/>
      <c r="D32" s="833">
        <f>D30-D31</f>
        <v>3690</v>
      </c>
      <c r="E32" s="833">
        <f>E30-E31</f>
        <v>-1280</v>
      </c>
      <c r="F32" s="833">
        <f>F30-F31</f>
        <v>-6958</v>
      </c>
      <c r="G32" s="833">
        <f>G30-G31</f>
        <v>11489</v>
      </c>
      <c r="H32" s="833">
        <f>H30-H31</f>
        <v>6915</v>
      </c>
      <c r="I32" s="833">
        <f>SUM(D32:H32)</f>
        <v>13856</v>
      </c>
      <c r="J32" s="833">
        <v>0</v>
      </c>
      <c r="K32" s="833">
        <f>K30-K31</f>
        <v>-3744</v>
      </c>
      <c r="L32" s="834">
        <f>PQ_DETENTION!F17</f>
        <v>3950</v>
      </c>
      <c r="M32" s="835"/>
      <c r="N32" s="16"/>
    </row>
    <row r="33" spans="1:14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.75" x14ac:dyDescent="0.25">
      <c r="A34" s="16"/>
      <c r="B34" s="972" t="s">
        <v>493</v>
      </c>
      <c r="C34" s="972"/>
      <c r="D34" s="972"/>
      <c r="E34" s="972"/>
      <c r="F34" s="972"/>
      <c r="G34" s="972"/>
      <c r="H34" s="972"/>
      <c r="I34" s="972"/>
      <c r="J34" s="972"/>
      <c r="K34" s="972"/>
      <c r="L34" s="972"/>
      <c r="M34" s="972"/>
      <c r="N34" s="16"/>
    </row>
    <row r="35" spans="1:14" x14ac:dyDescent="0.25">
      <c r="A35" s="16"/>
      <c r="B35" s="968" t="s">
        <v>494</v>
      </c>
      <c r="C35" s="969">
        <f>K7</f>
        <v>817075</v>
      </c>
      <c r="D35" s="971" t="s">
        <v>495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x14ac:dyDescent="0.25">
      <c r="A36" s="16"/>
      <c r="B36" s="968" t="s">
        <v>496</v>
      </c>
      <c r="C36" s="969">
        <f>K14</f>
        <v>153798</v>
      </c>
      <c r="D36" s="971" t="s">
        <v>495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x14ac:dyDescent="0.25">
      <c r="A37" s="16"/>
      <c r="B37" s="968" t="s">
        <v>497</v>
      </c>
      <c r="C37" s="970">
        <f>IFERROR(K14/K7,"")</f>
        <v>0.1882299666493284</v>
      </c>
      <c r="D37" s="971" t="s">
        <v>498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x14ac:dyDescent="0.25">
      <c r="A38" s="16"/>
      <c r="B38" s="968" t="s">
        <v>499</v>
      </c>
      <c r="C38" s="969">
        <f>K14-K12</f>
        <v>216451</v>
      </c>
      <c r="D38" s="971" t="s">
        <v>495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x14ac:dyDescent="0.25">
      <c r="A39" s="16"/>
      <c r="B39" s="968" t="s">
        <v>500</v>
      </c>
      <c r="C39" s="970">
        <f>IFERROR((K14-K12)/K7,"")</f>
        <v>0.26490958602331488</v>
      </c>
      <c r="D39" s="971" t="s">
        <v>498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x14ac:dyDescent="0.25">
      <c r="A40" s="16"/>
      <c r="B40" s="968" t="s">
        <v>501</v>
      </c>
      <c r="C40" s="969">
        <f>K30</f>
        <v>82110</v>
      </c>
      <c r="D40" s="971" t="s">
        <v>495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x14ac:dyDescent="0.25">
      <c r="A41" s="16"/>
      <c r="B41" s="968" t="s">
        <v>502</v>
      </c>
      <c r="C41" s="970">
        <f>IFERROR(K30/K7,"")</f>
        <v>0.10049261083743842</v>
      </c>
      <c r="D41" s="971" t="s">
        <v>498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x14ac:dyDescent="0.25">
      <c r="A42" s="16"/>
      <c r="B42" s="968" t="s">
        <v>503</v>
      </c>
      <c r="C42" s="969">
        <f>K24</f>
        <v>160319</v>
      </c>
      <c r="D42" s="971" t="s">
        <v>495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x14ac:dyDescent="0.25">
      <c r="A43" s="16"/>
      <c r="B43" s="40" t="s">
        <v>4095</v>
      </c>
      <c r="C43" s="836">
        <f>IFERROR(ABS(K26+K27)/ABS(K24),"")</f>
        <v>0.27751545356445584</v>
      </c>
      <c r="D43" s="383" t="s">
        <v>4096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x14ac:dyDescent="0.25">
      <c r="A44" s="16"/>
      <c r="B44" s="40" t="s">
        <v>4097</v>
      </c>
      <c r="C44" s="837">
        <f>IFERROR((CONSOL_BILAN!J30+CONSOL_BILAN!J37-CONSOL_BILAN!J18)/C38,"")</f>
        <v>0.94946200294754934</v>
      </c>
      <c r="D44" s="383" t="s">
        <v>4098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</sheetData>
  <mergeCells count="4">
    <mergeCell ref="B2:M2"/>
    <mergeCell ref="B3:M3"/>
    <mergeCell ref="B4:M4"/>
    <mergeCell ref="B34:M34"/>
  </mergeCells>
  <conditionalFormatting sqref="M7:M30">
    <cfRule type="cellIs" dxfId="13" priority="1" operator="greaterThan">
      <formula>0.05</formula>
    </cfRule>
    <cfRule type="cellIs" dxfId="12" priority="2" operator="lessThan">
      <formula>-0.05</formula>
    </cfRule>
  </conditionalFormatting>
  <conditionalFormatting sqref="M7:M30">
    <cfRule type="cellIs" dxfId="11" priority="3" operator="lessThan">
      <formula>0</formula>
    </cfRule>
  </conditionalFormatting>
  <conditionalFormatting sqref="M7:M30">
    <cfRule type="cellIs" dxfId="10" priority="4" operator="greaterThanOrEqual">
      <formula>0</formula>
    </cfRule>
  </conditionalFormatting>
  <printOptions horizontalCentered="1"/>
  <pageMargins left="0.7" right="0.7" top="0.75" bottom="0.75" header="0.3" footer="0.3"/>
  <pageSetup paperSize="9" scale="0" orientation="landscape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BCB0-8112-419D-A2DE-ECBABAB08BDF}">
  <sheetPr>
    <tabColor rgb="FF2980B9"/>
  </sheetPr>
  <dimension ref="A1:L60"/>
  <sheetViews>
    <sheetView showGridLines="0" workbookViewId="0">
      <pane ySplit="4" topLeftCell="A5" activePane="bottomLeft" state="frozen"/>
      <selection pane="bottomLeft" activeCell="H19" sqref="H19"/>
    </sheetView>
  </sheetViews>
  <sheetFormatPr baseColWidth="10" defaultRowHeight="15" x14ac:dyDescent="0.25"/>
  <cols>
    <col min="1" max="1" width="3.85546875" customWidth="1"/>
    <col min="2" max="2" width="59" customWidth="1"/>
    <col min="3" max="4" width="19" customWidth="1"/>
    <col min="5" max="5" width="32" customWidth="1"/>
    <col min="6" max="6" width="17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7.25" x14ac:dyDescent="0.3">
      <c r="A2" s="16"/>
      <c r="B2" s="532" t="s">
        <v>504</v>
      </c>
      <c r="C2" s="532"/>
      <c r="D2" s="532"/>
      <c r="E2" s="532"/>
      <c r="F2" s="532"/>
      <c r="G2" s="532"/>
      <c r="H2" s="532"/>
      <c r="I2" s="532"/>
      <c r="J2" s="532"/>
      <c r="K2" s="16"/>
      <c r="L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x14ac:dyDescent="0.25">
      <c r="A4" s="16"/>
      <c r="B4" s="681" t="s">
        <v>505</v>
      </c>
      <c r="C4" s="682" t="s">
        <v>190</v>
      </c>
      <c r="D4" s="682" t="s">
        <v>191</v>
      </c>
      <c r="E4" s="684" t="s">
        <v>193</v>
      </c>
      <c r="F4" s="16"/>
      <c r="G4" s="16"/>
      <c r="H4" s="16"/>
      <c r="I4" s="16"/>
      <c r="J4" s="16"/>
      <c r="K4" s="16"/>
      <c r="L4" s="16"/>
    </row>
    <row r="5" spans="1:12" x14ac:dyDescent="0.25">
      <c r="A5" s="16"/>
      <c r="B5" s="695" t="s">
        <v>506</v>
      </c>
      <c r="C5" s="699"/>
      <c r="D5" s="699"/>
      <c r="E5" s="700"/>
      <c r="F5" s="16"/>
      <c r="G5" s="16"/>
      <c r="H5" s="16"/>
      <c r="I5" s="16"/>
      <c r="J5" s="16"/>
      <c r="K5" s="16"/>
      <c r="L5" s="16"/>
    </row>
    <row r="6" spans="1:12" x14ac:dyDescent="0.25">
      <c r="A6" s="16"/>
      <c r="B6" s="690" t="s">
        <v>507</v>
      </c>
      <c r="C6" s="813">
        <f>CONSOL_CR!K30</f>
        <v>82110</v>
      </c>
      <c r="D6" s="813">
        <v>126400</v>
      </c>
      <c r="E6" s="701" t="s">
        <v>508</v>
      </c>
      <c r="F6" s="16"/>
      <c r="G6" s="16"/>
      <c r="H6" s="16"/>
      <c r="I6" s="16"/>
      <c r="J6" s="16"/>
      <c r="K6" s="16"/>
      <c r="L6" s="16"/>
    </row>
    <row r="7" spans="1:12" x14ac:dyDescent="0.25">
      <c r="A7" s="16"/>
      <c r="B7" s="688" t="s">
        <v>509</v>
      </c>
      <c r="C7" s="811">
        <v>64200</v>
      </c>
      <c r="D7" s="811">
        <v>61000</v>
      </c>
      <c r="E7" s="702" t="s">
        <v>510</v>
      </c>
      <c r="F7" s="16"/>
      <c r="G7" s="16"/>
      <c r="H7" s="16"/>
      <c r="I7" s="16"/>
      <c r="J7" s="16"/>
      <c r="K7" s="16"/>
      <c r="L7" s="16"/>
    </row>
    <row r="8" spans="1:12" x14ac:dyDescent="0.25">
      <c r="A8" s="16"/>
      <c r="B8" s="690" t="s">
        <v>511</v>
      </c>
      <c r="C8" s="813">
        <v>4500</v>
      </c>
      <c r="D8" s="813">
        <v>3800</v>
      </c>
      <c r="E8" s="703" t="s">
        <v>4101</v>
      </c>
      <c r="F8" s="384" t="s">
        <v>4102</v>
      </c>
      <c r="G8" s="384" t="s">
        <v>4103</v>
      </c>
      <c r="H8" s="16"/>
      <c r="I8" s="16"/>
      <c r="J8" s="16"/>
      <c r="K8" s="16"/>
      <c r="L8" s="16"/>
    </row>
    <row r="9" spans="1:12" x14ac:dyDescent="0.25">
      <c r="A9" s="16"/>
      <c r="B9" s="688" t="s">
        <v>512</v>
      </c>
      <c r="C9" s="811">
        <f>IFERROR((CONSOL_BILAN!J14-CONSOL_BILAN!K14)+(CONSOL_BILAN!J15-CONSOL_BILAN!K15)-(CONSOL_BILAN!J36-CONSOL_BILAN!K36),0)</f>
        <v>17543</v>
      </c>
      <c r="D9" s="854" t="s">
        <v>4100</v>
      </c>
      <c r="E9" s="704">
        <f>CONSOL_BILAN!J14-CONSOL_BILAN!K14</f>
        <v>8738</v>
      </c>
      <c r="F9" s="385">
        <f>CONSOL_BILAN!J15-CONSOL_BILAN!K15</f>
        <v>21010</v>
      </c>
      <c r="G9" s="385">
        <f>-(CONSOL_BILAN!J36-CONSOL_BILAN!K36)</f>
        <v>-12205</v>
      </c>
      <c r="H9" s="16"/>
      <c r="I9" s="16"/>
      <c r="J9" s="16"/>
      <c r="K9" s="16"/>
      <c r="L9" s="16"/>
    </row>
    <row r="10" spans="1:12" x14ac:dyDescent="0.25">
      <c r="A10" s="16"/>
      <c r="B10" s="690" t="s">
        <v>514</v>
      </c>
      <c r="C10" s="813">
        <v>-1500</v>
      </c>
      <c r="D10" s="813">
        <v>-800</v>
      </c>
      <c r="E10" s="701" t="s">
        <v>515</v>
      </c>
      <c r="F10" s="16"/>
      <c r="G10" s="16"/>
      <c r="H10" s="16"/>
      <c r="I10" s="16"/>
      <c r="J10" s="16"/>
      <c r="K10" s="16"/>
      <c r="L10" s="16"/>
    </row>
    <row r="11" spans="1:12" x14ac:dyDescent="0.25">
      <c r="A11" s="16"/>
      <c r="B11" s="705" t="s">
        <v>516</v>
      </c>
      <c r="C11" s="815">
        <v>-7462</v>
      </c>
      <c r="D11" s="815">
        <v>-6200</v>
      </c>
      <c r="E11" s="727" t="s">
        <v>517</v>
      </c>
      <c r="F11" s="16"/>
      <c r="G11" s="16"/>
      <c r="H11" s="16"/>
      <c r="I11" s="16"/>
      <c r="J11" s="16"/>
      <c r="K11" s="16"/>
      <c r="L11" s="16"/>
    </row>
    <row r="12" spans="1:12" ht="15.75" thickBot="1" x14ac:dyDescent="0.3">
      <c r="A12" s="16"/>
      <c r="B12" s="709" t="s">
        <v>518</v>
      </c>
      <c r="C12" s="817">
        <f>SUM(C6:C11)</f>
        <v>159391</v>
      </c>
      <c r="D12" s="855">
        <v>178800</v>
      </c>
      <c r="E12" s="729" t="s">
        <v>519</v>
      </c>
      <c r="F12" s="16"/>
      <c r="G12" s="16"/>
      <c r="H12" s="16"/>
      <c r="I12" s="16"/>
      <c r="J12" s="16"/>
      <c r="K12" s="16"/>
      <c r="L12" s="16"/>
    </row>
    <row r="13" spans="1:12" x14ac:dyDescent="0.25">
      <c r="A13" s="16"/>
      <c r="B13" s="724" t="s">
        <v>520</v>
      </c>
      <c r="C13" s="856"/>
      <c r="D13" s="843"/>
      <c r="E13" s="728"/>
      <c r="F13" s="16"/>
      <c r="G13" s="16"/>
      <c r="H13" s="16"/>
      <c r="I13" s="16"/>
      <c r="J13" s="16"/>
      <c r="K13" s="16"/>
      <c r="L13" s="16"/>
    </row>
    <row r="14" spans="1:12" x14ac:dyDescent="0.25">
      <c r="A14" s="16"/>
      <c r="B14" s="690" t="s">
        <v>521</v>
      </c>
      <c r="C14" s="813">
        <v>-48200</v>
      </c>
      <c r="D14" s="813">
        <v>-42000</v>
      </c>
      <c r="E14" s="701" t="s">
        <v>522</v>
      </c>
      <c r="F14" s="16"/>
      <c r="G14" s="16"/>
      <c r="H14" s="16"/>
      <c r="I14" s="16"/>
      <c r="J14" s="16"/>
      <c r="K14" s="16"/>
      <c r="L14" s="16"/>
    </row>
    <row r="15" spans="1:12" x14ac:dyDescent="0.25">
      <c r="A15" s="16"/>
      <c r="B15" s="688" t="s">
        <v>523</v>
      </c>
      <c r="C15" s="811">
        <v>1500</v>
      </c>
      <c r="D15" s="811">
        <v>800</v>
      </c>
      <c r="E15" s="702" t="s">
        <v>524</v>
      </c>
      <c r="F15" s="16"/>
      <c r="G15" s="16"/>
      <c r="H15" s="16"/>
      <c r="I15" s="16"/>
      <c r="J15" s="16"/>
      <c r="K15" s="16"/>
      <c r="L15" s="16"/>
    </row>
    <row r="16" spans="1:12" x14ac:dyDescent="0.25">
      <c r="A16" s="16"/>
      <c r="B16" s="690" t="s">
        <v>525</v>
      </c>
      <c r="C16" s="813">
        <v>-8500</v>
      </c>
      <c r="D16" s="813">
        <v>-3200</v>
      </c>
      <c r="E16" s="701" t="s">
        <v>526</v>
      </c>
      <c r="F16" s="16"/>
      <c r="G16" s="16"/>
      <c r="H16" s="16"/>
      <c r="I16" s="16"/>
      <c r="J16" s="16"/>
      <c r="K16" s="16"/>
      <c r="L16" s="16"/>
    </row>
    <row r="17" spans="1:12" x14ac:dyDescent="0.25">
      <c r="A17" s="16"/>
      <c r="B17" s="730" t="s">
        <v>527</v>
      </c>
      <c r="C17" s="857">
        <v>0</v>
      </c>
      <c r="D17" s="857">
        <v>0</v>
      </c>
      <c r="E17" s="731" t="s">
        <v>528</v>
      </c>
      <c r="F17" s="16"/>
      <c r="G17" s="16"/>
      <c r="H17" s="16"/>
      <c r="I17" s="16"/>
      <c r="J17" s="16"/>
      <c r="K17" s="16"/>
      <c r="L17" s="16"/>
    </row>
    <row r="18" spans="1:12" ht="15.75" thickBot="1" x14ac:dyDescent="0.3">
      <c r="A18" s="16"/>
      <c r="B18" s="709" t="s">
        <v>529</v>
      </c>
      <c r="C18" s="817">
        <f>SUM(C14:C17)</f>
        <v>-55200</v>
      </c>
      <c r="D18" s="855">
        <v>-44400</v>
      </c>
      <c r="E18" s="729" t="s">
        <v>519</v>
      </c>
      <c r="F18" s="16"/>
      <c r="G18" s="16"/>
      <c r="H18" s="16"/>
      <c r="I18" s="16"/>
      <c r="J18" s="16"/>
      <c r="K18" s="16"/>
      <c r="L18" s="16"/>
    </row>
    <row r="19" spans="1:12" x14ac:dyDescent="0.25">
      <c r="A19" s="16"/>
      <c r="B19" s="724" t="s">
        <v>530</v>
      </c>
      <c r="C19" s="856"/>
      <c r="D19" s="843"/>
      <c r="E19" s="728"/>
      <c r="F19" s="16"/>
      <c r="G19" s="16"/>
      <c r="H19" s="16"/>
      <c r="I19" s="16"/>
      <c r="J19" s="16"/>
      <c r="K19" s="16"/>
      <c r="L19" s="16"/>
    </row>
    <row r="20" spans="1:12" x14ac:dyDescent="0.25">
      <c r="A20" s="16"/>
      <c r="B20" s="690" t="s">
        <v>531</v>
      </c>
      <c r="C20" s="813">
        <v>-12000</v>
      </c>
      <c r="D20" s="813">
        <v>8500</v>
      </c>
      <c r="E20" s="701" t="s">
        <v>532</v>
      </c>
      <c r="F20" s="16"/>
      <c r="G20" s="16"/>
      <c r="H20" s="16"/>
      <c r="I20" s="16"/>
      <c r="J20" s="16"/>
      <c r="K20" s="16"/>
      <c r="L20" s="16"/>
    </row>
    <row r="21" spans="1:12" x14ac:dyDescent="0.25">
      <c r="A21" s="16"/>
      <c r="B21" s="688" t="s">
        <v>533</v>
      </c>
      <c r="C21" s="811">
        <v>-9200</v>
      </c>
      <c r="D21" s="811">
        <v>-8800</v>
      </c>
      <c r="E21" s="702" t="s">
        <v>200</v>
      </c>
      <c r="F21" s="16"/>
      <c r="G21" s="16"/>
      <c r="H21" s="16"/>
      <c r="I21" s="16"/>
      <c r="J21" s="16"/>
      <c r="K21" s="16"/>
      <c r="L21" s="16"/>
    </row>
    <row r="22" spans="1:12" x14ac:dyDescent="0.25">
      <c r="A22" s="16"/>
      <c r="B22" s="690" t="s">
        <v>534</v>
      </c>
      <c r="C22" s="813">
        <v>-18500</v>
      </c>
      <c r="D22" s="813">
        <v>-15200</v>
      </c>
      <c r="E22" s="701" t="s">
        <v>535</v>
      </c>
      <c r="F22" s="16"/>
      <c r="G22" s="16"/>
      <c r="H22" s="16"/>
      <c r="I22" s="16"/>
      <c r="J22" s="16"/>
      <c r="K22" s="16"/>
      <c r="L22" s="16"/>
    </row>
    <row r="23" spans="1:12" x14ac:dyDescent="0.25">
      <c r="A23" s="16"/>
      <c r="B23" s="705" t="s">
        <v>536</v>
      </c>
      <c r="C23" s="815">
        <v>-11800</v>
      </c>
      <c r="D23" s="815">
        <v>-12200</v>
      </c>
      <c r="E23" s="727" t="s">
        <v>537</v>
      </c>
      <c r="F23" s="16"/>
      <c r="G23" s="16"/>
      <c r="H23" s="16"/>
      <c r="I23" s="16"/>
      <c r="J23" s="16"/>
      <c r="K23" s="16"/>
      <c r="L23" s="16"/>
    </row>
    <row r="24" spans="1:12" ht="15.75" thickBot="1" x14ac:dyDescent="0.3">
      <c r="A24" s="16"/>
      <c r="B24" s="709" t="s">
        <v>538</v>
      </c>
      <c r="C24" s="817">
        <f>SUM(C20:C23)</f>
        <v>-51500</v>
      </c>
      <c r="D24" s="855">
        <v>-27700</v>
      </c>
      <c r="E24" s="729" t="s">
        <v>519</v>
      </c>
      <c r="F24" s="16"/>
      <c r="G24" s="16"/>
      <c r="H24" s="16"/>
      <c r="I24" s="16"/>
      <c r="J24" s="16"/>
      <c r="K24" s="16"/>
      <c r="L24" s="16"/>
    </row>
    <row r="25" spans="1:12" x14ac:dyDescent="0.25">
      <c r="A25" s="16"/>
      <c r="B25" s="732" t="s">
        <v>539</v>
      </c>
      <c r="C25" s="858">
        <v>-1800</v>
      </c>
      <c r="D25" s="858">
        <v>-1200</v>
      </c>
      <c r="E25" s="733" t="s">
        <v>540</v>
      </c>
      <c r="F25" s="16"/>
      <c r="G25" s="16"/>
      <c r="H25" s="16"/>
      <c r="I25" s="16"/>
      <c r="J25" s="16"/>
      <c r="K25" s="16"/>
      <c r="L25" s="16"/>
    </row>
    <row r="26" spans="1:12" ht="15.75" thickBot="1" x14ac:dyDescent="0.3">
      <c r="A26" s="16"/>
      <c r="B26" s="734" t="s">
        <v>541</v>
      </c>
      <c r="C26" s="859">
        <f>C12+C18+C24+C25</f>
        <v>50891</v>
      </c>
      <c r="D26" s="860">
        <v>105500</v>
      </c>
      <c r="E26" s="735" t="s">
        <v>542</v>
      </c>
      <c r="F26" s="16"/>
      <c r="G26" s="16"/>
      <c r="H26" s="16"/>
      <c r="I26" s="16"/>
      <c r="J26" s="16"/>
      <c r="K26" s="16"/>
      <c r="L26" s="16"/>
    </row>
    <row r="27" spans="1:12" x14ac:dyDescent="0.25">
      <c r="A27" s="16"/>
      <c r="B27" s="717" t="s">
        <v>543</v>
      </c>
      <c r="C27" s="827">
        <v>169200</v>
      </c>
      <c r="D27" s="827">
        <v>63700</v>
      </c>
      <c r="E27" s="736" t="s">
        <v>544</v>
      </c>
      <c r="F27" s="16"/>
      <c r="G27" s="16"/>
      <c r="H27" s="16"/>
      <c r="I27" s="16"/>
      <c r="J27" s="16"/>
      <c r="K27" s="16"/>
      <c r="L27" s="16"/>
    </row>
    <row r="28" spans="1:12" ht="15.75" thickBot="1" x14ac:dyDescent="0.3">
      <c r="A28" s="16"/>
      <c r="B28" s="734" t="s">
        <v>545</v>
      </c>
      <c r="C28" s="859">
        <f>C26+C27</f>
        <v>220091</v>
      </c>
      <c r="D28" s="860">
        <v>169200</v>
      </c>
      <c r="E28" s="737" t="s">
        <v>4094</v>
      </c>
      <c r="F28" s="16"/>
      <c r="G28" s="16"/>
      <c r="H28" s="16"/>
      <c r="I28" s="16"/>
      <c r="J28" s="16"/>
      <c r="K28" s="16"/>
      <c r="L28" s="16"/>
    </row>
    <row r="29" spans="1:12" x14ac:dyDescent="0.25">
      <c r="A29" s="16"/>
      <c r="B29" s="49" t="s">
        <v>546</v>
      </c>
      <c r="C29" s="49" t="str">
        <f>IF(C28=CONSOL_BILAN!J18,"✅ OK","🚨 ÉCART")</f>
        <v>🚨 ÉCART</v>
      </c>
      <c r="D29" s="50" t="s">
        <v>547</v>
      </c>
      <c r="E29" s="51" t="s">
        <v>548</v>
      </c>
      <c r="F29" s="16"/>
      <c r="G29" s="16"/>
      <c r="H29" s="16"/>
      <c r="I29" s="16"/>
      <c r="J29" s="16"/>
      <c r="K29" s="16"/>
      <c r="L29" s="16"/>
    </row>
    <row r="30" spans="1:12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1:12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1:12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1:12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1:12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 spans="1:12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1:12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</sheetData>
  <mergeCells count="1">
    <mergeCell ref="B2:J2"/>
  </mergeCells>
  <printOptions horizontalCentered="1"/>
  <pageMargins left="0.7" right="0.7" top="0.75" bottom="0.75" header="0.3" footer="0.3"/>
  <pageSetup paperSize="9" scale="0" orientation="landscape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F070-B099-4A48-9A08-0872319F30B0}">
  <sheetPr>
    <tabColor rgb="FF2980B9"/>
  </sheetPr>
  <dimension ref="A1:L80"/>
  <sheetViews>
    <sheetView workbookViewId="0">
      <selection activeCell="G7" sqref="G7"/>
    </sheetView>
  </sheetViews>
  <sheetFormatPr baseColWidth="10" defaultRowHeight="15" x14ac:dyDescent="0.25"/>
  <cols>
    <col min="1" max="1" width="6.7109375" customWidth="1"/>
    <col min="2" max="2" width="31.42578125" customWidth="1"/>
    <col min="3" max="3" width="24.140625" customWidth="1"/>
    <col min="4" max="4" width="6.140625" customWidth="1"/>
    <col min="5" max="5" width="23.7109375" customWidth="1"/>
    <col min="6" max="6" width="48.28515625" customWidth="1"/>
    <col min="7" max="7" width="25.140625" customWidth="1"/>
    <col min="8" max="11" width="15.285156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8.75" x14ac:dyDescent="0.3">
      <c r="A2" s="16"/>
      <c r="B2" s="527" t="s">
        <v>549</v>
      </c>
      <c r="C2" s="527"/>
      <c r="D2" s="527"/>
      <c r="E2" s="527"/>
      <c r="F2" s="527"/>
      <c r="G2" s="527"/>
      <c r="H2" s="527"/>
      <c r="I2" s="527"/>
      <c r="J2" s="527"/>
      <c r="K2" s="527"/>
      <c r="L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x14ac:dyDescent="0.25">
      <c r="A4" s="16"/>
      <c r="B4" s="533" t="s">
        <v>550</v>
      </c>
      <c r="C4" s="533"/>
      <c r="D4" s="533"/>
      <c r="E4" s="533"/>
      <c r="F4" s="533"/>
      <c r="G4" s="533"/>
      <c r="H4" s="533"/>
      <c r="I4" s="533"/>
      <c r="J4" s="533"/>
      <c r="K4" s="533"/>
      <c r="L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x14ac:dyDescent="0.25">
      <c r="A6" s="16"/>
      <c r="B6" s="14" t="s">
        <v>551</v>
      </c>
      <c r="C6" s="14" t="s">
        <v>552</v>
      </c>
      <c r="D6" s="14" t="s">
        <v>553</v>
      </c>
      <c r="E6" s="14" t="s">
        <v>554</v>
      </c>
      <c r="F6" s="14" t="s">
        <v>555</v>
      </c>
      <c r="G6" s="14" t="s">
        <v>556</v>
      </c>
      <c r="H6" s="14" t="s">
        <v>557</v>
      </c>
      <c r="I6" s="14" t="s">
        <v>558</v>
      </c>
      <c r="J6" s="14" t="s">
        <v>559</v>
      </c>
      <c r="K6" s="14" t="s">
        <v>560</v>
      </c>
      <c r="L6" s="16"/>
    </row>
    <row r="7" spans="1:12" x14ac:dyDescent="0.25">
      <c r="A7" s="16"/>
      <c r="B7" s="41" t="s">
        <v>561</v>
      </c>
      <c r="C7" s="198" t="s">
        <v>562</v>
      </c>
      <c r="D7" s="41" t="s">
        <v>563</v>
      </c>
      <c r="E7" s="41" t="s">
        <v>564</v>
      </c>
      <c r="F7" s="41" t="s">
        <v>565</v>
      </c>
      <c r="G7" s="41">
        <v>285000</v>
      </c>
      <c r="H7" s="41">
        <v>168000</v>
      </c>
      <c r="I7" s="41">
        <v>163584</v>
      </c>
      <c r="J7" s="41">
        <v>180375</v>
      </c>
      <c r="K7" s="41">
        <v>59992</v>
      </c>
      <c r="L7" s="16"/>
    </row>
    <row r="8" spans="1:12" x14ac:dyDescent="0.25">
      <c r="A8" s="16"/>
      <c r="B8" s="21" t="s">
        <v>566</v>
      </c>
      <c r="C8" s="198" t="s">
        <v>562</v>
      </c>
      <c r="D8" s="21" t="s">
        <v>563</v>
      </c>
      <c r="E8" s="21" t="s">
        <v>564</v>
      </c>
      <c r="F8" s="21" t="s">
        <v>567</v>
      </c>
      <c r="G8" s="21">
        <v>-142000</v>
      </c>
      <c r="H8" s="21">
        <v>-82000</v>
      </c>
      <c r="I8" s="21">
        <v>-78336</v>
      </c>
      <c r="J8" s="21">
        <v>-85100</v>
      </c>
      <c r="K8" s="21">
        <v>-25916</v>
      </c>
      <c r="L8" s="16"/>
    </row>
    <row r="9" spans="1:12" x14ac:dyDescent="0.25">
      <c r="A9" s="16"/>
      <c r="B9" s="41" t="s">
        <v>278</v>
      </c>
      <c r="C9" s="198" t="s">
        <v>562</v>
      </c>
      <c r="D9" s="41" t="s">
        <v>563</v>
      </c>
      <c r="E9" s="41" t="s">
        <v>564</v>
      </c>
      <c r="F9" s="41" t="s">
        <v>568</v>
      </c>
      <c r="G9" s="41">
        <v>-68000</v>
      </c>
      <c r="H9" s="41">
        <v>-45000</v>
      </c>
      <c r="I9" s="41">
        <v>-43776</v>
      </c>
      <c r="J9" s="41">
        <v>-48100</v>
      </c>
      <c r="K9" s="41">
        <v>-15004</v>
      </c>
      <c r="L9" s="16"/>
    </row>
    <row r="10" spans="1:12" x14ac:dyDescent="0.25">
      <c r="A10" s="16"/>
      <c r="B10" s="21" t="s">
        <v>569</v>
      </c>
      <c r="C10" s="198" t="s">
        <v>562</v>
      </c>
      <c r="D10" s="21" t="s">
        <v>563</v>
      </c>
      <c r="E10" s="21" t="s">
        <v>564</v>
      </c>
      <c r="F10" s="21" t="s">
        <v>570</v>
      </c>
      <c r="G10" s="21">
        <v>-22000</v>
      </c>
      <c r="H10" s="21">
        <v>-12000</v>
      </c>
      <c r="I10" s="21">
        <v>-11290</v>
      </c>
      <c r="J10" s="21">
        <v>-13135</v>
      </c>
      <c r="K10" s="21">
        <v>-4229</v>
      </c>
      <c r="L10" s="16"/>
    </row>
    <row r="11" spans="1:12" x14ac:dyDescent="0.25">
      <c r="A11" s="16"/>
      <c r="B11" s="41" t="s">
        <v>571</v>
      </c>
      <c r="C11" s="15" t="s">
        <v>572</v>
      </c>
      <c r="D11" s="41" t="s">
        <v>573</v>
      </c>
      <c r="E11" s="41" t="s">
        <v>574</v>
      </c>
      <c r="F11" s="41" t="s">
        <v>575</v>
      </c>
      <c r="G11" s="41" t="s">
        <v>576</v>
      </c>
      <c r="H11" s="41" t="s">
        <v>576</v>
      </c>
      <c r="I11" s="41" t="s">
        <v>576</v>
      </c>
      <c r="J11" s="41" t="s">
        <v>576</v>
      </c>
      <c r="K11" s="41" t="s">
        <v>576</v>
      </c>
      <c r="L11" s="16"/>
    </row>
    <row r="12" spans="1:12" x14ac:dyDescent="0.25">
      <c r="A12" s="16"/>
      <c r="B12" s="21" t="s">
        <v>577</v>
      </c>
      <c r="C12" s="15" t="s">
        <v>572</v>
      </c>
      <c r="D12" s="21" t="s">
        <v>573</v>
      </c>
      <c r="E12" s="21" t="s">
        <v>564</v>
      </c>
      <c r="F12" s="21" t="s">
        <v>578</v>
      </c>
      <c r="G12" s="21">
        <v>1500</v>
      </c>
      <c r="H12" s="21">
        <v>800</v>
      </c>
      <c r="I12" s="21">
        <v>691</v>
      </c>
      <c r="J12" s="21">
        <v>1110</v>
      </c>
      <c r="K12" s="21">
        <v>0</v>
      </c>
      <c r="L12" s="16"/>
    </row>
    <row r="13" spans="1:12" x14ac:dyDescent="0.25">
      <c r="A13" s="16"/>
      <c r="B13" s="41" t="s">
        <v>579</v>
      </c>
      <c r="C13" s="15" t="s">
        <v>572</v>
      </c>
      <c r="D13" s="41" t="s">
        <v>573</v>
      </c>
      <c r="E13" s="41" t="s">
        <v>574</v>
      </c>
      <c r="F13" s="41" t="s">
        <v>580</v>
      </c>
      <c r="G13" s="41">
        <v>890</v>
      </c>
      <c r="H13" s="41">
        <v>420</v>
      </c>
      <c r="I13" s="41">
        <v>438</v>
      </c>
      <c r="J13" s="41">
        <v>481</v>
      </c>
      <c r="K13" s="41">
        <v>191</v>
      </c>
      <c r="L13" s="16"/>
    </row>
    <row r="14" spans="1:12" x14ac:dyDescent="0.25">
      <c r="A14" s="16"/>
      <c r="B14" s="21" t="s">
        <v>481</v>
      </c>
      <c r="C14" s="55" t="s">
        <v>581</v>
      </c>
      <c r="D14" s="21" t="s">
        <v>582</v>
      </c>
      <c r="E14" s="21" t="s">
        <v>574</v>
      </c>
      <c r="F14" s="21" t="s">
        <v>583</v>
      </c>
      <c r="G14" s="21">
        <v>-8200</v>
      </c>
      <c r="H14" s="21">
        <v>-4500</v>
      </c>
      <c r="I14" s="21">
        <v>-5990</v>
      </c>
      <c r="J14" s="21">
        <v>-7215</v>
      </c>
      <c r="K14" s="21">
        <v>-1910</v>
      </c>
      <c r="L14" s="16"/>
    </row>
    <row r="15" spans="1:12" x14ac:dyDescent="0.25">
      <c r="A15" s="16"/>
      <c r="B15" s="41" t="s">
        <v>584</v>
      </c>
      <c r="C15" s="55" t="s">
        <v>581</v>
      </c>
      <c r="D15" s="41" t="s">
        <v>582</v>
      </c>
      <c r="E15" s="41" t="s">
        <v>574</v>
      </c>
      <c r="F15" s="41" t="s">
        <v>585</v>
      </c>
      <c r="G15" s="41">
        <v>-1800</v>
      </c>
      <c r="H15" s="41">
        <v>-900</v>
      </c>
      <c r="I15" s="41">
        <v>-1382</v>
      </c>
      <c r="J15" s="41">
        <v>-1480</v>
      </c>
      <c r="K15" s="41">
        <v>-341</v>
      </c>
      <c r="L15" s="16"/>
    </row>
    <row r="16" spans="1:12" x14ac:dyDescent="0.25">
      <c r="A16" s="16"/>
      <c r="B16" s="21" t="s">
        <v>586</v>
      </c>
      <c r="C16" s="19" t="s">
        <v>587</v>
      </c>
      <c r="D16" s="21" t="s">
        <v>588</v>
      </c>
      <c r="E16" s="21" t="s">
        <v>564</v>
      </c>
      <c r="F16" s="21" t="s">
        <v>589</v>
      </c>
      <c r="G16" s="21">
        <v>-12400</v>
      </c>
      <c r="H16" s="21">
        <v>-8200</v>
      </c>
      <c r="I16" s="21">
        <v>-11290</v>
      </c>
      <c r="J16" s="21">
        <v>-6660</v>
      </c>
      <c r="K16" s="21">
        <v>-2182</v>
      </c>
      <c r="L16" s="16"/>
    </row>
    <row r="17" spans="1:12" x14ac:dyDescent="0.25">
      <c r="A17" s="16"/>
      <c r="B17" s="41" t="s">
        <v>590</v>
      </c>
      <c r="C17" s="19" t="s">
        <v>587</v>
      </c>
      <c r="D17" s="41" t="s">
        <v>588</v>
      </c>
      <c r="E17" s="41" t="s">
        <v>564</v>
      </c>
      <c r="F17" s="41" t="s">
        <v>591</v>
      </c>
      <c r="G17" s="41">
        <v>-1200</v>
      </c>
      <c r="H17" s="41">
        <v>-600</v>
      </c>
      <c r="I17" s="41">
        <v>-922</v>
      </c>
      <c r="J17" s="41">
        <v>-833</v>
      </c>
      <c r="K17" s="41">
        <v>-205</v>
      </c>
      <c r="L17" s="16"/>
    </row>
    <row r="18" spans="1:12" x14ac:dyDescent="0.25">
      <c r="A18" s="16"/>
      <c r="B18" s="21" t="s">
        <v>592</v>
      </c>
      <c r="C18" s="57" t="s">
        <v>593</v>
      </c>
      <c r="D18" s="21" t="s">
        <v>594</v>
      </c>
      <c r="E18" s="21" t="s">
        <v>595</v>
      </c>
      <c r="F18" s="21" t="s">
        <v>596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16"/>
    </row>
    <row r="19" spans="1:12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1:12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1:12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1:12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1:12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 spans="1:12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1:12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spans="1:12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 spans="1:12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spans="1:12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spans="1:12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1:12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1:12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 spans="1:12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1:12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1:12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2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spans="1:12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2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spans="1:12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spans="1:12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1:12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 spans="1:12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 spans="1:12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 spans="1:12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 spans="1:12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</sheetData>
  <mergeCells count="2">
    <mergeCell ref="B2:K2"/>
    <mergeCell ref="B4:K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EADB-E494-4992-AA17-C110DF29F971}">
  <sheetPr>
    <tabColor rgb="FF2980B9"/>
  </sheetPr>
  <dimension ref="A1:J60"/>
  <sheetViews>
    <sheetView showGridLines="0" workbookViewId="0">
      <selection activeCell="C15" sqref="C15:I15"/>
    </sheetView>
  </sheetViews>
  <sheetFormatPr baseColWidth="10" defaultRowHeight="15" x14ac:dyDescent="0.25"/>
  <cols>
    <col min="2" max="2" width="24.5703125" bestFit="1" customWidth="1"/>
    <col min="3" max="3" width="17.140625" customWidth="1"/>
  </cols>
  <sheetData>
    <row r="1" spans="1:10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</row>
    <row r="2" spans="1:10" ht="18.75" x14ac:dyDescent="0.3">
      <c r="A2" s="58"/>
      <c r="B2" s="527" t="s">
        <v>597</v>
      </c>
      <c r="C2" s="527"/>
      <c r="D2" s="527"/>
      <c r="E2" s="527"/>
      <c r="F2" s="527"/>
      <c r="G2" s="527"/>
      <c r="H2" s="527"/>
      <c r="I2" s="527"/>
      <c r="J2" s="58"/>
    </row>
    <row r="3" spans="1:10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</row>
    <row r="4" spans="1:10" x14ac:dyDescent="0.25">
      <c r="A4" s="58"/>
      <c r="B4" s="535" t="s">
        <v>598</v>
      </c>
      <c r="C4" s="535"/>
      <c r="D4" s="535"/>
      <c r="E4" s="535"/>
      <c r="F4" s="535"/>
      <c r="G4" s="535"/>
      <c r="H4" s="535"/>
      <c r="I4" s="535"/>
      <c r="J4" s="58"/>
    </row>
    <row r="5" spans="1:10" x14ac:dyDescent="0.25">
      <c r="A5" s="58"/>
      <c r="B5" s="59" t="s">
        <v>73</v>
      </c>
      <c r="C5" s="534" t="s">
        <v>599</v>
      </c>
      <c r="D5" s="534"/>
      <c r="E5" s="534"/>
      <c r="F5" s="534"/>
      <c r="G5" s="534"/>
      <c r="H5" s="534"/>
      <c r="I5" s="534"/>
      <c r="J5" s="58"/>
    </row>
    <row r="6" spans="1:10" x14ac:dyDescent="0.25">
      <c r="A6" s="58"/>
      <c r="B6" s="59" t="s">
        <v>600</v>
      </c>
      <c r="C6" s="534" t="s">
        <v>601</v>
      </c>
      <c r="D6" s="534"/>
      <c r="E6" s="534"/>
      <c r="F6" s="534"/>
      <c r="G6" s="534"/>
      <c r="H6" s="534"/>
      <c r="I6" s="534"/>
      <c r="J6" s="58"/>
    </row>
    <row r="7" spans="1:10" x14ac:dyDescent="0.25">
      <c r="A7" s="58"/>
      <c r="B7" s="58"/>
      <c r="C7" s="58"/>
      <c r="D7" s="58"/>
      <c r="E7" s="58"/>
      <c r="F7" s="58"/>
      <c r="G7" s="58"/>
      <c r="H7" s="58"/>
      <c r="I7" s="58"/>
      <c r="J7" s="58"/>
    </row>
    <row r="8" spans="1:10" x14ac:dyDescent="0.25">
      <c r="A8" s="58"/>
      <c r="B8" s="535" t="s">
        <v>602</v>
      </c>
      <c r="C8" s="535"/>
      <c r="D8" s="535"/>
      <c r="E8" s="535"/>
      <c r="F8" s="535"/>
      <c r="G8" s="535"/>
      <c r="H8" s="535"/>
      <c r="I8" s="535"/>
      <c r="J8" s="58"/>
    </row>
    <row r="9" spans="1:10" x14ac:dyDescent="0.25">
      <c r="A9" s="58"/>
      <c r="B9" s="59" t="s">
        <v>603</v>
      </c>
      <c r="C9" s="534" t="s">
        <v>604</v>
      </c>
      <c r="D9" s="534"/>
      <c r="E9" s="534"/>
      <c r="F9" s="534"/>
      <c r="G9" s="534"/>
      <c r="H9" s="534"/>
      <c r="I9" s="534"/>
      <c r="J9" s="58"/>
    </row>
    <row r="10" spans="1:10" x14ac:dyDescent="0.25">
      <c r="A10" s="58"/>
      <c r="B10" s="59" t="s">
        <v>605</v>
      </c>
      <c r="C10" s="534" t="s">
        <v>606</v>
      </c>
      <c r="D10" s="534"/>
      <c r="E10" s="534"/>
      <c r="F10" s="534"/>
      <c r="G10" s="534"/>
      <c r="H10" s="534"/>
      <c r="I10" s="534"/>
      <c r="J10" s="58"/>
    </row>
    <row r="11" spans="1:10" x14ac:dyDescent="0.25">
      <c r="A11" s="58"/>
      <c r="B11" s="59" t="s">
        <v>607</v>
      </c>
      <c r="C11" s="534" t="s">
        <v>608</v>
      </c>
      <c r="D11" s="534"/>
      <c r="E11" s="534"/>
      <c r="F11" s="534"/>
      <c r="G11" s="534"/>
      <c r="H11" s="534"/>
      <c r="I11" s="534"/>
      <c r="J11" s="58"/>
    </row>
    <row r="12" spans="1:1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</row>
    <row r="13" spans="1:10" x14ac:dyDescent="0.25">
      <c r="A13" s="58"/>
      <c r="B13" s="535" t="s">
        <v>609</v>
      </c>
      <c r="C13" s="535"/>
      <c r="D13" s="535"/>
      <c r="E13" s="535"/>
      <c r="F13" s="535"/>
      <c r="G13" s="535"/>
      <c r="H13" s="535"/>
      <c r="I13" s="535"/>
      <c r="J13" s="58"/>
    </row>
    <row r="14" spans="1:10" x14ac:dyDescent="0.25">
      <c r="A14" s="58"/>
      <c r="B14" s="59" t="s">
        <v>610</v>
      </c>
      <c r="C14" s="534" t="s">
        <v>611</v>
      </c>
      <c r="D14" s="534"/>
      <c r="E14" s="534"/>
      <c r="F14" s="534"/>
      <c r="G14" s="534"/>
      <c r="H14" s="534"/>
      <c r="I14" s="534"/>
      <c r="J14" s="58"/>
    </row>
    <row r="15" spans="1:10" x14ac:dyDescent="0.25">
      <c r="A15" s="58"/>
      <c r="B15" s="59" t="s">
        <v>612</v>
      </c>
      <c r="C15" s="534" t="s">
        <v>613</v>
      </c>
      <c r="D15" s="534"/>
      <c r="E15" s="534"/>
      <c r="F15" s="534"/>
      <c r="G15" s="534"/>
      <c r="H15" s="534"/>
      <c r="I15" s="534"/>
      <c r="J15" s="58"/>
    </row>
    <row r="16" spans="1:10" x14ac:dyDescent="0.25">
      <c r="A16" s="58"/>
      <c r="B16" s="59" t="s">
        <v>614</v>
      </c>
      <c r="C16" s="534" t="s">
        <v>615</v>
      </c>
      <c r="D16" s="534"/>
      <c r="E16" s="534"/>
      <c r="F16" s="534"/>
      <c r="G16" s="534"/>
      <c r="H16" s="534"/>
      <c r="I16" s="534"/>
      <c r="J16" s="58"/>
    </row>
    <row r="17" spans="1:10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</row>
    <row r="18" spans="1:10" x14ac:dyDescent="0.25">
      <c r="A18" s="58"/>
      <c r="B18" s="536" t="s">
        <v>616</v>
      </c>
      <c r="C18" s="536"/>
      <c r="D18" s="536"/>
      <c r="E18" s="536"/>
      <c r="F18" s="536"/>
      <c r="G18" s="536"/>
      <c r="H18" s="536"/>
      <c r="I18" s="536"/>
      <c r="J18" s="58"/>
    </row>
    <row r="19" spans="1:10" x14ac:dyDescent="0.25">
      <c r="A19" s="58"/>
      <c r="B19" s="59" t="s">
        <v>617</v>
      </c>
      <c r="C19" s="534" t="s">
        <v>618</v>
      </c>
      <c r="D19" s="534"/>
      <c r="E19" s="534"/>
      <c r="F19" s="534"/>
      <c r="G19" s="534"/>
      <c r="H19" s="534"/>
      <c r="I19" s="534"/>
      <c r="J19" s="58"/>
    </row>
    <row r="20" spans="1:10" x14ac:dyDescent="0.25">
      <c r="A20" s="58"/>
      <c r="B20" s="59" t="s">
        <v>619</v>
      </c>
      <c r="C20" s="534" t="s">
        <v>620</v>
      </c>
      <c r="D20" s="534"/>
      <c r="E20" s="534"/>
      <c r="F20" s="534"/>
      <c r="G20" s="534"/>
      <c r="H20" s="534"/>
      <c r="I20" s="534"/>
      <c r="J20" s="58"/>
    </row>
    <row r="21" spans="1:10" x14ac:dyDescent="0.25">
      <c r="A21" s="58"/>
      <c r="B21" s="59" t="s">
        <v>621</v>
      </c>
      <c r="C21" s="534" t="s">
        <v>622</v>
      </c>
      <c r="D21" s="534"/>
      <c r="E21" s="534"/>
      <c r="F21" s="534"/>
      <c r="G21" s="534"/>
      <c r="H21" s="534"/>
      <c r="I21" s="534"/>
      <c r="J21" s="58"/>
    </row>
    <row r="22" spans="1:10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</row>
    <row r="23" spans="1:10" x14ac:dyDescent="0.25">
      <c r="A23" s="58"/>
      <c r="B23" s="535" t="s">
        <v>623</v>
      </c>
      <c r="C23" s="535"/>
      <c r="D23" s="535"/>
      <c r="E23" s="535"/>
      <c r="F23" s="535"/>
      <c r="G23" s="535"/>
      <c r="H23" s="535"/>
      <c r="I23" s="535"/>
      <c r="J23" s="58"/>
    </row>
    <row r="24" spans="1:10" x14ac:dyDescent="0.25">
      <c r="A24" s="58"/>
      <c r="B24" s="59" t="s">
        <v>624</v>
      </c>
      <c r="C24" s="534" t="s">
        <v>625</v>
      </c>
      <c r="D24" s="534"/>
      <c r="E24" s="534"/>
      <c r="F24" s="534"/>
      <c r="G24" s="534"/>
      <c r="H24" s="534"/>
      <c r="I24" s="534"/>
      <c r="J24" s="58"/>
    </row>
    <row r="25" spans="1:10" x14ac:dyDescent="0.25">
      <c r="A25" s="58"/>
      <c r="B25" s="59" t="s">
        <v>626</v>
      </c>
      <c r="C25" s="534" t="s">
        <v>627</v>
      </c>
      <c r="D25" s="534"/>
      <c r="E25" s="534"/>
      <c r="F25" s="534"/>
      <c r="G25" s="534"/>
      <c r="H25" s="534"/>
      <c r="I25" s="534"/>
      <c r="J25" s="58"/>
    </row>
    <row r="26" spans="1:10" x14ac:dyDescent="0.25">
      <c r="A26" s="58"/>
      <c r="B26" s="59" t="s">
        <v>628</v>
      </c>
      <c r="C26" s="534" t="s">
        <v>629</v>
      </c>
      <c r="D26" s="534"/>
      <c r="E26" s="534"/>
      <c r="F26" s="534"/>
      <c r="G26" s="534"/>
      <c r="H26" s="534"/>
      <c r="I26" s="534"/>
      <c r="J26" s="58"/>
    </row>
    <row r="27" spans="1:10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</row>
    <row r="28" spans="1:10" x14ac:dyDescent="0.25">
      <c r="A28" s="58"/>
      <c r="B28" s="535" t="s">
        <v>630</v>
      </c>
      <c r="C28" s="535"/>
      <c r="D28" s="535"/>
      <c r="E28" s="535"/>
      <c r="F28" s="535"/>
      <c r="G28" s="535"/>
      <c r="H28" s="535"/>
      <c r="I28" s="535"/>
      <c r="J28" s="58"/>
    </row>
    <row r="29" spans="1:10" x14ac:dyDescent="0.25">
      <c r="A29" s="58"/>
      <c r="B29" s="59" t="s">
        <v>631</v>
      </c>
      <c r="C29" s="534" t="s">
        <v>632</v>
      </c>
      <c r="D29" s="534"/>
      <c r="E29" s="534"/>
      <c r="F29" s="534"/>
      <c r="G29" s="534"/>
      <c r="H29" s="534"/>
      <c r="I29" s="534"/>
      <c r="J29" s="58"/>
    </row>
    <row r="30" spans="1:10" x14ac:dyDescent="0.25">
      <c r="A30" s="58"/>
      <c r="B30" s="59" t="s">
        <v>633</v>
      </c>
      <c r="C30" s="534" t="s">
        <v>634</v>
      </c>
      <c r="D30" s="534"/>
      <c r="E30" s="534"/>
      <c r="F30" s="534"/>
      <c r="G30" s="534"/>
      <c r="H30" s="534"/>
      <c r="I30" s="534"/>
      <c r="J30" s="58"/>
    </row>
    <row r="31" spans="1:10" x14ac:dyDescent="0.25">
      <c r="A31" s="58"/>
      <c r="B31" s="58"/>
      <c r="C31" s="58"/>
      <c r="D31" s="58"/>
      <c r="E31" s="58"/>
      <c r="F31" s="58"/>
      <c r="G31" s="58"/>
      <c r="H31" s="58"/>
      <c r="I31" s="58"/>
      <c r="J31" s="58"/>
    </row>
    <row r="32" spans="1:10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</row>
    <row r="33" spans="1:10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</row>
    <row r="34" spans="1:10" x14ac:dyDescent="0.25">
      <c r="A34" s="58"/>
      <c r="B34" s="58"/>
      <c r="C34" s="58"/>
      <c r="D34" s="58"/>
      <c r="E34" s="58"/>
      <c r="F34" s="58"/>
      <c r="G34" s="58"/>
      <c r="H34" s="58"/>
      <c r="I34" s="58"/>
      <c r="J34" s="58"/>
    </row>
    <row r="35" spans="1:10" x14ac:dyDescent="0.25">
      <c r="A35" s="58"/>
      <c r="B35" s="58"/>
      <c r="C35" s="58"/>
      <c r="D35" s="58"/>
      <c r="E35" s="58"/>
      <c r="F35" s="58"/>
      <c r="G35" s="58"/>
      <c r="H35" s="58"/>
      <c r="I35" s="58"/>
      <c r="J35" s="58"/>
    </row>
    <row r="36" spans="1:10" x14ac:dyDescent="0.25">
      <c r="A36" s="58"/>
      <c r="B36" s="58"/>
      <c r="C36" s="58"/>
      <c r="D36" s="58"/>
      <c r="E36" s="58"/>
      <c r="F36" s="58"/>
      <c r="G36" s="58"/>
      <c r="H36" s="58"/>
      <c r="I36" s="58"/>
      <c r="J36" s="58"/>
    </row>
    <row r="37" spans="1:10" x14ac:dyDescent="0.25">
      <c r="A37" s="58"/>
      <c r="B37" s="58"/>
      <c r="C37" s="58"/>
      <c r="D37" s="58"/>
      <c r="E37" s="58"/>
      <c r="F37" s="58"/>
      <c r="G37" s="58"/>
      <c r="H37" s="58"/>
      <c r="I37" s="58"/>
      <c r="J37" s="58"/>
    </row>
    <row r="38" spans="1:10" x14ac:dyDescent="0.25">
      <c r="A38" s="58"/>
      <c r="B38" s="58"/>
      <c r="C38" s="58"/>
      <c r="D38" s="58"/>
      <c r="E38" s="58"/>
      <c r="F38" s="58"/>
      <c r="G38" s="58"/>
      <c r="H38" s="58"/>
      <c r="I38" s="58"/>
      <c r="J38" s="58"/>
    </row>
    <row r="39" spans="1:10" x14ac:dyDescent="0.25">
      <c r="A39" s="58"/>
      <c r="B39" s="58"/>
      <c r="C39" s="58"/>
      <c r="D39" s="58"/>
      <c r="E39" s="58"/>
      <c r="F39" s="58"/>
      <c r="G39" s="58"/>
      <c r="H39" s="58"/>
      <c r="I39" s="58"/>
      <c r="J39" s="58"/>
    </row>
    <row r="40" spans="1:10" x14ac:dyDescent="0.25">
      <c r="A40" s="58"/>
      <c r="B40" s="58"/>
      <c r="C40" s="58"/>
      <c r="D40" s="58"/>
      <c r="E40" s="58"/>
      <c r="F40" s="58"/>
      <c r="G40" s="58"/>
      <c r="H40" s="58"/>
      <c r="I40" s="58"/>
      <c r="J40" s="58"/>
    </row>
    <row r="41" spans="1:10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8"/>
    </row>
    <row r="42" spans="1:10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58"/>
    </row>
    <row r="43" spans="1:10" x14ac:dyDescent="0.25">
      <c r="A43" s="58"/>
      <c r="B43" s="58"/>
      <c r="C43" s="58"/>
      <c r="D43" s="58"/>
      <c r="E43" s="58"/>
      <c r="F43" s="58"/>
      <c r="G43" s="58"/>
      <c r="H43" s="58"/>
      <c r="I43" s="58"/>
      <c r="J43" s="58"/>
    </row>
    <row r="44" spans="1:10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</row>
    <row r="45" spans="1:10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</row>
    <row r="46" spans="1:10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8"/>
    </row>
    <row r="47" spans="1:10" x14ac:dyDescent="0.25">
      <c r="A47" s="58"/>
      <c r="B47" s="58"/>
      <c r="C47" s="58"/>
      <c r="D47" s="58"/>
      <c r="E47" s="58"/>
      <c r="F47" s="58"/>
      <c r="G47" s="58"/>
      <c r="H47" s="58"/>
      <c r="I47" s="58"/>
      <c r="J47" s="58"/>
    </row>
    <row r="48" spans="1:10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</row>
    <row r="49" spans="1:10" x14ac:dyDescent="0.25">
      <c r="A49" s="58"/>
      <c r="B49" s="58"/>
      <c r="C49" s="58"/>
      <c r="D49" s="58"/>
      <c r="E49" s="58"/>
      <c r="F49" s="58"/>
      <c r="G49" s="58"/>
      <c r="H49" s="58"/>
      <c r="I49" s="58"/>
      <c r="J49" s="58"/>
    </row>
    <row r="50" spans="1:10" x14ac:dyDescent="0.25">
      <c r="A50" s="58"/>
      <c r="B50" s="58"/>
      <c r="C50" s="58"/>
      <c r="D50" s="58"/>
      <c r="E50" s="58"/>
      <c r="F50" s="58"/>
      <c r="G50" s="58"/>
      <c r="H50" s="58"/>
      <c r="I50" s="58"/>
      <c r="J50" s="58"/>
    </row>
    <row r="51" spans="1:10" x14ac:dyDescent="0.25">
      <c r="A51" s="58"/>
      <c r="B51" s="58"/>
      <c r="C51" s="58"/>
      <c r="D51" s="58"/>
      <c r="E51" s="58"/>
      <c r="F51" s="58"/>
      <c r="G51" s="58"/>
      <c r="H51" s="58"/>
      <c r="I51" s="58"/>
      <c r="J51" s="58"/>
    </row>
    <row r="52" spans="1:10" x14ac:dyDescent="0.25">
      <c r="A52" s="58"/>
      <c r="B52" s="58"/>
      <c r="C52" s="58"/>
      <c r="D52" s="58"/>
      <c r="E52" s="58"/>
      <c r="F52" s="58"/>
      <c r="G52" s="58"/>
      <c r="H52" s="58"/>
      <c r="I52" s="58"/>
      <c r="J52" s="58"/>
    </row>
    <row r="53" spans="1:10" x14ac:dyDescent="0.25">
      <c r="A53" s="58"/>
      <c r="B53" s="58"/>
      <c r="C53" s="58"/>
      <c r="D53" s="58"/>
      <c r="E53" s="58"/>
      <c r="F53" s="58"/>
      <c r="G53" s="58"/>
      <c r="H53" s="58"/>
      <c r="I53" s="58"/>
      <c r="J53" s="58"/>
    </row>
    <row r="54" spans="1:10" x14ac:dyDescent="0.25">
      <c r="A54" s="58"/>
      <c r="B54" s="58"/>
      <c r="C54" s="58"/>
      <c r="D54" s="58"/>
      <c r="E54" s="58"/>
      <c r="F54" s="58"/>
      <c r="G54" s="58"/>
      <c r="H54" s="58"/>
      <c r="I54" s="58"/>
      <c r="J54" s="58"/>
    </row>
    <row r="55" spans="1:10" x14ac:dyDescent="0.25">
      <c r="A55" s="58"/>
      <c r="B55" s="58"/>
      <c r="C55" s="58"/>
      <c r="D55" s="58"/>
      <c r="E55" s="58"/>
      <c r="F55" s="58"/>
      <c r="G55" s="58"/>
      <c r="H55" s="58"/>
      <c r="I55" s="58"/>
      <c r="J55" s="58"/>
    </row>
    <row r="56" spans="1:10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</row>
    <row r="57" spans="1:10" x14ac:dyDescent="0.25">
      <c r="A57" s="58"/>
      <c r="B57" s="58"/>
      <c r="C57" s="58"/>
      <c r="D57" s="58"/>
      <c r="E57" s="58"/>
      <c r="F57" s="58"/>
      <c r="G57" s="58"/>
      <c r="H57" s="58"/>
      <c r="I57" s="58"/>
      <c r="J57" s="58"/>
    </row>
    <row r="58" spans="1:10" x14ac:dyDescent="0.25">
      <c r="A58" s="58"/>
      <c r="B58" s="58"/>
      <c r="C58" s="58"/>
      <c r="D58" s="58"/>
      <c r="E58" s="58"/>
      <c r="F58" s="58"/>
      <c r="G58" s="58"/>
      <c r="H58" s="58"/>
      <c r="I58" s="58"/>
      <c r="J58" s="58"/>
    </row>
    <row r="59" spans="1:10" x14ac:dyDescent="0.25">
      <c r="A59" s="58"/>
      <c r="B59" s="58"/>
      <c r="C59" s="58"/>
      <c r="D59" s="58"/>
      <c r="E59" s="58"/>
      <c r="F59" s="58"/>
      <c r="G59" s="58"/>
      <c r="H59" s="58"/>
      <c r="I59" s="58"/>
      <c r="J59" s="58"/>
    </row>
    <row r="60" spans="1:10" x14ac:dyDescent="0.25">
      <c r="A60" s="58"/>
      <c r="B60" s="58"/>
      <c r="C60" s="58"/>
      <c r="D60" s="58"/>
      <c r="E60" s="58"/>
      <c r="F60" s="58"/>
      <c r="G60" s="58"/>
      <c r="H60" s="58"/>
      <c r="I60" s="58"/>
      <c r="J60" s="58"/>
    </row>
  </sheetData>
  <mergeCells count="23">
    <mergeCell ref="C9:I9"/>
    <mergeCell ref="B2:I2"/>
    <mergeCell ref="B4:I4"/>
    <mergeCell ref="C5:I5"/>
    <mergeCell ref="C6:I6"/>
    <mergeCell ref="B8:I8"/>
    <mergeCell ref="C24:I24"/>
    <mergeCell ref="C10:I10"/>
    <mergeCell ref="C11:I11"/>
    <mergeCell ref="B13:I13"/>
    <mergeCell ref="C14:I14"/>
    <mergeCell ref="C15:I15"/>
    <mergeCell ref="C16:I16"/>
    <mergeCell ref="B18:I18"/>
    <mergeCell ref="C19:I19"/>
    <mergeCell ref="C20:I20"/>
    <mergeCell ref="C21:I21"/>
    <mergeCell ref="B23:I23"/>
    <mergeCell ref="C25:I25"/>
    <mergeCell ref="C26:I26"/>
    <mergeCell ref="B28:I28"/>
    <mergeCell ref="C29:I29"/>
    <mergeCell ref="C30:I3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702D-2E92-4F6B-8253-E3EFA8F5CD3F}">
  <sheetPr>
    <tabColor rgb="FF27AE60"/>
  </sheetPr>
  <dimension ref="A1:P80"/>
  <sheetViews>
    <sheetView workbookViewId="0">
      <pane ySplit="5" topLeftCell="A15" activePane="bottomLeft" state="frozen"/>
      <selection pane="bottomLeft" activeCell="H33" sqref="H33"/>
    </sheetView>
  </sheetViews>
  <sheetFormatPr baseColWidth="10" defaultRowHeight="15" x14ac:dyDescent="0.25"/>
  <cols>
    <col min="2" max="2" width="28.140625" bestFit="1" customWidth="1"/>
    <col min="3" max="3" width="10" customWidth="1"/>
    <col min="4" max="4" width="47.140625" customWidth="1"/>
    <col min="5" max="8" width="15.28515625" customWidth="1"/>
    <col min="9" max="9" width="31.7109375" customWidth="1"/>
    <col min="10" max="10" width="24" customWidth="1"/>
  </cols>
  <sheetData>
    <row r="1" spans="1:16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17.25" x14ac:dyDescent="0.3">
      <c r="A2" s="20"/>
      <c r="B2" s="523" t="s">
        <v>635</v>
      </c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20"/>
    </row>
    <row r="3" spans="1:16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x14ac:dyDescent="0.25">
      <c r="A4" s="20"/>
      <c r="B4" s="537" t="s">
        <v>636</v>
      </c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537"/>
      <c r="O4" s="537"/>
      <c r="P4" s="20"/>
    </row>
    <row r="5" spans="1:16" x14ac:dyDescent="0.25">
      <c r="A5" s="20"/>
      <c r="B5" s="681" t="s">
        <v>637</v>
      </c>
      <c r="C5" s="682" t="s">
        <v>638</v>
      </c>
      <c r="D5" s="682" t="s">
        <v>639</v>
      </c>
      <c r="E5" s="682" t="s">
        <v>556</v>
      </c>
      <c r="F5" s="682" t="s">
        <v>31</v>
      </c>
      <c r="G5" s="682" t="s">
        <v>33</v>
      </c>
      <c r="H5" s="682" t="s">
        <v>35</v>
      </c>
      <c r="I5" s="797" t="s">
        <v>4104</v>
      </c>
      <c r="J5" s="798" t="s">
        <v>4105</v>
      </c>
      <c r="K5" s="20"/>
      <c r="L5" s="20"/>
      <c r="M5" s="20"/>
      <c r="N5" s="20"/>
      <c r="O5" s="20"/>
      <c r="P5" s="20"/>
    </row>
    <row r="6" spans="1:16" x14ac:dyDescent="0.25">
      <c r="A6" s="20"/>
      <c r="B6" s="741" t="s">
        <v>641</v>
      </c>
      <c r="C6" s="742" t="s">
        <v>642</v>
      </c>
      <c r="D6" s="742" t="s">
        <v>643</v>
      </c>
      <c r="E6" s="742">
        <v>12400</v>
      </c>
      <c r="F6" s="742">
        <v>28600</v>
      </c>
      <c r="G6" s="742">
        <v>8200</v>
      </c>
      <c r="H6" s="742">
        <v>18900</v>
      </c>
      <c r="I6" s="742">
        <f>SUM(D6:H6)</f>
        <v>68100</v>
      </c>
      <c r="J6" s="964" t="str">
        <f>IF(I6&lt;50000,"🟢",IF(I6&lt;100000,"🟡","🔴"))</f>
        <v>🟡</v>
      </c>
      <c r="K6" s="20"/>
      <c r="L6" s="20"/>
      <c r="M6" s="20"/>
      <c r="N6" s="20"/>
      <c r="O6" s="20"/>
      <c r="P6" s="20"/>
    </row>
    <row r="7" spans="1:16" x14ac:dyDescent="0.25">
      <c r="A7" s="20"/>
      <c r="B7" s="688" t="s">
        <v>644</v>
      </c>
      <c r="C7" s="689" t="s">
        <v>642</v>
      </c>
      <c r="D7" s="689" t="s">
        <v>643</v>
      </c>
      <c r="E7" s="689">
        <v>8900</v>
      </c>
      <c r="F7" s="689">
        <v>15200</v>
      </c>
      <c r="G7" s="689">
        <v>6100</v>
      </c>
      <c r="H7" s="689">
        <v>14200</v>
      </c>
      <c r="I7" s="689">
        <f>SUM(D7:H7)</f>
        <v>44400</v>
      </c>
      <c r="J7" s="964" t="str">
        <f>IF(I7&lt;50000,"🟢",IF(I7&lt;100000,"🟡","🔴"))</f>
        <v>🟢</v>
      </c>
      <c r="K7" s="20"/>
      <c r="L7" s="20"/>
      <c r="M7" s="20"/>
      <c r="N7" s="20"/>
      <c r="O7" s="20"/>
      <c r="P7" s="20"/>
    </row>
    <row r="8" spans="1:16" x14ac:dyDescent="0.25">
      <c r="A8" s="20"/>
      <c r="B8" s="741" t="s">
        <v>645</v>
      </c>
      <c r="C8" s="742" t="s">
        <v>642</v>
      </c>
      <c r="D8" s="742" t="s">
        <v>643</v>
      </c>
      <c r="E8" s="742">
        <v>85000</v>
      </c>
      <c r="F8" s="742">
        <v>142000</v>
      </c>
      <c r="G8" s="742">
        <v>62000</v>
      </c>
      <c r="H8" s="742">
        <v>195000</v>
      </c>
      <c r="I8" s="742">
        <f>SUM(D8:H8)</f>
        <v>484000</v>
      </c>
      <c r="J8" s="964" t="str">
        <f>IF(I8&lt;300000,"🟢",IF(I8&lt;500000,"🟡","🔴"))</f>
        <v>🟡</v>
      </c>
      <c r="K8" s="20"/>
      <c r="L8" s="20"/>
      <c r="M8" s="20"/>
      <c r="N8" s="20"/>
      <c r="O8" s="20"/>
      <c r="P8" s="20"/>
    </row>
    <row r="9" spans="1:16" x14ac:dyDescent="0.25">
      <c r="A9" s="20"/>
      <c r="B9" s="688" t="s">
        <v>646</v>
      </c>
      <c r="C9" s="689" t="s">
        <v>642</v>
      </c>
      <c r="D9" s="689" t="s">
        <v>647</v>
      </c>
      <c r="E9" s="689">
        <f>((E6+E7)/CONSOL_CR!D7)*1000</f>
        <v>74.73684210526315</v>
      </c>
      <c r="F9" s="689">
        <v>262</v>
      </c>
      <c r="G9" s="689">
        <v>51</v>
      </c>
      <c r="H9" s="689">
        <v>169</v>
      </c>
      <c r="I9" s="689">
        <f>SUM(D9:H9)</f>
        <v>556.73684210526312</v>
      </c>
      <c r="J9" s="964" t="str">
        <f>IF(I9&lt;100,"🟢",IF(I9&lt;150,"🟡","🔴"))</f>
        <v>🔴</v>
      </c>
      <c r="K9" s="20"/>
      <c r="L9" s="20"/>
      <c r="M9" s="20"/>
      <c r="N9" s="20"/>
      <c r="O9" s="20"/>
      <c r="P9" s="20"/>
    </row>
    <row r="10" spans="1:16" x14ac:dyDescent="0.25">
      <c r="A10" s="20"/>
      <c r="B10" s="741" t="s">
        <v>648</v>
      </c>
      <c r="C10" s="742" t="s">
        <v>649</v>
      </c>
      <c r="D10" s="742" t="s">
        <v>650</v>
      </c>
      <c r="E10" s="742">
        <v>48.2</v>
      </c>
      <c r="F10" s="742">
        <v>124.6</v>
      </c>
      <c r="G10" s="742">
        <v>32.799999999999997</v>
      </c>
      <c r="H10" s="742">
        <v>89.4</v>
      </c>
      <c r="I10" s="742">
        <f>SUM(D10:H10)</f>
        <v>295</v>
      </c>
      <c r="J10" s="964">
        <f>SUM(E10:I10)</f>
        <v>590</v>
      </c>
      <c r="K10" s="20"/>
      <c r="L10" s="20"/>
      <c r="M10" s="20"/>
      <c r="N10" s="20"/>
      <c r="O10" s="20"/>
      <c r="P10" s="20"/>
    </row>
    <row r="11" spans="1:16" x14ac:dyDescent="0.25">
      <c r="A11" s="20"/>
      <c r="B11" s="688" t="s">
        <v>651</v>
      </c>
      <c r="C11" s="689" t="s">
        <v>649</v>
      </c>
      <c r="D11" s="689" t="s">
        <v>498</v>
      </c>
      <c r="E11" s="799">
        <v>0.38</v>
      </c>
      <c r="F11" s="799">
        <v>0.52</v>
      </c>
      <c r="G11" s="799">
        <v>0.71</v>
      </c>
      <c r="H11" s="799">
        <v>0.28000000000000003</v>
      </c>
      <c r="I11" s="747">
        <f>AVERAGE(D11:H11)</f>
        <v>0.47249999999999998</v>
      </c>
      <c r="J11" s="965" t="str">
        <f>IF(I11&gt;0.5,"🟢",IF(I11&gt;0.3,"🟡","🔴"))</f>
        <v>🟡</v>
      </c>
      <c r="K11" s="20"/>
      <c r="L11" s="20"/>
      <c r="M11" s="20"/>
      <c r="N11" s="20"/>
      <c r="O11" s="20"/>
      <c r="P11" s="20"/>
    </row>
    <row r="12" spans="1:16" x14ac:dyDescent="0.25">
      <c r="A12" s="20"/>
      <c r="B12" s="741" t="s">
        <v>652</v>
      </c>
      <c r="C12" s="742" t="s">
        <v>653</v>
      </c>
      <c r="D12" s="742" t="s">
        <v>654</v>
      </c>
      <c r="E12" s="742">
        <v>18.399999999999999</v>
      </c>
      <c r="F12" s="742">
        <v>42.8</v>
      </c>
      <c r="G12" s="742">
        <v>12.2</v>
      </c>
      <c r="H12" s="742">
        <v>38.6</v>
      </c>
      <c r="I12" s="742">
        <f>SUM(D12:H12)</f>
        <v>112</v>
      </c>
      <c r="J12" s="964">
        <f>SUM(E12:I12)</f>
        <v>224</v>
      </c>
      <c r="K12" s="20"/>
      <c r="L12" s="20"/>
      <c r="M12" s="20"/>
      <c r="N12" s="20"/>
      <c r="O12" s="20"/>
      <c r="P12" s="20"/>
    </row>
    <row r="13" spans="1:16" x14ac:dyDescent="0.25">
      <c r="A13" s="20"/>
      <c r="B13" s="688" t="s">
        <v>655</v>
      </c>
      <c r="C13" s="689" t="s">
        <v>656</v>
      </c>
      <c r="D13" s="689" t="s">
        <v>657</v>
      </c>
      <c r="E13" s="689">
        <v>850</v>
      </c>
      <c r="F13" s="689">
        <v>3200</v>
      </c>
      <c r="G13" s="689">
        <v>420</v>
      </c>
      <c r="H13" s="689">
        <v>2800</v>
      </c>
      <c r="I13" s="689">
        <f>SUM(D13:H13)</f>
        <v>7270</v>
      </c>
      <c r="J13" s="964">
        <f>SUM(E13:I13)</f>
        <v>14540</v>
      </c>
      <c r="K13" s="20"/>
      <c r="L13" s="20"/>
      <c r="M13" s="20"/>
      <c r="N13" s="20"/>
      <c r="O13" s="20"/>
      <c r="P13" s="20"/>
    </row>
    <row r="14" spans="1:16" x14ac:dyDescent="0.25">
      <c r="A14" s="20"/>
      <c r="B14" s="748" t="s">
        <v>658</v>
      </c>
      <c r="C14" s="749" t="s">
        <v>656</v>
      </c>
      <c r="D14" s="749" t="s">
        <v>498</v>
      </c>
      <c r="E14" s="800">
        <v>0.68</v>
      </c>
      <c r="F14" s="800">
        <v>0.72</v>
      </c>
      <c r="G14" s="800">
        <v>0.81</v>
      </c>
      <c r="H14" s="800">
        <v>0.65</v>
      </c>
      <c r="I14" s="767">
        <f>AVERAGE(D14:H14)</f>
        <v>0.71499999999999997</v>
      </c>
      <c r="J14" s="966">
        <f>AVERAGE(E14:I14)</f>
        <v>0.71499999999999997</v>
      </c>
      <c r="K14" s="20"/>
      <c r="L14" s="20"/>
      <c r="M14" s="20"/>
      <c r="N14" s="20"/>
      <c r="O14" s="20"/>
      <c r="P14" s="20"/>
    </row>
    <row r="15" spans="1:16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 x14ac:dyDescent="0.25">
      <c r="A16" s="20"/>
      <c r="B16" s="538" t="s">
        <v>659</v>
      </c>
      <c r="C16" s="538"/>
      <c r="D16" s="538"/>
      <c r="E16" s="538"/>
      <c r="F16" s="538"/>
      <c r="G16" s="538"/>
      <c r="H16" s="538"/>
      <c r="I16" s="538"/>
      <c r="J16" s="538"/>
      <c r="K16" s="538"/>
      <c r="L16" s="538"/>
      <c r="M16" s="538"/>
      <c r="N16" s="538"/>
      <c r="O16" s="538"/>
      <c r="P16" s="20"/>
    </row>
    <row r="17" spans="1:16" x14ac:dyDescent="0.25">
      <c r="A17" s="20"/>
      <c r="B17" s="681" t="s">
        <v>637</v>
      </c>
      <c r="C17" s="682" t="s">
        <v>638</v>
      </c>
      <c r="D17" s="682" t="s">
        <v>639</v>
      </c>
      <c r="E17" s="682" t="s">
        <v>556</v>
      </c>
      <c r="F17" s="682" t="s">
        <v>31</v>
      </c>
      <c r="G17" s="682" t="s">
        <v>33</v>
      </c>
      <c r="H17" s="682" t="s">
        <v>35</v>
      </c>
      <c r="I17" s="682">
        <f>SUM(D17:H17)</f>
        <v>0</v>
      </c>
      <c r="J17" s="684" t="s">
        <v>640</v>
      </c>
      <c r="K17" s="20"/>
      <c r="L17" s="20"/>
      <c r="M17" s="20"/>
      <c r="N17" s="20"/>
      <c r="O17" s="20"/>
      <c r="P17" s="20"/>
    </row>
    <row r="18" spans="1:16" x14ac:dyDescent="0.25">
      <c r="A18" s="20"/>
      <c r="B18" s="801" t="s">
        <v>660</v>
      </c>
      <c r="C18" s="802" t="s">
        <v>661</v>
      </c>
      <c r="D18" s="802" t="s">
        <v>662</v>
      </c>
      <c r="E18" s="802">
        <v>1850</v>
      </c>
      <c r="F18" s="802">
        <v>2640</v>
      </c>
      <c r="G18" s="802">
        <v>980</v>
      </c>
      <c r="H18" s="802">
        <v>1420</v>
      </c>
      <c r="I18" s="802">
        <f>SUM(D18:H18)</f>
        <v>6890</v>
      </c>
      <c r="J18" s="964">
        <f>SUM(E18:I18)</f>
        <v>13780</v>
      </c>
      <c r="K18" s="20"/>
      <c r="L18" s="20"/>
      <c r="M18" s="20"/>
      <c r="N18" s="20"/>
      <c r="O18" s="20"/>
      <c r="P18" s="20"/>
    </row>
    <row r="19" spans="1:16" x14ac:dyDescent="0.25">
      <c r="A19" s="20"/>
      <c r="B19" s="688" t="s">
        <v>663</v>
      </c>
      <c r="C19" s="689" t="s">
        <v>661</v>
      </c>
      <c r="D19" s="689" t="s">
        <v>664</v>
      </c>
      <c r="E19" s="689">
        <v>245</v>
      </c>
      <c r="F19" s="689">
        <v>310</v>
      </c>
      <c r="G19" s="689">
        <v>142</v>
      </c>
      <c r="H19" s="689">
        <v>198</v>
      </c>
      <c r="I19" s="747">
        <f t="shared" ref="I19:I26" si="0">AVERAGE(D19:H19)</f>
        <v>223.75</v>
      </c>
      <c r="J19" s="964" t="str">
        <f>IF(I19&lt;0.1,"🟢",IF(I19&lt;0.15,"🟡","🔴"))</f>
        <v>🔴</v>
      </c>
      <c r="K19" s="20"/>
      <c r="L19" s="20"/>
      <c r="M19" s="20"/>
      <c r="N19" s="20"/>
      <c r="O19" s="20"/>
      <c r="P19" s="20"/>
    </row>
    <row r="20" spans="1:16" x14ac:dyDescent="0.25">
      <c r="A20" s="20"/>
      <c r="B20" s="801" t="s">
        <v>665</v>
      </c>
      <c r="C20" s="802" t="s">
        <v>661</v>
      </c>
      <c r="D20" s="802" t="s">
        <v>498</v>
      </c>
      <c r="E20" s="803">
        <v>8.2000000000000003E-2</v>
      </c>
      <c r="F20" s="803">
        <v>9.8000000000000004E-2</v>
      </c>
      <c r="G20" s="803">
        <v>0.124</v>
      </c>
      <c r="H20" s="803">
        <v>0.156</v>
      </c>
      <c r="I20" s="804">
        <f t="shared" si="0"/>
        <v>0.11499999999999999</v>
      </c>
      <c r="J20" s="967">
        <f t="shared" ref="J20:J27" si="1">AVERAGE(E20:I20)</f>
        <v>0.11499999999999999</v>
      </c>
      <c r="K20" s="20"/>
      <c r="L20" s="20"/>
      <c r="M20" s="20"/>
      <c r="N20" s="20"/>
      <c r="O20" s="20"/>
      <c r="P20" s="20"/>
    </row>
    <row r="21" spans="1:16" x14ac:dyDescent="0.25">
      <c r="A21" s="20"/>
      <c r="B21" s="688" t="s">
        <v>666</v>
      </c>
      <c r="C21" s="689" t="s">
        <v>667</v>
      </c>
      <c r="D21" s="689" t="s">
        <v>498</v>
      </c>
      <c r="E21" s="799">
        <v>0.43</v>
      </c>
      <c r="F21" s="799">
        <v>0.36</v>
      </c>
      <c r="G21" s="799">
        <v>0.48</v>
      </c>
      <c r="H21" s="799">
        <v>0.44</v>
      </c>
      <c r="I21" s="747">
        <f t="shared" si="0"/>
        <v>0.42749999999999999</v>
      </c>
      <c r="J21" s="965" t="str">
        <f>IF(I21&gt;=0.4,"🟢",IF(I21&gt;=0.3,"🟡","🔴"))</f>
        <v>🟢</v>
      </c>
      <c r="K21" s="20"/>
      <c r="L21" s="20"/>
      <c r="M21" s="20"/>
      <c r="N21" s="20"/>
      <c r="O21" s="20"/>
      <c r="P21" s="20"/>
    </row>
    <row r="22" spans="1:16" x14ac:dyDescent="0.25">
      <c r="A22" s="20"/>
      <c r="B22" s="801" t="s">
        <v>668</v>
      </c>
      <c r="C22" s="802" t="s">
        <v>667</v>
      </c>
      <c r="D22" s="802" t="s">
        <v>498</v>
      </c>
      <c r="E22" s="805">
        <v>0.38</v>
      </c>
      <c r="F22" s="805">
        <v>0.28000000000000003</v>
      </c>
      <c r="G22" s="805">
        <v>0.42</v>
      </c>
      <c r="H22" s="805">
        <v>0.36</v>
      </c>
      <c r="I22" s="805">
        <f t="shared" si="0"/>
        <v>0.36</v>
      </c>
      <c r="J22" s="965" t="str">
        <f>IF(I22&lt;2,"🟢",IF(I22&lt;4,"🟡","🔴"))</f>
        <v>🟢</v>
      </c>
      <c r="K22" s="20"/>
      <c r="L22" s="20"/>
      <c r="M22" s="20"/>
      <c r="N22" s="20"/>
      <c r="O22" s="20"/>
      <c r="P22" s="20"/>
    </row>
    <row r="23" spans="1:16" x14ac:dyDescent="0.25">
      <c r="A23" s="20"/>
      <c r="B23" s="688" t="s">
        <v>669</v>
      </c>
      <c r="C23" s="689" t="s">
        <v>670</v>
      </c>
      <c r="D23" s="689" t="s">
        <v>671</v>
      </c>
      <c r="E23" s="689">
        <v>2.4</v>
      </c>
      <c r="F23" s="689">
        <v>3.8</v>
      </c>
      <c r="G23" s="689">
        <v>1.6</v>
      </c>
      <c r="H23" s="689">
        <v>4.2</v>
      </c>
      <c r="I23" s="689">
        <f t="shared" si="0"/>
        <v>3</v>
      </c>
      <c r="J23" s="964">
        <f t="shared" si="1"/>
        <v>3</v>
      </c>
      <c r="K23" s="20"/>
      <c r="L23" s="20"/>
      <c r="M23" s="20"/>
      <c r="N23" s="20"/>
      <c r="O23" s="20"/>
      <c r="P23" s="20"/>
    </row>
    <row r="24" spans="1:16" x14ac:dyDescent="0.25">
      <c r="A24" s="20"/>
      <c r="B24" s="801" t="s">
        <v>672</v>
      </c>
      <c r="C24" s="802" t="s">
        <v>673</v>
      </c>
      <c r="D24" s="802" t="s">
        <v>674</v>
      </c>
      <c r="E24" s="802">
        <v>42</v>
      </c>
      <c r="F24" s="802">
        <v>38</v>
      </c>
      <c r="G24" s="802">
        <v>56</v>
      </c>
      <c r="H24" s="802">
        <v>35</v>
      </c>
      <c r="I24" s="804">
        <f t="shared" si="0"/>
        <v>42.75</v>
      </c>
      <c r="J24" s="964">
        <f t="shared" si="1"/>
        <v>42.75</v>
      </c>
      <c r="K24" s="20"/>
      <c r="L24" s="20"/>
      <c r="M24" s="20"/>
      <c r="N24" s="20"/>
      <c r="O24" s="20"/>
      <c r="P24" s="20"/>
    </row>
    <row r="25" spans="1:16" x14ac:dyDescent="0.25">
      <c r="A25" s="20"/>
      <c r="B25" s="688" t="s">
        <v>675</v>
      </c>
      <c r="C25" s="689" t="s">
        <v>661</v>
      </c>
      <c r="D25" s="689" t="s">
        <v>498</v>
      </c>
      <c r="E25" s="799">
        <v>0.91</v>
      </c>
      <c r="F25" s="799">
        <v>0.88</v>
      </c>
      <c r="G25" s="799">
        <v>0.85</v>
      </c>
      <c r="H25" s="799">
        <v>0.79</v>
      </c>
      <c r="I25" s="799">
        <f t="shared" si="0"/>
        <v>0.85750000000000004</v>
      </c>
      <c r="J25" s="965">
        <f t="shared" si="1"/>
        <v>0.85750000000000015</v>
      </c>
      <c r="K25" s="20"/>
      <c r="L25" s="20"/>
      <c r="M25" s="20"/>
      <c r="N25" s="20"/>
      <c r="O25" s="20"/>
      <c r="P25" s="20"/>
    </row>
    <row r="26" spans="1:16" x14ac:dyDescent="0.25">
      <c r="A26" s="20"/>
      <c r="B26" s="801" t="s">
        <v>676</v>
      </c>
      <c r="C26" s="802" t="s">
        <v>677</v>
      </c>
      <c r="D26" s="802" t="s">
        <v>495</v>
      </c>
      <c r="E26" s="802">
        <v>52.4</v>
      </c>
      <c r="F26" s="802">
        <v>48.2</v>
      </c>
      <c r="G26" s="802">
        <v>68.900000000000006</v>
      </c>
      <c r="H26" s="802">
        <v>71.2</v>
      </c>
      <c r="I26" s="804">
        <f t="shared" si="0"/>
        <v>60.174999999999997</v>
      </c>
      <c r="J26" s="964">
        <f t="shared" si="1"/>
        <v>60.174999999999997</v>
      </c>
      <c r="K26" s="20"/>
      <c r="L26" s="20"/>
      <c r="M26" s="20"/>
      <c r="N26" s="20"/>
      <c r="O26" s="20"/>
      <c r="P26" s="20"/>
    </row>
    <row r="27" spans="1:16" x14ac:dyDescent="0.25">
      <c r="A27" s="20"/>
      <c r="B27" s="705" t="s">
        <v>678</v>
      </c>
      <c r="C27" s="706" t="s">
        <v>677</v>
      </c>
      <c r="D27" s="706" t="s">
        <v>498</v>
      </c>
      <c r="E27" s="806">
        <v>-0.12</v>
      </c>
      <c r="F27" s="806">
        <v>-0.15</v>
      </c>
      <c r="G27" s="806">
        <v>-0.08</v>
      </c>
      <c r="H27" s="806">
        <v>-0.18</v>
      </c>
      <c r="I27" s="806">
        <v>-0.06</v>
      </c>
      <c r="J27" s="966">
        <f t="shared" si="1"/>
        <v>-0.11800000000000002</v>
      </c>
      <c r="K27" s="20"/>
      <c r="L27" s="20"/>
      <c r="M27" s="20"/>
      <c r="N27" s="20"/>
      <c r="O27" s="20"/>
      <c r="P27" s="20"/>
    </row>
    <row r="28" spans="1:16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x14ac:dyDescent="0.25">
      <c r="A29" s="20"/>
      <c r="B29" s="539" t="s">
        <v>679</v>
      </c>
      <c r="C29" s="539"/>
      <c r="D29" s="539"/>
      <c r="E29" s="539"/>
      <c r="F29" s="539"/>
      <c r="G29" s="539"/>
      <c r="H29" s="539"/>
      <c r="I29" s="539"/>
      <c r="J29" s="539"/>
      <c r="K29" s="539"/>
      <c r="L29" s="539"/>
      <c r="M29" s="539"/>
      <c r="N29" s="539"/>
      <c r="O29" s="539"/>
      <c r="P29" s="20"/>
    </row>
    <row r="30" spans="1:16" x14ac:dyDescent="0.25">
      <c r="A30" s="20"/>
      <c r="B30" s="14" t="s">
        <v>680</v>
      </c>
      <c r="C30" s="14" t="s">
        <v>681</v>
      </c>
      <c r="D30" s="14" t="s">
        <v>682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 x14ac:dyDescent="0.25">
      <c r="A31" s="20"/>
      <c r="B31" s="60" t="s">
        <v>683</v>
      </c>
      <c r="C31" s="61">
        <v>0.4</v>
      </c>
      <c r="D31" s="60" t="s">
        <v>684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x14ac:dyDescent="0.25">
      <c r="A32" s="20"/>
      <c r="B32" s="21" t="s">
        <v>685</v>
      </c>
      <c r="C32" s="37">
        <v>0.6</v>
      </c>
      <c r="D32" s="21" t="s">
        <v>686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x14ac:dyDescent="0.25">
      <c r="A33" s="20"/>
      <c r="B33" s="60" t="s">
        <v>687</v>
      </c>
      <c r="C33" s="60" t="s">
        <v>688</v>
      </c>
      <c r="D33" s="60" t="s">
        <v>689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x14ac:dyDescent="0.25">
      <c r="A34" s="20"/>
      <c r="B34" s="21" t="s">
        <v>690</v>
      </c>
      <c r="C34" s="21">
        <v>2</v>
      </c>
      <c r="D34" s="21" t="s">
        <v>691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x14ac:dyDescent="0.25">
      <c r="A35" s="20"/>
      <c r="B35" s="60" t="s">
        <v>692</v>
      </c>
      <c r="C35" s="60" t="s">
        <v>693</v>
      </c>
      <c r="D35" s="60" t="s">
        <v>694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x14ac:dyDescent="0.25">
      <c r="A36" s="20"/>
      <c r="B36" s="21" t="s">
        <v>695</v>
      </c>
      <c r="C36" s="21" t="s">
        <v>696</v>
      </c>
      <c r="D36" s="21" t="s">
        <v>697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x14ac:dyDescent="0.25">
      <c r="A37" s="20"/>
      <c r="B37" s="60" t="s">
        <v>698</v>
      </c>
      <c r="C37" s="61">
        <v>0.68</v>
      </c>
      <c r="D37" s="60" t="s">
        <v>699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x14ac:dyDescent="0.25">
      <c r="A38" s="20"/>
      <c r="B38" s="21" t="s">
        <v>700</v>
      </c>
      <c r="C38" s="21" t="s">
        <v>701</v>
      </c>
      <c r="D38" s="21" t="s">
        <v>702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 x14ac:dyDescent="0.25">
      <c r="A39" s="20"/>
      <c r="B39" s="60" t="s">
        <v>703</v>
      </c>
      <c r="C39" s="62">
        <v>0.312</v>
      </c>
      <c r="D39" s="60" t="s">
        <v>704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1:16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6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1:16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1:16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1:16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16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1:16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pans="1:16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6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1:16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</sheetData>
  <mergeCells count="4">
    <mergeCell ref="B2:O2"/>
    <mergeCell ref="B4:O4"/>
    <mergeCell ref="B16:O16"/>
    <mergeCell ref="B29:O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71D3-67A8-4165-9602-EC9DB10E3033}">
  <sheetPr>
    <tabColor rgb="FF27AE60"/>
  </sheetPr>
  <dimension ref="A1:H80"/>
  <sheetViews>
    <sheetView showGridLines="0" workbookViewId="0">
      <selection activeCell="D8" sqref="D8:H8"/>
    </sheetView>
  </sheetViews>
  <sheetFormatPr baseColWidth="10" defaultRowHeight="15" x14ac:dyDescent="0.25"/>
  <cols>
    <col min="2" max="2" width="13.28515625" bestFit="1" customWidth="1"/>
    <col min="3" max="3" width="32.42578125" bestFit="1" customWidth="1"/>
    <col min="4" max="8" width="15.28515625" customWidth="1"/>
  </cols>
  <sheetData>
    <row r="1" spans="1:8" x14ac:dyDescent="0.25">
      <c r="A1" s="20"/>
      <c r="B1" s="20"/>
      <c r="C1" s="20"/>
      <c r="D1" s="20"/>
      <c r="E1" s="20"/>
      <c r="F1" s="20"/>
      <c r="G1" s="20"/>
      <c r="H1" s="20"/>
    </row>
    <row r="2" spans="1:8" ht="17.25" x14ac:dyDescent="0.3">
      <c r="A2" s="20"/>
      <c r="B2" s="523" t="s">
        <v>705</v>
      </c>
      <c r="C2" s="523"/>
      <c r="D2" s="523"/>
      <c r="E2" s="523"/>
      <c r="F2" s="523"/>
      <c r="G2" s="523"/>
      <c r="H2" s="523"/>
    </row>
    <row r="3" spans="1:8" x14ac:dyDescent="0.25">
      <c r="A3" s="20"/>
      <c r="B3" s="544" t="s">
        <v>706</v>
      </c>
      <c r="C3" s="544"/>
      <c r="D3" s="544"/>
      <c r="E3" s="544"/>
      <c r="F3" s="544"/>
      <c r="G3" s="544"/>
      <c r="H3" s="544"/>
    </row>
    <row r="4" spans="1:8" x14ac:dyDescent="0.25">
      <c r="A4" s="20"/>
      <c r="B4" s="20"/>
      <c r="C4" s="20"/>
      <c r="D4" s="20"/>
      <c r="E4" s="20"/>
      <c r="F4" s="20"/>
      <c r="G4" s="20"/>
      <c r="H4" s="20"/>
    </row>
    <row r="5" spans="1:8" x14ac:dyDescent="0.25">
      <c r="A5" s="20"/>
      <c r="B5" s="488" t="s">
        <v>707</v>
      </c>
      <c r="C5" s="488"/>
      <c r="D5" s="488"/>
      <c r="E5" s="488"/>
      <c r="F5" s="488"/>
      <c r="G5" s="488"/>
      <c r="H5" s="488"/>
    </row>
    <row r="6" spans="1:8" x14ac:dyDescent="0.25">
      <c r="A6" s="20"/>
      <c r="B6" s="14" t="s">
        <v>708</v>
      </c>
      <c r="C6" s="14" t="s">
        <v>709</v>
      </c>
      <c r="D6" s="543" t="s">
        <v>710</v>
      </c>
      <c r="E6" s="543"/>
      <c r="F6" s="543"/>
      <c r="G6" s="543"/>
      <c r="H6" s="543"/>
    </row>
    <row r="7" spans="1:8" x14ac:dyDescent="0.25">
      <c r="A7" s="20"/>
      <c r="B7" s="63" t="s">
        <v>711</v>
      </c>
      <c r="C7" s="21" t="s">
        <v>712</v>
      </c>
      <c r="D7" s="540" t="s">
        <v>713</v>
      </c>
      <c r="E7" s="541"/>
      <c r="F7" s="541"/>
      <c r="G7" s="541"/>
      <c r="H7" s="541"/>
    </row>
    <row r="8" spans="1:8" x14ac:dyDescent="0.25">
      <c r="A8" s="20"/>
      <c r="B8" s="64" t="s">
        <v>714</v>
      </c>
      <c r="C8" s="23" t="s">
        <v>715</v>
      </c>
      <c r="D8" s="542" t="s">
        <v>716</v>
      </c>
      <c r="E8" s="541"/>
      <c r="F8" s="541"/>
      <c r="G8" s="541"/>
      <c r="H8" s="541"/>
    </row>
    <row r="9" spans="1:8" x14ac:dyDescent="0.25">
      <c r="A9" s="20"/>
      <c r="B9" s="63" t="s">
        <v>717</v>
      </c>
      <c r="C9" s="21" t="s">
        <v>718</v>
      </c>
      <c r="D9" s="540" t="s">
        <v>719</v>
      </c>
      <c r="E9" s="541"/>
      <c r="F9" s="541"/>
      <c r="G9" s="541"/>
      <c r="H9" s="541"/>
    </row>
    <row r="10" spans="1:8" x14ac:dyDescent="0.25">
      <c r="A10" s="20"/>
      <c r="B10" s="64" t="s">
        <v>720</v>
      </c>
      <c r="C10" s="23" t="s">
        <v>721</v>
      </c>
      <c r="D10" s="542" t="s">
        <v>722</v>
      </c>
      <c r="E10" s="541"/>
      <c r="F10" s="541"/>
      <c r="G10" s="541"/>
      <c r="H10" s="541"/>
    </row>
    <row r="11" spans="1:8" x14ac:dyDescent="0.25">
      <c r="A11" s="20"/>
      <c r="B11" s="20"/>
      <c r="C11" s="20"/>
      <c r="D11" s="20"/>
      <c r="E11" s="20"/>
      <c r="F11" s="20"/>
      <c r="G11" s="20"/>
      <c r="H11" s="20"/>
    </row>
    <row r="12" spans="1:8" x14ac:dyDescent="0.25">
      <c r="A12" s="20"/>
      <c r="B12" s="537" t="s">
        <v>723</v>
      </c>
      <c r="C12" s="537"/>
      <c r="D12" s="537"/>
      <c r="E12" s="537"/>
      <c r="F12" s="537"/>
      <c r="G12" s="537"/>
      <c r="H12" s="537"/>
    </row>
    <row r="13" spans="1:8" x14ac:dyDescent="0.25">
      <c r="A13" s="20"/>
      <c r="B13" s="14" t="s">
        <v>708</v>
      </c>
      <c r="C13" s="14" t="s">
        <v>709</v>
      </c>
      <c r="D13" s="543" t="s">
        <v>710</v>
      </c>
      <c r="E13" s="543"/>
      <c r="F13" s="543"/>
      <c r="G13" s="543"/>
      <c r="H13" s="543"/>
    </row>
    <row r="14" spans="1:8" x14ac:dyDescent="0.25">
      <c r="A14" s="20"/>
      <c r="B14" s="64" t="s">
        <v>724</v>
      </c>
      <c r="C14" s="23" t="s">
        <v>725</v>
      </c>
      <c r="D14" s="542" t="s">
        <v>726</v>
      </c>
      <c r="E14" s="541"/>
      <c r="F14" s="541"/>
      <c r="G14" s="541"/>
      <c r="H14" s="541"/>
    </row>
    <row r="15" spans="1:8" x14ac:dyDescent="0.25">
      <c r="A15" s="20"/>
      <c r="B15" s="63" t="s">
        <v>727</v>
      </c>
      <c r="C15" s="21" t="s">
        <v>728</v>
      </c>
      <c r="D15" s="540" t="s">
        <v>729</v>
      </c>
      <c r="E15" s="541"/>
      <c r="F15" s="541"/>
      <c r="G15" s="541"/>
      <c r="H15" s="541"/>
    </row>
    <row r="16" spans="1:8" x14ac:dyDescent="0.25">
      <c r="A16" s="20"/>
      <c r="B16" s="64" t="s">
        <v>642</v>
      </c>
      <c r="C16" s="23" t="s">
        <v>730</v>
      </c>
      <c r="D16" s="542" t="s">
        <v>731</v>
      </c>
      <c r="E16" s="541"/>
      <c r="F16" s="541"/>
      <c r="G16" s="541"/>
      <c r="H16" s="541"/>
    </row>
    <row r="17" spans="1:8" x14ac:dyDescent="0.25">
      <c r="A17" s="20"/>
      <c r="B17" s="63" t="s">
        <v>642</v>
      </c>
      <c r="C17" s="21" t="s">
        <v>732</v>
      </c>
      <c r="D17" s="540" t="s">
        <v>733</v>
      </c>
      <c r="E17" s="541"/>
      <c r="F17" s="541"/>
      <c r="G17" s="541"/>
      <c r="H17" s="541"/>
    </row>
    <row r="18" spans="1:8" x14ac:dyDescent="0.25">
      <c r="A18" s="20"/>
      <c r="B18" s="64" t="s">
        <v>734</v>
      </c>
      <c r="C18" s="23" t="s">
        <v>735</v>
      </c>
      <c r="D18" s="542" t="s">
        <v>736</v>
      </c>
      <c r="E18" s="541"/>
      <c r="F18" s="541"/>
      <c r="G18" s="541"/>
      <c r="H18" s="541"/>
    </row>
    <row r="19" spans="1:8" x14ac:dyDescent="0.25">
      <c r="A19" s="20"/>
      <c r="B19" s="63" t="s">
        <v>737</v>
      </c>
      <c r="C19" s="21" t="s">
        <v>738</v>
      </c>
      <c r="D19" s="540" t="s">
        <v>739</v>
      </c>
      <c r="E19" s="541"/>
      <c r="F19" s="541"/>
      <c r="G19" s="541"/>
      <c r="H19" s="541"/>
    </row>
    <row r="20" spans="1:8" x14ac:dyDescent="0.25">
      <c r="A20" s="20"/>
      <c r="B20" s="64" t="s">
        <v>740</v>
      </c>
      <c r="C20" s="23" t="s">
        <v>741</v>
      </c>
      <c r="D20" s="542" t="s">
        <v>742</v>
      </c>
      <c r="E20" s="541"/>
      <c r="F20" s="541"/>
      <c r="G20" s="541"/>
      <c r="H20" s="541"/>
    </row>
    <row r="21" spans="1:8" x14ac:dyDescent="0.25">
      <c r="A21" s="20"/>
      <c r="B21" s="20"/>
      <c r="C21" s="20"/>
      <c r="D21" s="20"/>
      <c r="E21" s="20"/>
      <c r="F21" s="20"/>
      <c r="G21" s="20"/>
      <c r="H21" s="20"/>
    </row>
    <row r="22" spans="1:8" x14ac:dyDescent="0.25">
      <c r="A22" s="20"/>
      <c r="B22" s="537" t="s">
        <v>743</v>
      </c>
      <c r="C22" s="537"/>
      <c r="D22" s="537"/>
      <c r="E22" s="537"/>
      <c r="F22" s="537"/>
      <c r="G22" s="537"/>
      <c r="H22" s="537"/>
    </row>
    <row r="23" spans="1:8" x14ac:dyDescent="0.25">
      <c r="A23" s="20"/>
      <c r="B23" s="14" t="s">
        <v>708</v>
      </c>
      <c r="C23" s="14" t="s">
        <v>709</v>
      </c>
      <c r="D23" s="543" t="s">
        <v>710</v>
      </c>
      <c r="E23" s="543"/>
      <c r="F23" s="543"/>
      <c r="G23" s="543"/>
      <c r="H23" s="543"/>
    </row>
    <row r="24" spans="1:8" x14ac:dyDescent="0.25">
      <c r="A24" s="20"/>
      <c r="B24" s="64" t="s">
        <v>744</v>
      </c>
      <c r="C24" s="23" t="s">
        <v>745</v>
      </c>
      <c r="D24" s="542" t="s">
        <v>746</v>
      </c>
      <c r="E24" s="541"/>
      <c r="F24" s="541"/>
      <c r="G24" s="541"/>
      <c r="H24" s="541"/>
    </row>
    <row r="25" spans="1:8" x14ac:dyDescent="0.25">
      <c r="A25" s="20"/>
      <c r="B25" s="63" t="s">
        <v>656</v>
      </c>
      <c r="C25" s="21" t="s">
        <v>747</v>
      </c>
      <c r="D25" s="540" t="s">
        <v>748</v>
      </c>
      <c r="E25" s="541"/>
      <c r="F25" s="541"/>
      <c r="G25" s="541"/>
      <c r="H25" s="541"/>
    </row>
    <row r="26" spans="1:8" x14ac:dyDescent="0.25">
      <c r="A26" s="20"/>
      <c r="B26" s="20"/>
      <c r="C26" s="20"/>
      <c r="D26" s="20"/>
      <c r="E26" s="20"/>
      <c r="F26" s="20"/>
      <c r="G26" s="20"/>
      <c r="H26" s="20"/>
    </row>
    <row r="27" spans="1:8" x14ac:dyDescent="0.25">
      <c r="A27" s="20"/>
      <c r="B27" s="538" t="s">
        <v>749</v>
      </c>
      <c r="C27" s="538"/>
      <c r="D27" s="538"/>
      <c r="E27" s="538"/>
      <c r="F27" s="538"/>
      <c r="G27" s="538"/>
      <c r="H27" s="538"/>
    </row>
    <row r="28" spans="1:8" x14ac:dyDescent="0.25">
      <c r="A28" s="20"/>
      <c r="B28" s="14" t="s">
        <v>708</v>
      </c>
      <c r="C28" s="14" t="s">
        <v>709</v>
      </c>
      <c r="D28" s="543" t="s">
        <v>710</v>
      </c>
      <c r="E28" s="543"/>
      <c r="F28" s="543"/>
      <c r="G28" s="543"/>
      <c r="H28" s="543"/>
    </row>
    <row r="29" spans="1:8" x14ac:dyDescent="0.25">
      <c r="A29" s="20"/>
      <c r="B29" s="63" t="s">
        <v>661</v>
      </c>
      <c r="C29" s="21" t="s">
        <v>750</v>
      </c>
      <c r="D29" s="540" t="s">
        <v>751</v>
      </c>
      <c r="E29" s="541"/>
      <c r="F29" s="541"/>
      <c r="G29" s="541"/>
      <c r="H29" s="541"/>
    </row>
    <row r="30" spans="1:8" x14ac:dyDescent="0.25">
      <c r="A30" s="20"/>
      <c r="B30" s="64" t="s">
        <v>667</v>
      </c>
      <c r="C30" s="23" t="s">
        <v>752</v>
      </c>
      <c r="D30" s="542" t="s">
        <v>753</v>
      </c>
      <c r="E30" s="541"/>
      <c r="F30" s="541"/>
      <c r="G30" s="541"/>
      <c r="H30" s="541"/>
    </row>
    <row r="31" spans="1:8" x14ac:dyDescent="0.25">
      <c r="A31" s="20"/>
      <c r="B31" s="63" t="s">
        <v>670</v>
      </c>
      <c r="C31" s="21" t="s">
        <v>754</v>
      </c>
      <c r="D31" s="540" t="s">
        <v>755</v>
      </c>
      <c r="E31" s="541"/>
      <c r="F31" s="541"/>
      <c r="G31" s="541"/>
      <c r="H31" s="541"/>
    </row>
    <row r="32" spans="1:8" x14ac:dyDescent="0.25">
      <c r="A32" s="20"/>
      <c r="B32" s="64" t="s">
        <v>673</v>
      </c>
      <c r="C32" s="23" t="s">
        <v>756</v>
      </c>
      <c r="D32" s="542" t="s">
        <v>757</v>
      </c>
      <c r="E32" s="541"/>
      <c r="F32" s="541"/>
      <c r="G32" s="541"/>
      <c r="H32" s="541"/>
    </row>
    <row r="33" spans="1:8" x14ac:dyDescent="0.25">
      <c r="A33" s="20"/>
      <c r="B33" s="63" t="s">
        <v>677</v>
      </c>
      <c r="C33" s="21" t="s">
        <v>758</v>
      </c>
      <c r="D33" s="540" t="s">
        <v>759</v>
      </c>
      <c r="E33" s="541"/>
      <c r="F33" s="541"/>
      <c r="G33" s="541"/>
      <c r="H33" s="541"/>
    </row>
    <row r="34" spans="1:8" x14ac:dyDescent="0.25">
      <c r="A34" s="20"/>
      <c r="B34" s="20"/>
      <c r="C34" s="20"/>
      <c r="D34" s="20"/>
      <c r="E34" s="20"/>
      <c r="F34" s="20"/>
      <c r="G34" s="20"/>
      <c r="H34" s="20"/>
    </row>
    <row r="35" spans="1:8" x14ac:dyDescent="0.25">
      <c r="A35" s="20"/>
      <c r="B35" s="539" t="s">
        <v>760</v>
      </c>
      <c r="C35" s="539"/>
      <c r="D35" s="539"/>
      <c r="E35" s="539"/>
      <c r="F35" s="539"/>
      <c r="G35" s="539"/>
      <c r="H35" s="539"/>
    </row>
    <row r="36" spans="1:8" x14ac:dyDescent="0.25">
      <c r="A36" s="20"/>
      <c r="B36" s="14" t="s">
        <v>708</v>
      </c>
      <c r="C36" s="14" t="s">
        <v>709</v>
      </c>
      <c r="D36" s="543" t="s">
        <v>710</v>
      </c>
      <c r="E36" s="543"/>
      <c r="F36" s="543"/>
      <c r="G36" s="543"/>
      <c r="H36" s="543"/>
    </row>
    <row r="37" spans="1:8" x14ac:dyDescent="0.25">
      <c r="A37" s="20"/>
      <c r="B37" s="63" t="s">
        <v>761</v>
      </c>
      <c r="C37" s="21" t="s">
        <v>762</v>
      </c>
      <c r="D37" s="540" t="s">
        <v>763</v>
      </c>
      <c r="E37" s="541"/>
      <c r="F37" s="541"/>
      <c r="G37" s="541"/>
      <c r="H37" s="541"/>
    </row>
    <row r="38" spans="1:8" x14ac:dyDescent="0.25">
      <c r="A38" s="20"/>
      <c r="B38" s="64" t="s">
        <v>764</v>
      </c>
      <c r="C38" s="23" t="s">
        <v>765</v>
      </c>
      <c r="D38" s="542" t="s">
        <v>766</v>
      </c>
      <c r="E38" s="541"/>
      <c r="F38" s="541"/>
      <c r="G38" s="541"/>
      <c r="H38" s="541"/>
    </row>
    <row r="39" spans="1:8" x14ac:dyDescent="0.25">
      <c r="A39" s="20"/>
      <c r="B39" s="63" t="s">
        <v>767</v>
      </c>
      <c r="C39" s="21" t="s">
        <v>768</v>
      </c>
      <c r="D39" s="540" t="s">
        <v>769</v>
      </c>
      <c r="E39" s="541"/>
      <c r="F39" s="541"/>
      <c r="G39" s="541"/>
      <c r="H39" s="541"/>
    </row>
    <row r="40" spans="1:8" x14ac:dyDescent="0.25">
      <c r="A40" s="20"/>
      <c r="B40" s="64" t="s">
        <v>770</v>
      </c>
      <c r="C40" s="23" t="s">
        <v>771</v>
      </c>
      <c r="D40" s="542" t="s">
        <v>772</v>
      </c>
      <c r="E40" s="541"/>
      <c r="F40" s="541"/>
      <c r="G40" s="541"/>
      <c r="H40" s="541"/>
    </row>
    <row r="41" spans="1:8" x14ac:dyDescent="0.25">
      <c r="A41" s="20"/>
      <c r="B41" s="20"/>
      <c r="C41" s="20"/>
      <c r="D41" s="20"/>
      <c r="E41" s="20"/>
      <c r="F41" s="20"/>
      <c r="G41" s="20"/>
      <c r="H41" s="20"/>
    </row>
    <row r="42" spans="1:8" x14ac:dyDescent="0.25">
      <c r="A42" s="20"/>
      <c r="B42" s="20"/>
      <c r="C42" s="20"/>
      <c r="D42" s="20"/>
      <c r="E42" s="20"/>
      <c r="F42" s="20"/>
      <c r="G42" s="20"/>
      <c r="H42" s="20"/>
    </row>
    <row r="43" spans="1:8" x14ac:dyDescent="0.25">
      <c r="A43" s="20"/>
      <c r="B43" s="20"/>
      <c r="C43" s="20"/>
      <c r="D43" s="20"/>
      <c r="E43" s="20"/>
      <c r="F43" s="20"/>
      <c r="G43" s="20"/>
      <c r="H43" s="20"/>
    </row>
    <row r="44" spans="1:8" x14ac:dyDescent="0.25">
      <c r="A44" s="20"/>
      <c r="B44" s="20"/>
      <c r="C44" s="20"/>
      <c r="D44" s="20"/>
      <c r="E44" s="20"/>
      <c r="F44" s="20"/>
      <c r="G44" s="20"/>
      <c r="H44" s="20"/>
    </row>
    <row r="45" spans="1:8" x14ac:dyDescent="0.25">
      <c r="A45" s="20"/>
      <c r="B45" s="20"/>
      <c r="C45" s="20"/>
      <c r="D45" s="20"/>
      <c r="E45" s="20"/>
      <c r="F45" s="20"/>
      <c r="G45" s="20"/>
      <c r="H45" s="20"/>
    </row>
    <row r="46" spans="1:8" x14ac:dyDescent="0.25">
      <c r="A46" s="20"/>
      <c r="B46" s="20"/>
      <c r="C46" s="20"/>
      <c r="D46" s="20"/>
      <c r="E46" s="20"/>
      <c r="F46" s="20"/>
      <c r="G46" s="20"/>
      <c r="H46" s="20"/>
    </row>
    <row r="47" spans="1:8" x14ac:dyDescent="0.25">
      <c r="A47" s="20"/>
      <c r="B47" s="20"/>
      <c r="C47" s="20"/>
      <c r="D47" s="20"/>
      <c r="E47" s="20"/>
      <c r="F47" s="20"/>
      <c r="G47" s="20"/>
      <c r="H47" s="20"/>
    </row>
    <row r="48" spans="1:8" x14ac:dyDescent="0.25">
      <c r="A48" s="20"/>
      <c r="B48" s="20"/>
      <c r="C48" s="20"/>
      <c r="D48" s="20"/>
      <c r="E48" s="20"/>
      <c r="F48" s="20"/>
      <c r="G48" s="20"/>
      <c r="H48" s="20"/>
    </row>
    <row r="49" spans="1:8" x14ac:dyDescent="0.25">
      <c r="A49" s="20"/>
      <c r="B49" s="20"/>
      <c r="C49" s="20"/>
      <c r="D49" s="20"/>
      <c r="E49" s="20"/>
      <c r="F49" s="20"/>
      <c r="G49" s="20"/>
      <c r="H49" s="20"/>
    </row>
    <row r="50" spans="1:8" x14ac:dyDescent="0.25">
      <c r="A50" s="20"/>
      <c r="B50" s="20"/>
      <c r="C50" s="20"/>
      <c r="D50" s="20"/>
      <c r="E50" s="20"/>
      <c r="F50" s="20"/>
      <c r="G50" s="20"/>
      <c r="H50" s="20"/>
    </row>
    <row r="51" spans="1:8" x14ac:dyDescent="0.25">
      <c r="A51" s="20"/>
      <c r="B51" s="20"/>
      <c r="C51" s="20"/>
      <c r="D51" s="20"/>
      <c r="E51" s="20"/>
      <c r="F51" s="20"/>
      <c r="G51" s="20"/>
      <c r="H51" s="20"/>
    </row>
    <row r="52" spans="1:8" x14ac:dyDescent="0.25">
      <c r="A52" s="20"/>
      <c r="B52" s="20"/>
      <c r="C52" s="20"/>
      <c r="D52" s="20"/>
      <c r="E52" s="20"/>
      <c r="F52" s="20"/>
      <c r="G52" s="20"/>
      <c r="H52" s="20"/>
    </row>
    <row r="53" spans="1:8" x14ac:dyDescent="0.25">
      <c r="A53" s="20"/>
      <c r="B53" s="20"/>
      <c r="C53" s="20"/>
      <c r="D53" s="20"/>
      <c r="E53" s="20"/>
      <c r="F53" s="20"/>
      <c r="G53" s="20"/>
      <c r="H53" s="20"/>
    </row>
    <row r="54" spans="1:8" x14ac:dyDescent="0.25">
      <c r="A54" s="20"/>
      <c r="B54" s="20"/>
      <c r="C54" s="20"/>
      <c r="D54" s="20"/>
      <c r="E54" s="20"/>
      <c r="F54" s="20"/>
      <c r="G54" s="20"/>
      <c r="H54" s="20"/>
    </row>
    <row r="55" spans="1:8" x14ac:dyDescent="0.25">
      <c r="A55" s="20"/>
      <c r="B55" s="20"/>
      <c r="C55" s="20"/>
      <c r="D55" s="20"/>
      <c r="E55" s="20"/>
      <c r="F55" s="20"/>
      <c r="G55" s="20"/>
      <c r="H55" s="20"/>
    </row>
    <row r="56" spans="1:8" x14ac:dyDescent="0.25">
      <c r="A56" s="20"/>
      <c r="B56" s="20"/>
      <c r="C56" s="20"/>
      <c r="D56" s="20"/>
      <c r="E56" s="20"/>
      <c r="F56" s="20"/>
      <c r="G56" s="20"/>
      <c r="H56" s="20"/>
    </row>
    <row r="57" spans="1:8" x14ac:dyDescent="0.25">
      <c r="A57" s="20"/>
      <c r="B57" s="20"/>
      <c r="C57" s="20"/>
      <c r="D57" s="20"/>
      <c r="E57" s="20"/>
      <c r="F57" s="20"/>
      <c r="G57" s="20"/>
      <c r="H57" s="20"/>
    </row>
    <row r="58" spans="1:8" x14ac:dyDescent="0.25">
      <c r="A58" s="20"/>
      <c r="B58" s="20"/>
      <c r="C58" s="20"/>
      <c r="D58" s="20"/>
      <c r="E58" s="20"/>
      <c r="F58" s="20"/>
      <c r="G58" s="20"/>
      <c r="H58" s="20"/>
    </row>
    <row r="59" spans="1:8" x14ac:dyDescent="0.25">
      <c r="A59" s="20"/>
      <c r="B59" s="20"/>
      <c r="C59" s="20"/>
      <c r="D59" s="20"/>
      <c r="E59" s="20"/>
      <c r="F59" s="20"/>
      <c r="G59" s="20"/>
      <c r="H59" s="20"/>
    </row>
    <row r="60" spans="1:8" x14ac:dyDescent="0.25">
      <c r="A60" s="20"/>
      <c r="B60" s="20"/>
      <c r="C60" s="20"/>
      <c r="D60" s="20"/>
      <c r="E60" s="20"/>
      <c r="F60" s="20"/>
      <c r="G60" s="20"/>
      <c r="H60" s="20"/>
    </row>
    <row r="61" spans="1:8" x14ac:dyDescent="0.25">
      <c r="A61" s="20"/>
      <c r="B61" s="20"/>
      <c r="C61" s="20"/>
      <c r="D61" s="20"/>
      <c r="E61" s="20"/>
      <c r="F61" s="20"/>
      <c r="G61" s="20"/>
      <c r="H61" s="20"/>
    </row>
    <row r="62" spans="1:8" x14ac:dyDescent="0.25">
      <c r="A62" s="20"/>
      <c r="B62" s="20"/>
      <c r="C62" s="20"/>
      <c r="D62" s="20"/>
      <c r="E62" s="20"/>
      <c r="F62" s="20"/>
      <c r="G62" s="20"/>
      <c r="H62" s="20"/>
    </row>
    <row r="63" spans="1:8" x14ac:dyDescent="0.25">
      <c r="A63" s="20"/>
      <c r="B63" s="20"/>
      <c r="C63" s="20"/>
      <c r="D63" s="20"/>
      <c r="E63" s="20"/>
      <c r="F63" s="20"/>
      <c r="G63" s="20"/>
      <c r="H63" s="20"/>
    </row>
    <row r="64" spans="1:8" x14ac:dyDescent="0.25">
      <c r="A64" s="20"/>
      <c r="B64" s="20"/>
      <c r="C64" s="20"/>
      <c r="D64" s="20"/>
      <c r="E64" s="20"/>
      <c r="F64" s="20"/>
      <c r="G64" s="20"/>
      <c r="H64" s="20"/>
    </row>
    <row r="65" spans="1:8" x14ac:dyDescent="0.25">
      <c r="A65" s="20"/>
      <c r="B65" s="20"/>
      <c r="C65" s="20"/>
      <c r="D65" s="20"/>
      <c r="E65" s="20"/>
      <c r="F65" s="20"/>
      <c r="G65" s="20"/>
      <c r="H65" s="20"/>
    </row>
    <row r="66" spans="1:8" x14ac:dyDescent="0.25">
      <c r="A66" s="20"/>
      <c r="B66" s="20"/>
      <c r="C66" s="20"/>
      <c r="D66" s="20"/>
      <c r="E66" s="20"/>
      <c r="F66" s="20"/>
      <c r="G66" s="20"/>
      <c r="H66" s="20"/>
    </row>
    <row r="67" spans="1:8" x14ac:dyDescent="0.25">
      <c r="A67" s="20"/>
      <c r="B67" s="20"/>
      <c r="C67" s="20"/>
      <c r="D67" s="20"/>
      <c r="E67" s="20"/>
      <c r="F67" s="20"/>
      <c r="G67" s="20"/>
      <c r="H67" s="20"/>
    </row>
    <row r="68" spans="1:8" x14ac:dyDescent="0.25">
      <c r="A68" s="20"/>
      <c r="B68" s="20"/>
      <c r="C68" s="20"/>
      <c r="D68" s="20"/>
      <c r="E68" s="20"/>
      <c r="F68" s="20"/>
      <c r="G68" s="20"/>
      <c r="H68" s="20"/>
    </row>
    <row r="69" spans="1:8" x14ac:dyDescent="0.25">
      <c r="A69" s="20"/>
      <c r="B69" s="20"/>
      <c r="C69" s="20"/>
      <c r="D69" s="20"/>
      <c r="E69" s="20"/>
      <c r="F69" s="20"/>
      <c r="G69" s="20"/>
      <c r="H69" s="20"/>
    </row>
    <row r="70" spans="1:8" x14ac:dyDescent="0.25">
      <c r="A70" s="20"/>
      <c r="B70" s="20"/>
      <c r="C70" s="20"/>
      <c r="D70" s="20"/>
      <c r="E70" s="20"/>
      <c r="F70" s="20"/>
      <c r="G70" s="20"/>
      <c r="H70" s="20"/>
    </row>
    <row r="71" spans="1:8" x14ac:dyDescent="0.25">
      <c r="A71" s="20"/>
      <c r="B71" s="20"/>
      <c r="C71" s="20"/>
      <c r="D71" s="20"/>
      <c r="E71" s="20"/>
      <c r="F71" s="20"/>
      <c r="G71" s="20"/>
      <c r="H71" s="20"/>
    </row>
    <row r="72" spans="1:8" x14ac:dyDescent="0.25">
      <c r="A72" s="20"/>
      <c r="B72" s="20"/>
      <c r="C72" s="20"/>
      <c r="D72" s="20"/>
      <c r="E72" s="20"/>
      <c r="F72" s="20"/>
      <c r="G72" s="20"/>
      <c r="H72" s="20"/>
    </row>
    <row r="73" spans="1:8" x14ac:dyDescent="0.25">
      <c r="A73" s="20"/>
      <c r="B73" s="20"/>
      <c r="C73" s="20"/>
      <c r="D73" s="20"/>
      <c r="E73" s="20"/>
      <c r="F73" s="20"/>
      <c r="G73" s="20"/>
      <c r="H73" s="20"/>
    </row>
    <row r="74" spans="1:8" x14ac:dyDescent="0.25">
      <c r="A74" s="20"/>
      <c r="B74" s="20"/>
      <c r="C74" s="20"/>
      <c r="D74" s="20"/>
      <c r="E74" s="20"/>
      <c r="F74" s="20"/>
      <c r="G74" s="20"/>
      <c r="H74" s="20"/>
    </row>
    <row r="75" spans="1:8" x14ac:dyDescent="0.25">
      <c r="A75" s="20"/>
      <c r="B75" s="20"/>
      <c r="C75" s="20"/>
      <c r="D75" s="20"/>
      <c r="E75" s="20"/>
      <c r="F75" s="20"/>
      <c r="G75" s="20"/>
      <c r="H75" s="20"/>
    </row>
    <row r="76" spans="1:8" x14ac:dyDescent="0.25">
      <c r="A76" s="20"/>
      <c r="B76" s="20"/>
      <c r="C76" s="20"/>
      <c r="D76" s="20"/>
      <c r="E76" s="20"/>
      <c r="F76" s="20"/>
      <c r="G76" s="20"/>
      <c r="H76" s="20"/>
    </row>
    <row r="77" spans="1:8" x14ac:dyDescent="0.25">
      <c r="A77" s="20"/>
      <c r="B77" s="20"/>
      <c r="C77" s="20"/>
      <c r="D77" s="20"/>
      <c r="E77" s="20"/>
      <c r="F77" s="20"/>
      <c r="G77" s="20"/>
      <c r="H77" s="20"/>
    </row>
    <row r="78" spans="1:8" x14ac:dyDescent="0.25">
      <c r="A78" s="20"/>
      <c r="B78" s="20"/>
      <c r="C78" s="20"/>
      <c r="D78" s="20"/>
      <c r="E78" s="20"/>
      <c r="F78" s="20"/>
      <c r="G78" s="20"/>
      <c r="H78" s="20"/>
    </row>
    <row r="79" spans="1:8" x14ac:dyDescent="0.25">
      <c r="A79" s="20"/>
      <c r="B79" s="20"/>
      <c r="C79" s="20"/>
      <c r="D79" s="20"/>
      <c r="E79" s="20"/>
      <c r="F79" s="20"/>
      <c r="G79" s="20"/>
      <c r="H79" s="20"/>
    </row>
    <row r="80" spans="1:8" x14ac:dyDescent="0.25">
      <c r="A80" s="20"/>
      <c r="B80" s="20"/>
      <c r="C80" s="20"/>
      <c r="D80" s="20"/>
      <c r="E80" s="20"/>
      <c r="F80" s="20"/>
      <c r="G80" s="20"/>
      <c r="H80" s="20"/>
    </row>
  </sheetData>
  <mergeCells count="34">
    <mergeCell ref="D15:H15"/>
    <mergeCell ref="B2:H2"/>
    <mergeCell ref="B3:H3"/>
    <mergeCell ref="B5:H5"/>
    <mergeCell ref="D6:H6"/>
    <mergeCell ref="D7:H7"/>
    <mergeCell ref="D8:H8"/>
    <mergeCell ref="D9:H9"/>
    <mergeCell ref="D10:H10"/>
    <mergeCell ref="B12:H12"/>
    <mergeCell ref="D13:H13"/>
    <mergeCell ref="D14:H14"/>
    <mergeCell ref="D29:H29"/>
    <mergeCell ref="D16:H16"/>
    <mergeCell ref="D17:H17"/>
    <mergeCell ref="D18:H18"/>
    <mergeCell ref="D19:H19"/>
    <mergeCell ref="D20:H20"/>
    <mergeCell ref="B22:H22"/>
    <mergeCell ref="D23:H23"/>
    <mergeCell ref="D24:H24"/>
    <mergeCell ref="D25:H25"/>
    <mergeCell ref="B27:H27"/>
    <mergeCell ref="D28:H28"/>
    <mergeCell ref="D37:H37"/>
    <mergeCell ref="D38:H38"/>
    <mergeCell ref="D39:H39"/>
    <mergeCell ref="D40:H40"/>
    <mergeCell ref="D30:H30"/>
    <mergeCell ref="D31:H31"/>
    <mergeCell ref="D32:H32"/>
    <mergeCell ref="D33:H33"/>
    <mergeCell ref="B35:H35"/>
    <mergeCell ref="D36:H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23C5-B797-4D2F-A0CF-4E8199983CDF}">
  <sheetPr>
    <tabColor rgb="FFE67E22"/>
  </sheetPr>
  <dimension ref="A1:S60"/>
  <sheetViews>
    <sheetView workbookViewId="0">
      <selection activeCell="H5" sqref="H5:I5"/>
    </sheetView>
  </sheetViews>
  <sheetFormatPr baseColWidth="10" defaultRowHeight="15" x14ac:dyDescent="0.25"/>
  <cols>
    <col min="1" max="1" width="3.85546875" customWidth="1"/>
    <col min="2" max="2" width="38.140625" customWidth="1"/>
    <col min="3" max="6" width="18.140625" customWidth="1"/>
    <col min="7" max="7" width="32.5703125" customWidth="1"/>
    <col min="8" max="8" width="30.5703125" customWidth="1"/>
    <col min="9" max="18" width="19" customWidth="1"/>
  </cols>
  <sheetData>
    <row r="1" spans="1:1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24" x14ac:dyDescent="0.4">
      <c r="A2" s="47"/>
      <c r="B2" s="545" t="s">
        <v>773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47"/>
    </row>
    <row r="3" spans="1:19" x14ac:dyDescent="0.25">
      <c r="A3" s="47"/>
      <c r="B3" s="546" t="s">
        <v>774</v>
      </c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47"/>
    </row>
    <row r="4" spans="1:19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x14ac:dyDescent="0.25">
      <c r="A5" s="47"/>
      <c r="B5" s="905" t="s">
        <v>775</v>
      </c>
      <c r="C5" s="905"/>
      <c r="D5" s="47"/>
      <c r="E5" s="903" t="s">
        <v>777</v>
      </c>
      <c r="F5" s="903"/>
      <c r="G5" s="47"/>
      <c r="H5" s="908" t="s">
        <v>779</v>
      </c>
      <c r="I5" s="908"/>
      <c r="J5" s="47"/>
      <c r="K5" s="913" t="s">
        <v>781</v>
      </c>
      <c r="L5" s="913"/>
      <c r="M5" s="47"/>
      <c r="N5" s="918" t="s">
        <v>783</v>
      </c>
      <c r="O5" s="918"/>
      <c r="P5" s="47"/>
      <c r="Q5" s="47"/>
      <c r="R5" s="47"/>
      <c r="S5" s="47"/>
    </row>
    <row r="6" spans="1:19" ht="24" x14ac:dyDescent="0.4">
      <c r="A6" s="47"/>
      <c r="B6" s="906">
        <f>CONSOL_CR!K7</f>
        <v>817075</v>
      </c>
      <c r="C6" s="906"/>
      <c r="D6" s="47"/>
      <c r="E6" s="973">
        <f>CONSOL_CR!K14</f>
        <v>153798</v>
      </c>
      <c r="F6" s="973"/>
      <c r="G6" s="47"/>
      <c r="H6" s="909">
        <f>IFERROR(CONSOL_CR!K14/CONSOL_CR!K7,0)</f>
        <v>0.1882299666493284</v>
      </c>
      <c r="I6" s="909"/>
      <c r="J6" s="47"/>
      <c r="K6" s="914">
        <f>CONSOL_CR!K30</f>
        <v>82110</v>
      </c>
      <c r="L6" s="914"/>
      <c r="M6" s="47"/>
      <c r="N6" s="919">
        <f>CONSOL_TRESORERIE!C28</f>
        <v>220091</v>
      </c>
      <c r="O6" s="919"/>
      <c r="P6" s="47"/>
      <c r="Q6" s="47"/>
      <c r="R6" s="47"/>
      <c r="S6" s="47"/>
    </row>
    <row r="7" spans="1:19" x14ac:dyDescent="0.25">
      <c r="A7" s="47"/>
      <c r="B7" s="907" t="s">
        <v>776</v>
      </c>
      <c r="C7" s="907"/>
      <c r="D7" s="47"/>
      <c r="E7" s="904" t="s">
        <v>778</v>
      </c>
      <c r="F7" s="904"/>
      <c r="G7" s="47"/>
      <c r="H7" s="910" t="s">
        <v>780</v>
      </c>
      <c r="I7" s="910"/>
      <c r="J7" s="47"/>
      <c r="K7" s="915" t="s">
        <v>782</v>
      </c>
      <c r="L7" s="915"/>
      <c r="M7" s="47"/>
      <c r="N7" s="920" t="s">
        <v>784</v>
      </c>
      <c r="O7" s="920"/>
      <c r="P7" s="47"/>
      <c r="Q7" s="47"/>
      <c r="R7" s="47"/>
      <c r="S7" s="47"/>
    </row>
    <row r="8" spans="1:19" x14ac:dyDescent="0.25">
      <c r="A8" s="47"/>
      <c r="B8" s="907"/>
      <c r="C8" s="907"/>
      <c r="D8" s="47"/>
      <c r="E8" s="904"/>
      <c r="F8" s="904"/>
      <c r="G8" s="47"/>
      <c r="H8" s="910"/>
      <c r="I8" s="910"/>
      <c r="J8" s="47"/>
      <c r="K8" s="915"/>
      <c r="L8" s="915"/>
      <c r="M8" s="47"/>
      <c r="N8" s="920"/>
      <c r="O8" s="920"/>
      <c r="P8" s="47"/>
      <c r="Q8" s="47"/>
      <c r="R8" s="47"/>
      <c r="S8" s="47"/>
    </row>
    <row r="9" spans="1:19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</row>
    <row r="10" spans="1:19" x14ac:dyDescent="0.25">
      <c r="A10" s="47"/>
      <c r="B10" s="925" t="s">
        <v>785</v>
      </c>
      <c r="C10" s="925"/>
      <c r="D10" s="47"/>
      <c r="E10" s="926" t="s">
        <v>786</v>
      </c>
      <c r="F10" s="926"/>
      <c r="G10" s="47"/>
      <c r="H10" s="911" t="s">
        <v>787</v>
      </c>
      <c r="I10" s="911"/>
      <c r="J10" s="47"/>
      <c r="K10" s="916" t="s">
        <v>788</v>
      </c>
      <c r="L10" s="916"/>
      <c r="M10" s="47"/>
      <c r="N10" s="921" t="s">
        <v>789</v>
      </c>
      <c r="O10" s="921"/>
      <c r="P10" s="47"/>
      <c r="Q10" s="47"/>
      <c r="R10" s="47"/>
      <c r="S10" s="47"/>
    </row>
    <row r="11" spans="1:19" ht="18.75" customHeight="1" x14ac:dyDescent="0.25">
      <c r="A11" s="47"/>
      <c r="B11" s="924">
        <f>CONSOL_CR!K14-CONSOL_CR!K12</f>
        <v>216451</v>
      </c>
      <c r="C11" s="924"/>
      <c r="D11" s="47"/>
      <c r="E11" s="927">
        <f>IFERROR((CONSOL_CR!K14-CONSOL_CR!K12)/CONSOL_CR!K7,0)</f>
        <v>0.26490958602331488</v>
      </c>
      <c r="F11" s="927"/>
      <c r="G11" s="47"/>
      <c r="H11" s="912">
        <f>ABS(CONSOL_TRESORERIE!C14)</f>
        <v>48200</v>
      </c>
      <c r="I11" s="912"/>
      <c r="J11" s="47"/>
      <c r="K11" s="917">
        <f>CONSOL_BILAN!J30+CONSOL_BILAN!J37-CONSOL_BILAN!J18</f>
        <v>205512</v>
      </c>
      <c r="L11" s="917"/>
      <c r="M11" s="47"/>
      <c r="N11" s="922">
        <f>CONSOL_CR!K24</f>
        <v>160319</v>
      </c>
      <c r="O11" s="922"/>
      <c r="P11" s="47"/>
      <c r="Q11" s="47"/>
      <c r="R11" s="47"/>
      <c r="S11" s="47"/>
    </row>
    <row r="12" spans="1:19" x14ac:dyDescent="0.25">
      <c r="A12" s="47"/>
      <c r="B12" s="924"/>
      <c r="C12" s="924"/>
      <c r="D12" s="47"/>
      <c r="E12" s="927"/>
      <c r="F12" s="927"/>
      <c r="G12" s="47"/>
      <c r="H12" s="912"/>
      <c r="I12" s="912"/>
      <c r="J12" s="47"/>
      <c r="K12" s="917"/>
      <c r="L12" s="917"/>
      <c r="M12" s="47"/>
      <c r="N12" s="922"/>
      <c r="O12" s="922"/>
      <c r="P12" s="47"/>
      <c r="Q12" s="47"/>
      <c r="R12" s="47"/>
      <c r="S12" s="47"/>
    </row>
    <row r="13" spans="1:19" x14ac:dyDescent="0.25">
      <c r="A13" s="47"/>
      <c r="B13" s="47"/>
      <c r="C13" s="47"/>
      <c r="D13" s="47"/>
      <c r="E13" s="923" t="s">
        <v>4099</v>
      </c>
      <c r="F13" s="651">
        <f>IFERROR(K11/CONSOL_CR!C38,"")</f>
        <v>0.94946200294754934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</row>
    <row r="14" spans="1:19" ht="15.75" x14ac:dyDescent="0.25">
      <c r="A14" s="47"/>
      <c r="B14" s="547" t="s">
        <v>790</v>
      </c>
      <c r="C14" s="547"/>
      <c r="D14" s="547"/>
      <c r="E14" s="547"/>
      <c r="F14" s="547"/>
      <c r="G14" s="547"/>
      <c r="H14" s="547"/>
      <c r="I14" s="547"/>
      <c r="J14" s="547"/>
      <c r="K14" s="547"/>
      <c r="L14" s="547"/>
      <c r="M14" s="47"/>
      <c r="N14" s="47"/>
      <c r="O14" s="47"/>
      <c r="P14" s="47"/>
      <c r="Q14" s="47"/>
      <c r="R14" s="47"/>
      <c r="S14" s="47"/>
    </row>
    <row r="15" spans="1:19" x14ac:dyDescent="0.25">
      <c r="A15" s="47"/>
      <c r="B15" s="14" t="s">
        <v>70</v>
      </c>
      <c r="C15" s="14" t="s">
        <v>72</v>
      </c>
      <c r="D15" s="14" t="s">
        <v>791</v>
      </c>
      <c r="E15" s="14" t="s">
        <v>792</v>
      </c>
      <c r="F15" s="14" t="s">
        <v>793</v>
      </c>
      <c r="G15" s="14" t="s">
        <v>794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</row>
    <row r="16" spans="1:19" x14ac:dyDescent="0.25">
      <c r="A16" s="47"/>
      <c r="B16" s="65" t="s">
        <v>26</v>
      </c>
      <c r="C16" s="65" t="s">
        <v>77</v>
      </c>
      <c r="D16" s="652">
        <f>CONSOL_CR!D7</f>
        <v>285000</v>
      </c>
      <c r="E16" s="652">
        <f>CONSOL_CR!D7</f>
        <v>285000</v>
      </c>
      <c r="F16" s="68">
        <f>IFERROR(D16/CONSOL_CR!K7,0)</f>
        <v>0.34880518924211362</v>
      </c>
      <c r="G16" s="68">
        <f>IFERROR(CONSOL_CR!D14/CONSOL_CR!D7,0)</f>
        <v>0.18771929824561404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</row>
    <row r="17" spans="1:19" x14ac:dyDescent="0.25">
      <c r="A17" s="47"/>
      <c r="B17" s="8" t="s">
        <v>31</v>
      </c>
      <c r="C17" s="8" t="s">
        <v>77</v>
      </c>
      <c r="D17" s="653">
        <f>CONSOL_CR!E7</f>
        <v>168000</v>
      </c>
      <c r="E17" s="653">
        <f>CONSOL_CR!E7</f>
        <v>168000</v>
      </c>
      <c r="F17" s="69">
        <f>IFERROR(D17/CONSOL_CR!K7,0)</f>
        <v>0.20561147997429857</v>
      </c>
      <c r="G17" s="69">
        <f>IFERROR(CONSOL_CR!E14/CONSOL_CR!E7,0)</f>
        <v>0.17976190476190476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</row>
    <row r="18" spans="1:19" x14ac:dyDescent="0.25">
      <c r="A18" s="47"/>
      <c r="B18" s="65" t="s">
        <v>33</v>
      </c>
      <c r="C18" s="65" t="s">
        <v>795</v>
      </c>
      <c r="D18" s="652">
        <f>CONSOL_CR!F7/1.152</f>
        <v>142000</v>
      </c>
      <c r="E18" s="652">
        <f>CONSOL_CR!F7</f>
        <v>163584</v>
      </c>
      <c r="F18" s="68">
        <f>IFERROR(D18/CONSOL_CR!K7,0)</f>
        <v>0.17379065569256189</v>
      </c>
      <c r="G18" s="68">
        <f>IFERROR(CONSOL_CR!F14/CONSOL_CR!F7,0)</f>
        <v>0.19648009585289514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</row>
    <row r="19" spans="1:19" x14ac:dyDescent="0.25">
      <c r="A19" s="47"/>
      <c r="B19" s="8" t="s">
        <v>35</v>
      </c>
      <c r="C19" s="8" t="s">
        <v>796</v>
      </c>
      <c r="D19" s="653">
        <f>CONSOL_CR!G7/0.925</f>
        <v>195000</v>
      </c>
      <c r="E19" s="653">
        <f>CONSOL_CR!G7</f>
        <v>180375</v>
      </c>
      <c r="F19" s="69">
        <f>IFERROR(D19/CONSOL_CR!K7,0)</f>
        <v>0.23865618211302511</v>
      </c>
      <c r="G19" s="69">
        <f>IFERROR(CONSOL_CR!G14/CONSOL_CR!G7,0)</f>
        <v>0.20154123354123354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</row>
    <row r="20" spans="1:19" x14ac:dyDescent="0.25">
      <c r="A20" s="47"/>
      <c r="B20" s="65" t="s">
        <v>37</v>
      </c>
      <c r="C20" s="65" t="s">
        <v>797</v>
      </c>
      <c r="D20" s="652">
        <f>CONSOL_CR!H7/0.682</f>
        <v>88000</v>
      </c>
      <c r="E20" s="652">
        <f>CONSOL_CR!H7</f>
        <v>60016</v>
      </c>
      <c r="F20" s="68">
        <f>IFERROR(D20/CONSOL_CR!K7,0)</f>
        <v>0.10770125141510878</v>
      </c>
      <c r="G20" s="68">
        <f>IFERROR(CONSOL_CR!H14/CONSOL_CR!H7,0)</f>
        <v>0.25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</row>
    <row r="21" spans="1:19" x14ac:dyDescent="0.25">
      <c r="A21" s="47"/>
      <c r="B21" s="67" t="s">
        <v>640</v>
      </c>
      <c r="C21" s="67" t="s">
        <v>77</v>
      </c>
      <c r="D21" s="654" t="s">
        <v>798</v>
      </c>
      <c r="E21" s="654">
        <f>CONSOL_CR!K7</f>
        <v>817075</v>
      </c>
      <c r="F21" s="70">
        <f>SUM(E16:E20)</f>
        <v>856975</v>
      </c>
      <c r="G21" s="70">
        <f>IFERROR(CONSOL_CR!K14/CONSOL_CR!K7,0)</f>
        <v>0.1882299666493284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</row>
    <row r="22" spans="1:19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</row>
    <row r="23" spans="1:19" ht="15.75" x14ac:dyDescent="0.25">
      <c r="A23" s="47"/>
      <c r="B23" s="547" t="s">
        <v>799</v>
      </c>
      <c r="C23" s="547"/>
      <c r="D23" s="547"/>
      <c r="E23" s="547"/>
      <c r="F23" s="547"/>
      <c r="G23" s="547"/>
      <c r="H23" s="5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spans="1:19" x14ac:dyDescent="0.25">
      <c r="A24" s="47"/>
      <c r="B24" s="14" t="s">
        <v>552</v>
      </c>
      <c r="C24" s="14" t="s">
        <v>800</v>
      </c>
      <c r="D24" s="14" t="s">
        <v>801</v>
      </c>
      <c r="E24" s="14" t="s">
        <v>315</v>
      </c>
      <c r="F24" s="14" t="s">
        <v>802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</row>
    <row r="25" spans="1:19" x14ac:dyDescent="0.25">
      <c r="A25" s="47"/>
      <c r="B25" s="199" t="s">
        <v>803</v>
      </c>
      <c r="C25" s="655">
        <f>CONSOL_CR!K14</f>
        <v>153798</v>
      </c>
      <c r="D25" s="655">
        <f>CONSOL_CR!L14</f>
        <v>161000</v>
      </c>
      <c r="E25" s="662">
        <f>C25-D25</f>
        <v>-7202</v>
      </c>
      <c r="F25" s="404">
        <f>IFERROR(C25/CONSOL_CR!K7,"")</f>
        <v>0.1882299666493284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</row>
    <row r="26" spans="1:19" x14ac:dyDescent="0.25">
      <c r="A26" s="47"/>
      <c r="B26" s="53" t="s">
        <v>804</v>
      </c>
      <c r="C26" s="656">
        <f>CONSOL_CR!K19</f>
        <v>6521</v>
      </c>
      <c r="D26" s="656">
        <f>CONSOL_CR!L19</f>
        <v>7200</v>
      </c>
      <c r="E26" s="663">
        <f>C26-D26</f>
        <v>-679</v>
      </c>
      <c r="F26" s="405">
        <f>IFERROR(C26/CONSOL_CR!K7,"")</f>
        <v>7.9809075054309581E-3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</row>
    <row r="27" spans="1:19" x14ac:dyDescent="0.25">
      <c r="A27" s="47"/>
      <c r="B27" s="67" t="s">
        <v>805</v>
      </c>
      <c r="C27" s="657">
        <f>CONSOL_CR!K24</f>
        <v>160319</v>
      </c>
      <c r="D27" s="657">
        <f>CONSOL_CR!L24</f>
        <v>168200</v>
      </c>
      <c r="E27" s="664">
        <f>C27-D27</f>
        <v>-7881</v>
      </c>
      <c r="F27" s="70">
        <f>IFERROR(C27/CONSOL_CR!K7,"")</f>
        <v>0.19621087415475935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</row>
    <row r="28" spans="1:19" x14ac:dyDescent="0.25">
      <c r="A28" s="47"/>
      <c r="B28" s="54" t="s">
        <v>806</v>
      </c>
      <c r="C28" s="658">
        <f>CONSOL_CR!K23</f>
        <v>-33718</v>
      </c>
      <c r="D28" s="658">
        <f>CONSOL_CR!L23</f>
        <v>-37600</v>
      </c>
      <c r="E28" s="665">
        <f>C28-D28</f>
        <v>3882</v>
      </c>
      <c r="F28" s="406">
        <f>IFERROR(C28/CONSOL_CR!K7,"")</f>
        <v>-4.126671358198452E-2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</row>
    <row r="29" spans="1:19" x14ac:dyDescent="0.25">
      <c r="A29" s="47"/>
      <c r="B29" s="71" t="s">
        <v>807</v>
      </c>
      <c r="C29" s="659">
        <f>CONSOL_CR!K26+CONSOL_CR!K27</f>
        <v>-44491</v>
      </c>
      <c r="D29" s="659"/>
      <c r="E29" s="666">
        <f>IFERROR(C29-D29,"")</f>
        <v>-44491</v>
      </c>
      <c r="F29" s="407">
        <f>IFERROR(C29/CONSOL_CR!K7,"")</f>
        <v>-5.4451549735336412E-2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</row>
    <row r="30" spans="1:19" x14ac:dyDescent="0.25">
      <c r="A30" s="47"/>
      <c r="B30" s="56" t="s">
        <v>808</v>
      </c>
      <c r="C30" s="660">
        <f>CONSOL_CR!K29</f>
        <v>0</v>
      </c>
      <c r="D30" s="660"/>
      <c r="E30" s="667">
        <f>C30-0</f>
        <v>0</v>
      </c>
      <c r="F30" s="40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</row>
    <row r="31" spans="1:19" x14ac:dyDescent="0.25">
      <c r="A31" s="47"/>
      <c r="B31" s="72" t="s">
        <v>809</v>
      </c>
      <c r="C31" s="661">
        <f>CONSOL_CR!K30</f>
        <v>82110</v>
      </c>
      <c r="D31" s="661">
        <f>CONSOL_CR!L30</f>
        <v>126400</v>
      </c>
      <c r="E31" s="668">
        <f>C31-D31</f>
        <v>-44290</v>
      </c>
      <c r="F31" s="409">
        <f>IFERROR(C31/CONSOL_CR!K7,"")</f>
        <v>0.10049261083743842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</row>
    <row r="32" spans="1:19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</row>
    <row r="33" spans="1:19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</row>
    <row r="34" spans="1:19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</row>
    <row r="35" spans="1:19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</row>
    <row r="36" spans="1:19" x14ac:dyDescent="0.25">
      <c r="A36" s="47"/>
      <c r="B36" s="536" t="s">
        <v>855</v>
      </c>
      <c r="C36" s="536"/>
      <c r="D36" s="536"/>
      <c r="E36" s="536"/>
      <c r="F36" s="536"/>
      <c r="G36" s="535" t="s">
        <v>859</v>
      </c>
      <c r="H36" s="535"/>
      <c r="I36" s="535"/>
      <c r="J36" s="535"/>
      <c r="K36" s="535"/>
      <c r="L36" s="47"/>
      <c r="M36" s="47"/>
      <c r="N36" s="47"/>
      <c r="O36" s="47"/>
      <c r="P36" s="47"/>
      <c r="Q36" s="47"/>
      <c r="R36" s="47"/>
      <c r="S36" s="47"/>
    </row>
    <row r="37" spans="1:19" x14ac:dyDescent="0.25">
      <c r="A37" s="47"/>
      <c r="B37" s="14" t="s">
        <v>70</v>
      </c>
      <c r="C37" s="295" t="s">
        <v>856</v>
      </c>
      <c r="D37" s="295" t="s">
        <v>857</v>
      </c>
      <c r="E37" s="295" t="s">
        <v>858</v>
      </c>
      <c r="F37" s="47"/>
      <c r="G37" s="14" t="s">
        <v>268</v>
      </c>
      <c r="H37" s="14" t="s">
        <v>800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</row>
    <row r="38" spans="1:19" x14ac:dyDescent="0.25">
      <c r="A38" s="47"/>
      <c r="B38" s="928" t="s">
        <v>26</v>
      </c>
      <c r="C38" s="930">
        <f>CONSOL_CR!D7</f>
        <v>285000</v>
      </c>
      <c r="D38" s="930">
        <f>CONSOL_CR!D14</f>
        <v>53500</v>
      </c>
      <c r="E38" s="931">
        <f>IFERROR(CONSOL_CR!D14/CONSOL_CR!D7,0)</f>
        <v>0.18771929824561404</v>
      </c>
      <c r="F38" s="47"/>
      <c r="G38" s="199" t="s">
        <v>860</v>
      </c>
      <c r="H38" s="662">
        <f>CONSOL_CR!K14</f>
        <v>153798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</row>
    <row r="39" spans="1:19" x14ac:dyDescent="0.25">
      <c r="A39" s="47"/>
      <c r="B39" s="929" t="s">
        <v>31</v>
      </c>
      <c r="C39" s="932">
        <f>CONSOL_CR!E7</f>
        <v>168000</v>
      </c>
      <c r="D39" s="932">
        <f>CONSOL_CR!E14</f>
        <v>30200</v>
      </c>
      <c r="E39" s="933">
        <f>IFERROR(CONSOL_CR!E14/CONSOL_CR!E7,0)</f>
        <v>0.17976190476190476</v>
      </c>
      <c r="F39" s="47"/>
      <c r="G39" s="53" t="s">
        <v>286</v>
      </c>
      <c r="H39" s="663">
        <f>CONSOL_CR!K19</f>
        <v>6521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</row>
    <row r="40" spans="1:19" x14ac:dyDescent="0.25">
      <c r="A40" s="47"/>
      <c r="B40" s="928" t="s">
        <v>33</v>
      </c>
      <c r="C40" s="930">
        <f>CONSOL_CR!F7</f>
        <v>163584</v>
      </c>
      <c r="D40" s="930">
        <f>CONSOL_CR!F14</f>
        <v>32141</v>
      </c>
      <c r="E40" s="931">
        <f>IFERROR(CONSOL_CR!F14/CONSOL_CR!F7,0)</f>
        <v>0.19648009585289514</v>
      </c>
      <c r="F40" s="47"/>
      <c r="G40" s="54" t="s">
        <v>293</v>
      </c>
      <c r="H40" s="665">
        <f>CONSOL_CR!K23</f>
        <v>-33718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</row>
    <row r="41" spans="1:19" x14ac:dyDescent="0.25">
      <c r="A41" s="47"/>
      <c r="B41" s="929" t="s">
        <v>35</v>
      </c>
      <c r="C41" s="932">
        <f>CONSOL_CR!G7</f>
        <v>180375</v>
      </c>
      <c r="D41" s="932">
        <f>CONSOL_CR!G14</f>
        <v>36353</v>
      </c>
      <c r="E41" s="933">
        <f>IFERROR(CONSOL_CR!G14/CONSOL_CR!G7,0)</f>
        <v>0.20154123354123354</v>
      </c>
      <c r="F41" s="47"/>
      <c r="G41" s="71" t="s">
        <v>299</v>
      </c>
      <c r="H41" s="666">
        <f>CONSOL_CR!K26+CONSOL_CR!K27</f>
        <v>-44491</v>
      </c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</row>
    <row r="42" spans="1:19" x14ac:dyDescent="0.25">
      <c r="A42" s="47"/>
      <c r="B42" s="928" t="s">
        <v>37</v>
      </c>
      <c r="C42" s="930">
        <f>CONSOL_CR!H7</f>
        <v>60016</v>
      </c>
      <c r="D42" s="930">
        <f>CONSOL_CR!H14</f>
        <v>15004</v>
      </c>
      <c r="E42" s="931">
        <f>IFERROR(CONSOL_CR!H14/CONSOL_CR!H7,0)</f>
        <v>0.25</v>
      </c>
      <c r="F42" s="47"/>
      <c r="G42" s="66" t="s">
        <v>861</v>
      </c>
      <c r="H42" s="669">
        <f>CONSOL_CR!K30</f>
        <v>82110</v>
      </c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</row>
    <row r="43" spans="1:19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</row>
    <row r="44" spans="1:19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</row>
    <row r="45" spans="1:19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</row>
    <row r="46" spans="1:19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</row>
    <row r="47" spans="1:19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</row>
    <row r="48" spans="1:19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</row>
    <row r="49" spans="1:19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</row>
    <row r="50" spans="1:19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</row>
    <row r="51" spans="1:19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</row>
    <row r="52" spans="1:19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</row>
    <row r="53" spans="1:19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</row>
    <row r="54" spans="1:19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</row>
    <row r="55" spans="1:19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</row>
    <row r="56" spans="1:19" x14ac:dyDescent="0.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</row>
    <row r="57" spans="1:19" x14ac:dyDescent="0.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</row>
    <row r="58" spans="1:19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</row>
    <row r="59" spans="1:19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</row>
    <row r="60" spans="1:19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</row>
  </sheetData>
  <mergeCells count="31">
    <mergeCell ref="B10:C10"/>
    <mergeCell ref="B11:C12"/>
    <mergeCell ref="N5:O5"/>
    <mergeCell ref="N6:O6"/>
    <mergeCell ref="N7:O8"/>
    <mergeCell ref="N10:O10"/>
    <mergeCell ref="N11:O12"/>
    <mergeCell ref="H11:I12"/>
    <mergeCell ref="E10:F10"/>
    <mergeCell ref="E11:F12"/>
    <mergeCell ref="K5:L5"/>
    <mergeCell ref="K6:L6"/>
    <mergeCell ref="K7:L8"/>
    <mergeCell ref="K10:L10"/>
    <mergeCell ref="K11:L12"/>
    <mergeCell ref="B2:R2"/>
    <mergeCell ref="B3:R3"/>
    <mergeCell ref="B14:L14"/>
    <mergeCell ref="B23:H23"/>
    <mergeCell ref="B36:F36"/>
    <mergeCell ref="G36:K36"/>
    <mergeCell ref="E5:F5"/>
    <mergeCell ref="E6:F6"/>
    <mergeCell ref="E7:F8"/>
    <mergeCell ref="B5:C5"/>
    <mergeCell ref="B6:C6"/>
    <mergeCell ref="B7:C8"/>
    <mergeCell ref="H5:I5"/>
    <mergeCell ref="H6:I6"/>
    <mergeCell ref="H7:I8"/>
    <mergeCell ref="H10:I10"/>
  </mergeCells>
  <conditionalFormatting sqref="E25:E31">
    <cfRule type="cellIs" dxfId="9" priority="2" operator="greaterThan">
      <formula>0</formula>
    </cfRule>
    <cfRule type="cellIs" dxfId="8" priority="3" operator="lessThan">
      <formula>0</formula>
    </cfRule>
  </conditionalFormatting>
  <conditionalFormatting sqref="G16:G20">
    <cfRule type="colorScale" priority="1">
      <colorScale>
        <cfvo type="min"/>
        <cfvo type="max"/>
        <color rgb="FFFF7128"/>
        <color rgb="FFFFEF9C"/>
      </colorScale>
    </cfRule>
    <cfRule type="top10" dxfId="7" priority="4" rank="1"/>
  </conditionalFormatting>
  <conditionalFormatting sqref="E25:E31">
    <cfRule type="cellIs" dxfId="6" priority="5" operator="lessThan">
      <formula>0</formula>
    </cfRule>
  </conditionalFormatting>
  <conditionalFormatting sqref="E25:E31">
    <cfRule type="cellIs" dxfId="5" priority="6" operator="greaterThanOrEqual">
      <formula>0</formula>
    </cfRule>
  </conditionalFormatting>
  <printOptions horizontalCentered="1"/>
  <pageMargins left="0.7" right="0.7" top="0.75" bottom="0.75" header="0.3" footer="0.3"/>
  <pageSetup paperSize="9" scale="0" orientation="landscape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B125-92D8-4FE0-9585-EF42625DD4F2}">
  <sheetPr>
    <tabColor rgb="FFE67E22"/>
  </sheetPr>
  <dimension ref="A1:R60"/>
  <sheetViews>
    <sheetView workbookViewId="0">
      <selection activeCell="F12" sqref="F12"/>
    </sheetView>
  </sheetViews>
  <sheetFormatPr baseColWidth="10" defaultRowHeight="15" x14ac:dyDescent="0.25"/>
  <cols>
    <col min="1" max="1" width="3.85546875" customWidth="1"/>
    <col min="2" max="2" width="40" customWidth="1"/>
    <col min="3" max="3" width="25.5703125" customWidth="1"/>
    <col min="4" max="4" width="32.28515625" bestFit="1" customWidth="1"/>
    <col min="5" max="5" width="27.7109375" customWidth="1"/>
    <col min="6" max="7" width="19" customWidth="1"/>
    <col min="8" max="8" width="15.28515625" customWidth="1"/>
    <col min="9" max="18" width="19" customWidth="1"/>
  </cols>
  <sheetData>
    <row r="1" spans="1:18" x14ac:dyDescent="0.25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ht="24" x14ac:dyDescent="0.4">
      <c r="A2" s="73"/>
      <c r="B2" s="549" t="s">
        <v>810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</row>
    <row r="3" spans="1:18" x14ac:dyDescent="0.25">
      <c r="A3" s="73"/>
      <c r="B3" s="550" t="s">
        <v>811</v>
      </c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</row>
    <row r="4" spans="1:18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18" ht="15.75" x14ac:dyDescent="0.25">
      <c r="A5" s="73"/>
      <c r="B5" s="551" t="s">
        <v>812</v>
      </c>
      <c r="C5" s="551"/>
      <c r="D5" s="551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</row>
    <row r="6" spans="1:18" x14ac:dyDescent="0.25">
      <c r="A6" s="73"/>
      <c r="B6" s="934" t="s">
        <v>813</v>
      </c>
      <c r="C6" s="934"/>
      <c r="D6" s="934"/>
      <c r="E6" s="936" t="s">
        <v>816</v>
      </c>
      <c r="F6" s="936"/>
      <c r="G6" s="936"/>
      <c r="H6" s="938" t="s">
        <v>819</v>
      </c>
      <c r="I6" s="938"/>
      <c r="J6" s="938"/>
      <c r="K6" s="939" t="s">
        <v>822</v>
      </c>
      <c r="L6" s="939"/>
      <c r="M6" s="939"/>
      <c r="N6" s="73"/>
      <c r="O6" s="73"/>
      <c r="P6" s="73"/>
      <c r="Q6" s="73"/>
      <c r="R6" s="73"/>
    </row>
    <row r="7" spans="1:18" ht="28.5" x14ac:dyDescent="0.45">
      <c r="A7" s="73"/>
      <c r="B7" s="935" t="s">
        <v>814</v>
      </c>
      <c r="C7" s="935"/>
      <c r="D7" s="935"/>
      <c r="E7" s="937" t="s">
        <v>817</v>
      </c>
      <c r="F7" s="937"/>
      <c r="G7" s="937"/>
      <c r="H7" s="941" t="s">
        <v>820</v>
      </c>
      <c r="I7" s="941"/>
      <c r="J7" s="941"/>
      <c r="K7" s="940" t="s">
        <v>823</v>
      </c>
      <c r="L7" s="940"/>
      <c r="M7" s="940"/>
      <c r="N7" s="73"/>
      <c r="O7" s="73"/>
      <c r="P7" s="73"/>
      <c r="Q7" s="73"/>
      <c r="R7" s="73"/>
    </row>
    <row r="8" spans="1:18" x14ac:dyDescent="0.25">
      <c r="A8" s="73"/>
      <c r="B8" s="942" t="s">
        <v>815</v>
      </c>
      <c r="C8" s="943"/>
      <c r="D8" s="944"/>
      <c r="E8" s="945" t="s">
        <v>818</v>
      </c>
      <c r="F8" s="946"/>
      <c r="G8" s="947"/>
      <c r="H8" s="948" t="s">
        <v>821</v>
      </c>
      <c r="I8" s="949"/>
      <c r="J8" s="950"/>
      <c r="K8" s="951" t="s">
        <v>824</v>
      </c>
      <c r="L8" s="952"/>
      <c r="M8" s="953"/>
      <c r="N8" s="73"/>
      <c r="O8" s="73"/>
      <c r="P8" s="73"/>
      <c r="Q8" s="73"/>
      <c r="R8" s="73"/>
    </row>
    <row r="9" spans="1:18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</row>
    <row r="10" spans="1:18" ht="15.75" x14ac:dyDescent="0.25">
      <c r="A10" s="73"/>
      <c r="B10" s="552" t="s">
        <v>825</v>
      </c>
      <c r="C10" s="552"/>
      <c r="D10" s="552"/>
      <c r="E10" s="552"/>
      <c r="F10" s="552"/>
      <c r="G10" s="552"/>
      <c r="H10" s="552"/>
      <c r="I10" s="552"/>
      <c r="J10" s="552"/>
      <c r="K10" s="552"/>
      <c r="L10" s="552"/>
      <c r="M10" s="73"/>
      <c r="N10" s="73"/>
      <c r="O10" s="73"/>
      <c r="P10" s="73"/>
      <c r="Q10" s="73"/>
      <c r="R10" s="73"/>
    </row>
    <row r="11" spans="1:18" x14ac:dyDescent="0.25">
      <c r="A11" s="73"/>
      <c r="B11" s="954" t="s">
        <v>826</v>
      </c>
      <c r="C11" s="954" t="s">
        <v>827</v>
      </c>
      <c r="D11" s="954" t="s">
        <v>828</v>
      </c>
      <c r="E11" s="954" t="s">
        <v>269</v>
      </c>
      <c r="F11" s="954" t="s">
        <v>829</v>
      </c>
      <c r="G11" s="954" t="s">
        <v>378</v>
      </c>
      <c r="H11" s="954" t="s">
        <v>830</v>
      </c>
      <c r="I11" s="73"/>
      <c r="J11" s="73"/>
      <c r="K11" s="73"/>
      <c r="L11" s="73"/>
      <c r="M11" s="73"/>
      <c r="N11" s="73"/>
      <c r="O11" s="73"/>
      <c r="P11" s="73"/>
      <c r="Q11" s="73"/>
      <c r="R11" s="73"/>
    </row>
    <row r="12" spans="1:18" x14ac:dyDescent="0.25">
      <c r="A12" s="73"/>
      <c r="B12" s="74" t="s">
        <v>831</v>
      </c>
      <c r="C12" s="670">
        <f>ESG_DATA!I6+ESG_DATA!I7</f>
        <v>112500</v>
      </c>
      <c r="D12" s="670">
        <v>118000</v>
      </c>
      <c r="E12" s="672">
        <f>IFERROR((C12-D12)/ABS(D12),0)</f>
        <v>-4.6610169491525424E-2</v>
      </c>
      <c r="F12" s="670">
        <v>53100</v>
      </c>
      <c r="G12" s="74" t="str">
        <f>IF(C12&lt;D12,"↓ Bon","↑ Effort requis")</f>
        <v>↓ Bon</v>
      </c>
      <c r="H12" s="74" t="s">
        <v>58</v>
      </c>
      <c r="I12" s="73"/>
      <c r="J12" s="73"/>
      <c r="K12" s="73"/>
      <c r="L12" s="73"/>
      <c r="M12" s="73"/>
      <c r="N12" s="73"/>
      <c r="O12" s="73"/>
      <c r="P12" s="73"/>
      <c r="Q12" s="73"/>
      <c r="R12" s="73"/>
    </row>
    <row r="13" spans="1:18" x14ac:dyDescent="0.25">
      <c r="A13" s="73"/>
      <c r="B13" s="75" t="s">
        <v>646</v>
      </c>
      <c r="C13" s="671" t="str">
        <f>ESG_DATA!J9</f>
        <v>🔴</v>
      </c>
      <c r="D13" s="671">
        <v>138</v>
      </c>
      <c r="E13" s="673">
        <f>IFERROR((C13-D13)/ABS(D13),0)</f>
        <v>0</v>
      </c>
      <c r="F13" s="671">
        <v>60</v>
      </c>
      <c r="G13" s="75" t="str">
        <f>IF(C13&lt;D13,"↓ Bon","↑ Effort requis")</f>
        <v>↑ Effort requis</v>
      </c>
      <c r="H13" s="75" t="s">
        <v>58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</row>
    <row r="14" spans="1:18" x14ac:dyDescent="0.25">
      <c r="A14" s="73"/>
      <c r="B14" s="74" t="s">
        <v>832</v>
      </c>
      <c r="C14" s="672" t="str">
        <f>ESG_DATA!J11</f>
        <v>🟡</v>
      </c>
      <c r="D14" s="672">
        <v>0.42</v>
      </c>
      <c r="E14" s="672">
        <f>IFERROR((C14-D14)/ABS(D14),0)</f>
        <v>0</v>
      </c>
      <c r="F14" s="672">
        <v>0.8</v>
      </c>
      <c r="G14" s="74" t="str">
        <f>IF(C14&gt;D14,"↑ Bon","↓ À améliorer")</f>
        <v>↑ Bon</v>
      </c>
      <c r="H14" s="74" t="s">
        <v>58</v>
      </c>
      <c r="I14" s="73"/>
      <c r="J14" s="73"/>
      <c r="K14" s="73"/>
      <c r="L14" s="73"/>
      <c r="M14" s="73"/>
      <c r="N14" s="73"/>
      <c r="O14" s="73"/>
      <c r="P14" s="73"/>
      <c r="Q14" s="73"/>
      <c r="R14" s="73"/>
    </row>
    <row r="15" spans="1:18" x14ac:dyDescent="0.25">
      <c r="A15" s="73"/>
      <c r="B15" s="75" t="s">
        <v>833</v>
      </c>
      <c r="C15" s="671">
        <f>ESG_DATA!J12</f>
        <v>224</v>
      </c>
      <c r="D15" s="671">
        <v>128</v>
      </c>
      <c r="E15" s="673">
        <f>IFERROR((C15-D15)/ABS(D15),0)</f>
        <v>0.75</v>
      </c>
      <c r="F15" s="671">
        <v>95</v>
      </c>
      <c r="G15" s="75" t="str">
        <f>IF(C15&lt;D15,"↓ Bon","↑ Effort requis")</f>
        <v>↑ Effort requis</v>
      </c>
      <c r="H15" s="75" t="s">
        <v>58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</row>
    <row r="16" spans="1:18" x14ac:dyDescent="0.25">
      <c r="A16" s="73"/>
      <c r="B16" s="74" t="s">
        <v>834</v>
      </c>
      <c r="C16" s="672">
        <f>ESG_DATA!J14</f>
        <v>0.71499999999999997</v>
      </c>
      <c r="D16" s="672">
        <v>0.68</v>
      </c>
      <c r="E16" s="672">
        <f>IFERROR((C16-D16)/ABS(D16),0)</f>
        <v>5.1470588235293997E-2</v>
      </c>
      <c r="F16" s="672">
        <v>0.85</v>
      </c>
      <c r="G16" s="74" t="str">
        <f>IF(C16&gt;D16,"↑ Bon","↓ À améliorer")</f>
        <v>↑ Bon</v>
      </c>
      <c r="H16" s="74" t="s">
        <v>58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</row>
    <row r="17" spans="1:18" x14ac:dyDescent="0.25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</row>
    <row r="18" spans="1:18" ht="15.75" x14ac:dyDescent="0.25">
      <c r="A18" s="73"/>
      <c r="B18" s="553" t="s">
        <v>835</v>
      </c>
      <c r="C18" s="553"/>
      <c r="D18" s="553"/>
      <c r="E18" s="553"/>
      <c r="F18" s="553"/>
      <c r="G18" s="553"/>
      <c r="H18" s="553"/>
      <c r="I18" s="553"/>
      <c r="J18" s="553"/>
      <c r="K18" s="553"/>
      <c r="L18" s="553"/>
      <c r="M18" s="73"/>
      <c r="N18" s="73"/>
      <c r="O18" s="73"/>
      <c r="P18" s="73"/>
      <c r="Q18" s="73"/>
      <c r="R18" s="73"/>
    </row>
    <row r="19" spans="1:18" x14ac:dyDescent="0.25">
      <c r="A19" s="73"/>
      <c r="B19" s="14" t="s">
        <v>826</v>
      </c>
      <c r="C19" s="14" t="s">
        <v>827</v>
      </c>
      <c r="D19" s="14" t="s">
        <v>828</v>
      </c>
      <c r="E19" s="14" t="s">
        <v>269</v>
      </c>
      <c r="F19" s="14" t="s">
        <v>836</v>
      </c>
      <c r="G19" s="14" t="s">
        <v>378</v>
      </c>
      <c r="H19" s="14" t="s">
        <v>377</v>
      </c>
      <c r="I19" s="73"/>
      <c r="J19" s="73"/>
      <c r="K19" s="73"/>
      <c r="L19" s="73"/>
      <c r="M19" s="73"/>
      <c r="N19" s="73"/>
      <c r="O19" s="73"/>
      <c r="P19" s="73"/>
      <c r="Q19" s="73"/>
      <c r="R19" s="73"/>
    </row>
    <row r="20" spans="1:18" x14ac:dyDescent="0.25">
      <c r="A20" s="73"/>
      <c r="B20" s="76" t="s">
        <v>660</v>
      </c>
      <c r="C20" s="674">
        <f>ESG_DATA!J18</f>
        <v>13780</v>
      </c>
      <c r="D20" s="674">
        <v>7050</v>
      </c>
      <c r="E20" s="676">
        <f>IFERROR((C20-D20)/ABS(D20),0)</f>
        <v>0.95460992907801423</v>
      </c>
      <c r="F20" s="674">
        <v>7500</v>
      </c>
      <c r="G20" s="76" t="s">
        <v>837</v>
      </c>
      <c r="H20" s="76" t="s">
        <v>58</v>
      </c>
      <c r="I20" s="73"/>
      <c r="J20" s="73"/>
      <c r="K20" s="73"/>
      <c r="L20" s="73"/>
      <c r="M20" s="73"/>
      <c r="N20" s="73"/>
      <c r="O20" s="73"/>
      <c r="P20" s="73"/>
      <c r="Q20" s="73"/>
      <c r="R20" s="73"/>
    </row>
    <row r="21" spans="1:18" x14ac:dyDescent="0.25">
      <c r="A21" s="73"/>
      <c r="B21" s="77" t="s">
        <v>838</v>
      </c>
      <c r="C21" s="675">
        <f>ESG_DATA!I21</f>
        <v>0.42749999999999999</v>
      </c>
      <c r="D21" s="675">
        <v>0.41</v>
      </c>
      <c r="E21" s="675">
        <f>IFERROR((C21-D21)/ABS(D21),0)</f>
        <v>4.2682926829268331E-2</v>
      </c>
      <c r="F21" s="675">
        <v>0.45</v>
      </c>
      <c r="G21" s="77" t="str">
        <f>IF(C21&gt;D21,"↑ Bon","↓ À améliorer")</f>
        <v>↑ Bon</v>
      </c>
      <c r="H21" s="77" t="s">
        <v>58</v>
      </c>
      <c r="I21" s="73"/>
      <c r="J21" s="73"/>
      <c r="K21" s="73"/>
      <c r="L21" s="73"/>
      <c r="M21" s="73"/>
      <c r="N21" s="73"/>
      <c r="O21" s="73"/>
      <c r="P21" s="73"/>
      <c r="Q21" s="73"/>
      <c r="R21" s="73"/>
    </row>
    <row r="22" spans="1:18" x14ac:dyDescent="0.25">
      <c r="A22" s="73"/>
      <c r="B22" s="76" t="s">
        <v>839</v>
      </c>
      <c r="C22" s="676">
        <f>ESG_DATA!I22</f>
        <v>0.36</v>
      </c>
      <c r="D22" s="676">
        <v>0.35</v>
      </c>
      <c r="E22" s="676">
        <f>IFERROR((C22-D22)/ABS(D22),0)</f>
        <v>2.8571428571428598E-2</v>
      </c>
      <c r="F22" s="676">
        <v>0.45</v>
      </c>
      <c r="G22" s="76" t="str">
        <f>IF(C22&gt;D22,"↑ Bon","↓ À améliorer")</f>
        <v>↑ Bon</v>
      </c>
      <c r="H22" s="76" t="s">
        <v>58</v>
      </c>
      <c r="I22" s="73"/>
      <c r="J22" s="73"/>
      <c r="K22" s="73"/>
      <c r="L22" s="73"/>
      <c r="M22" s="73"/>
      <c r="N22" s="73"/>
      <c r="O22" s="73"/>
      <c r="P22" s="73"/>
      <c r="Q22" s="73"/>
      <c r="R22" s="73"/>
    </row>
    <row r="23" spans="1:18" x14ac:dyDescent="0.25">
      <c r="A23" s="73"/>
      <c r="B23" s="77" t="s">
        <v>840</v>
      </c>
      <c r="C23" s="677">
        <f>ESG_DATA!J23</f>
        <v>3</v>
      </c>
      <c r="D23" s="677">
        <v>3.1</v>
      </c>
      <c r="E23" s="675">
        <f>IFERROR((C23-D23)/ABS(D23),0)</f>
        <v>-3.2258064516129059E-2</v>
      </c>
      <c r="F23" s="677">
        <v>2</v>
      </c>
      <c r="G23" s="77" t="str">
        <f>IF(C23&lt;D23,"↓ Bon","↑ Effort requis")</f>
        <v>↓ Bon</v>
      </c>
      <c r="H23" s="77" t="s">
        <v>58</v>
      </c>
      <c r="I23" s="73"/>
      <c r="J23" s="73"/>
      <c r="K23" s="73"/>
      <c r="L23" s="73"/>
      <c r="M23" s="73"/>
      <c r="N23" s="73"/>
      <c r="O23" s="73"/>
      <c r="P23" s="73"/>
      <c r="Q23" s="73"/>
      <c r="R23" s="73"/>
    </row>
    <row r="24" spans="1:18" x14ac:dyDescent="0.25">
      <c r="A24" s="73"/>
      <c r="B24" s="76" t="s">
        <v>841</v>
      </c>
      <c r="C24" s="678">
        <f>ESG_DATA!J24</f>
        <v>42.75</v>
      </c>
      <c r="D24" s="678">
        <v>40</v>
      </c>
      <c r="E24" s="676">
        <f>IFERROR((C24-D24)/ABS(D24),0)</f>
        <v>6.8750000000000006E-2</v>
      </c>
      <c r="F24" s="678">
        <v>50</v>
      </c>
      <c r="G24" s="76" t="str">
        <f>IF(C24&gt;D24,"↑ Bon","↓ À améliorer")</f>
        <v>↑ Bon</v>
      </c>
      <c r="H24" s="76" t="s">
        <v>58</v>
      </c>
      <c r="I24" s="73"/>
      <c r="J24" s="73"/>
      <c r="K24" s="73"/>
      <c r="L24" s="73"/>
      <c r="M24" s="73"/>
      <c r="N24" s="73"/>
      <c r="O24" s="73"/>
      <c r="P24" s="73"/>
      <c r="Q24" s="73"/>
      <c r="R24" s="73"/>
    </row>
    <row r="25" spans="1:18" x14ac:dyDescent="0.25">
      <c r="A25" s="73"/>
      <c r="B25" s="77" t="s">
        <v>678</v>
      </c>
      <c r="C25" s="675">
        <f>ESG_DATA!J27</f>
        <v>-0.11800000000000002</v>
      </c>
      <c r="D25" s="675">
        <v>-0.14000000000000001</v>
      </c>
      <c r="E25" s="675">
        <f>IFERROR((C25-D25)/ABS(D25),0)</f>
        <v>0.15714285714285706</v>
      </c>
      <c r="F25" s="675">
        <v>-0.08</v>
      </c>
      <c r="G25" s="77" t="s">
        <v>842</v>
      </c>
      <c r="H25" s="77" t="s">
        <v>58</v>
      </c>
      <c r="I25" s="73"/>
      <c r="J25" s="73"/>
      <c r="K25" s="73"/>
      <c r="L25" s="73"/>
      <c r="M25" s="73"/>
      <c r="N25" s="73"/>
      <c r="O25" s="73"/>
      <c r="P25" s="73"/>
      <c r="Q25" s="73"/>
      <c r="R25" s="73"/>
    </row>
    <row r="26" spans="1:18" x14ac:dyDescent="0.25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</row>
    <row r="27" spans="1:18" ht="15.75" x14ac:dyDescent="0.25">
      <c r="A27" s="73"/>
      <c r="B27" s="548" t="s">
        <v>843</v>
      </c>
      <c r="C27" s="548"/>
      <c r="D27" s="548"/>
      <c r="E27" s="548"/>
      <c r="F27" s="548"/>
      <c r="G27" s="548"/>
      <c r="H27" s="548"/>
      <c r="I27" s="548"/>
      <c r="J27" s="548"/>
      <c r="K27" s="548"/>
      <c r="L27" s="548"/>
      <c r="M27" s="73"/>
      <c r="N27" s="73"/>
      <c r="O27" s="73"/>
      <c r="P27" s="73"/>
      <c r="Q27" s="73"/>
      <c r="R27" s="73"/>
    </row>
    <row r="28" spans="1:18" x14ac:dyDescent="0.25">
      <c r="A28" s="73"/>
      <c r="B28" s="65" t="s">
        <v>844</v>
      </c>
      <c r="C28" s="65" t="s">
        <v>845</v>
      </c>
      <c r="D28" s="65" t="s">
        <v>846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</row>
    <row r="29" spans="1:18" x14ac:dyDescent="0.25">
      <c r="A29" s="73"/>
      <c r="B29" s="78" t="s">
        <v>847</v>
      </c>
      <c r="C29" s="679">
        <f>ESG_DATA!C31</f>
        <v>0.4</v>
      </c>
      <c r="D29" s="78" t="s">
        <v>848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</row>
    <row r="30" spans="1:18" x14ac:dyDescent="0.25">
      <c r="A30" s="73"/>
      <c r="B30" s="79" t="s">
        <v>698</v>
      </c>
      <c r="C30" s="680">
        <f>ESG_DATA!C37</f>
        <v>0.68</v>
      </c>
      <c r="D30" s="79" t="s">
        <v>849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</row>
    <row r="31" spans="1:18" x14ac:dyDescent="0.25">
      <c r="A31" s="73"/>
      <c r="B31" s="78" t="s">
        <v>850</v>
      </c>
      <c r="C31" s="78" t="str">
        <f>ESG_DATA!C36</f>
        <v>18 / 18</v>
      </c>
      <c r="D31" s="78" t="s">
        <v>851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</row>
    <row r="32" spans="1:18" x14ac:dyDescent="0.25">
      <c r="A32" s="73"/>
      <c r="B32" s="79" t="s">
        <v>687</v>
      </c>
      <c r="C32" s="79" t="str">
        <f>ESG_DATA!C33</f>
        <v>✅ Déployée</v>
      </c>
      <c r="D32" s="79" t="s">
        <v>852</v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</row>
    <row r="33" spans="1:18" x14ac:dyDescent="0.25">
      <c r="A33" s="73"/>
      <c r="B33" s="78" t="s">
        <v>853</v>
      </c>
      <c r="C33" s="679">
        <f>CONSOL_CR!C41</f>
        <v>0.10049261083743842</v>
      </c>
      <c r="D33" s="78" t="s">
        <v>854</v>
      </c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</row>
    <row r="34" spans="1:18" x14ac:dyDescent="0.2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</row>
    <row r="35" spans="1:18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</row>
    <row r="36" spans="1:18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spans="1:18" x14ac:dyDescent="0.25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</row>
    <row r="38" spans="1:18" x14ac:dyDescent="0.2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</row>
    <row r="39" spans="1:18" x14ac:dyDescent="0.2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</row>
    <row r="40" spans="1:18" x14ac:dyDescent="0.25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</row>
    <row r="41" spans="1:18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</row>
    <row r="42" spans="1:18" x14ac:dyDescent="0.2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</row>
    <row r="43" spans="1:18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</row>
    <row r="44" spans="1:18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</row>
    <row r="45" spans="1:18" x14ac:dyDescent="0.2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</row>
    <row r="46" spans="1:18" x14ac:dyDescent="0.2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</row>
    <row r="47" spans="1:18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</row>
    <row r="48" spans="1:18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</row>
    <row r="49" spans="1:18" x14ac:dyDescent="0.2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</row>
    <row r="50" spans="1:18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</row>
    <row r="51" spans="1:18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</row>
    <row r="52" spans="1:18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</row>
    <row r="53" spans="1:18" x14ac:dyDescent="0.2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</row>
    <row r="54" spans="1:18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</row>
    <row r="55" spans="1:18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</row>
    <row r="56" spans="1:18" x14ac:dyDescent="0.2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</row>
    <row r="57" spans="1:18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</row>
    <row r="58" spans="1:18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</row>
    <row r="59" spans="1:18" x14ac:dyDescent="0.2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</row>
    <row r="60" spans="1:18" x14ac:dyDescent="0.2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</row>
  </sheetData>
  <mergeCells count="18">
    <mergeCell ref="K8:M8"/>
    <mergeCell ref="H8:J8"/>
    <mergeCell ref="B27:L27"/>
    <mergeCell ref="B2:R2"/>
    <mergeCell ref="B3:R3"/>
    <mergeCell ref="B5:D5"/>
    <mergeCell ref="B10:L10"/>
    <mergeCell ref="B18:L18"/>
    <mergeCell ref="B6:D6"/>
    <mergeCell ref="B7:D7"/>
    <mergeCell ref="B8:D8"/>
    <mergeCell ref="E6:G6"/>
    <mergeCell ref="E7:G7"/>
    <mergeCell ref="E8:G8"/>
    <mergeCell ref="K6:M6"/>
    <mergeCell ref="H6:J6"/>
    <mergeCell ref="K7:M7"/>
    <mergeCell ref="H7:J7"/>
  </mergeCells>
  <conditionalFormatting sqref="E12:E16">
    <cfRule type="cellIs" dxfId="4" priority="1" operator="lessThan">
      <formula>0</formula>
    </cfRule>
  </conditionalFormatting>
  <conditionalFormatting sqref="E12:E16">
    <cfRule type="cellIs" dxfId="3" priority="2" operator="greaterThan">
      <formula>0</formula>
    </cfRule>
  </conditionalFormatting>
  <printOptions horizontalCentered="1"/>
  <pageMargins left="0.7" right="0.7" top="0.75" bottom="0.75" header="0.3" footer="0.3"/>
  <pageSetup paperSize="9" scale="0" orientation="landscape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F52D-54A7-4BF5-86CA-D25A98B76B2F}">
  <sheetPr>
    <tabColor rgb="FF1E8449"/>
  </sheetPr>
  <dimension ref="A1:H59"/>
  <sheetViews>
    <sheetView showGridLines="0" workbookViewId="0">
      <selection activeCell="A9" sqref="A9"/>
    </sheetView>
  </sheetViews>
  <sheetFormatPr baseColWidth="10" defaultRowHeight="15" x14ac:dyDescent="0.25"/>
  <cols>
    <col min="1" max="1" width="16" customWidth="1"/>
    <col min="2" max="2" width="60" customWidth="1"/>
    <col min="3" max="3" width="24" customWidth="1"/>
    <col min="4" max="4" width="13.28515625" customWidth="1"/>
    <col min="5" max="5" width="10.7109375" customWidth="1"/>
    <col min="6" max="6" width="24" customWidth="1"/>
    <col min="7" max="7" width="20" customWidth="1"/>
    <col min="8" max="8" width="26.7109375" customWidth="1"/>
  </cols>
  <sheetData>
    <row r="1" spans="1:8" ht="15.75" x14ac:dyDescent="0.25">
      <c r="A1" s="552" t="s">
        <v>862</v>
      </c>
      <c r="B1" s="552"/>
      <c r="C1" s="552"/>
      <c r="D1" s="552"/>
      <c r="E1" s="552"/>
      <c r="F1" s="552"/>
      <c r="G1" s="552"/>
      <c r="H1" s="552"/>
    </row>
    <row r="2" spans="1:8" x14ac:dyDescent="0.25">
      <c r="A2" s="14" t="s">
        <v>863</v>
      </c>
      <c r="B2" s="14" t="s">
        <v>864</v>
      </c>
      <c r="C2" s="14" t="s">
        <v>865</v>
      </c>
      <c r="D2" s="14" t="s">
        <v>72</v>
      </c>
      <c r="E2" s="14" t="s">
        <v>866</v>
      </c>
      <c r="F2" s="14" t="s">
        <v>70</v>
      </c>
      <c r="G2" s="14" t="s">
        <v>867</v>
      </c>
      <c r="H2" s="14" t="s">
        <v>868</v>
      </c>
    </row>
    <row r="3" spans="1:8" x14ac:dyDescent="0.25">
      <c r="A3" s="23">
        <v>701000</v>
      </c>
      <c r="B3" s="23" t="s">
        <v>869</v>
      </c>
      <c r="C3" s="23">
        <v>12800000</v>
      </c>
      <c r="D3" s="23" t="s">
        <v>77</v>
      </c>
      <c r="E3" s="23">
        <v>1</v>
      </c>
      <c r="F3" s="23" t="s">
        <v>26</v>
      </c>
      <c r="G3" s="23" t="s">
        <v>870</v>
      </c>
      <c r="H3" s="23" t="s">
        <v>273</v>
      </c>
    </row>
    <row r="4" spans="1:8" x14ac:dyDescent="0.25">
      <c r="A4" s="21">
        <v>701000</v>
      </c>
      <c r="B4" s="21" t="s">
        <v>869</v>
      </c>
      <c r="C4" s="21">
        <v>14200000</v>
      </c>
      <c r="D4" s="21" t="s">
        <v>77</v>
      </c>
      <c r="E4" s="21">
        <v>2</v>
      </c>
      <c r="F4" s="21" t="s">
        <v>26</v>
      </c>
      <c r="G4" s="21" t="s">
        <v>870</v>
      </c>
      <c r="H4" s="21" t="s">
        <v>273</v>
      </c>
    </row>
    <row r="5" spans="1:8" x14ac:dyDescent="0.25">
      <c r="A5" s="23">
        <v>701000</v>
      </c>
      <c r="B5" s="23" t="s">
        <v>869</v>
      </c>
      <c r="C5" s="23">
        <v>18500000</v>
      </c>
      <c r="D5" s="23" t="s">
        <v>77</v>
      </c>
      <c r="E5" s="23">
        <v>3</v>
      </c>
      <c r="F5" s="23" t="s">
        <v>26</v>
      </c>
      <c r="G5" s="23" t="s">
        <v>870</v>
      </c>
      <c r="H5" s="23" t="s">
        <v>273</v>
      </c>
    </row>
    <row r="6" spans="1:8" x14ac:dyDescent="0.25">
      <c r="A6" s="21">
        <v>701000</v>
      </c>
      <c r="B6" s="21" t="s">
        <v>869</v>
      </c>
      <c r="C6" s="21">
        <v>21000000</v>
      </c>
      <c r="D6" s="21" t="s">
        <v>77</v>
      </c>
      <c r="E6" s="21">
        <v>4</v>
      </c>
      <c r="F6" s="21" t="s">
        <v>26</v>
      </c>
      <c r="G6" s="21" t="s">
        <v>870</v>
      </c>
      <c r="H6" s="21" t="s">
        <v>273</v>
      </c>
    </row>
    <row r="7" spans="1:8" x14ac:dyDescent="0.25">
      <c r="A7" s="23">
        <v>701000</v>
      </c>
      <c r="B7" s="23" t="s">
        <v>869</v>
      </c>
      <c r="C7" s="23">
        <v>19800000</v>
      </c>
      <c r="D7" s="23" t="s">
        <v>77</v>
      </c>
      <c r="E7" s="23">
        <v>5</v>
      </c>
      <c r="F7" s="23" t="s">
        <v>26</v>
      </c>
      <c r="G7" s="23" t="s">
        <v>870</v>
      </c>
      <c r="H7" s="23" t="s">
        <v>273</v>
      </c>
    </row>
    <row r="8" spans="1:8" x14ac:dyDescent="0.25">
      <c r="A8" s="21">
        <v>701000</v>
      </c>
      <c r="B8" s="21" t="s">
        <v>869</v>
      </c>
      <c r="C8" s="21">
        <v>22500000</v>
      </c>
      <c r="D8" s="21" t="s">
        <v>77</v>
      </c>
      <c r="E8" s="21">
        <v>6</v>
      </c>
      <c r="F8" s="21" t="s">
        <v>26</v>
      </c>
      <c r="G8" s="21" t="s">
        <v>870</v>
      </c>
      <c r="H8" s="21" t="s">
        <v>273</v>
      </c>
    </row>
    <row r="9" spans="1:8" x14ac:dyDescent="0.25">
      <c r="A9" s="23">
        <v>701000</v>
      </c>
      <c r="B9" s="23" t="s">
        <v>869</v>
      </c>
      <c r="C9" s="23">
        <v>24200000</v>
      </c>
      <c r="D9" s="23" t="s">
        <v>77</v>
      </c>
      <c r="E9" s="23">
        <v>7</v>
      </c>
      <c r="F9" s="23" t="s">
        <v>26</v>
      </c>
      <c r="G9" s="23" t="s">
        <v>870</v>
      </c>
      <c r="H9" s="23" t="s">
        <v>273</v>
      </c>
    </row>
    <row r="10" spans="1:8" x14ac:dyDescent="0.25">
      <c r="A10" s="21">
        <v>701000</v>
      </c>
      <c r="B10" s="21" t="s">
        <v>869</v>
      </c>
      <c r="C10" s="21">
        <v>28000000</v>
      </c>
      <c r="D10" s="21" t="s">
        <v>77</v>
      </c>
      <c r="E10" s="21">
        <v>8</v>
      </c>
      <c r="F10" s="21" t="s">
        <v>26</v>
      </c>
      <c r="G10" s="21" t="s">
        <v>870</v>
      </c>
      <c r="H10" s="21" t="s">
        <v>273</v>
      </c>
    </row>
    <row r="11" spans="1:8" x14ac:dyDescent="0.25">
      <c r="A11" s="23">
        <v>701000</v>
      </c>
      <c r="B11" s="23" t="s">
        <v>869</v>
      </c>
      <c r="C11" s="23">
        <v>26500000</v>
      </c>
      <c r="D11" s="23" t="s">
        <v>77</v>
      </c>
      <c r="E11" s="23">
        <v>9</v>
      </c>
      <c r="F11" s="23" t="s">
        <v>26</v>
      </c>
      <c r="G11" s="23" t="s">
        <v>870</v>
      </c>
      <c r="H11" s="23" t="s">
        <v>273</v>
      </c>
    </row>
    <row r="12" spans="1:8" x14ac:dyDescent="0.25">
      <c r="A12" s="21">
        <v>701000</v>
      </c>
      <c r="B12" s="21" t="s">
        <v>869</v>
      </c>
      <c r="C12" s="21">
        <v>30500000</v>
      </c>
      <c r="D12" s="21" t="s">
        <v>77</v>
      </c>
      <c r="E12" s="21">
        <v>10</v>
      </c>
      <c r="F12" s="21" t="s">
        <v>26</v>
      </c>
      <c r="G12" s="21" t="s">
        <v>870</v>
      </c>
      <c r="H12" s="21" t="s">
        <v>273</v>
      </c>
    </row>
    <row r="13" spans="1:8" x14ac:dyDescent="0.25">
      <c r="A13" s="23">
        <v>701000</v>
      </c>
      <c r="B13" s="23" t="s">
        <v>869</v>
      </c>
      <c r="C13" s="23">
        <v>34000000</v>
      </c>
      <c r="D13" s="23" t="s">
        <v>77</v>
      </c>
      <c r="E13" s="23">
        <v>11</v>
      </c>
      <c r="F13" s="23" t="s">
        <v>26</v>
      </c>
      <c r="G13" s="23" t="s">
        <v>870</v>
      </c>
      <c r="H13" s="23" t="s">
        <v>273</v>
      </c>
    </row>
    <row r="14" spans="1:8" x14ac:dyDescent="0.25">
      <c r="A14" s="21">
        <v>701000</v>
      </c>
      <c r="B14" s="21" t="s">
        <v>869</v>
      </c>
      <c r="C14" s="21">
        <v>33000000</v>
      </c>
      <c r="D14" s="21" t="s">
        <v>77</v>
      </c>
      <c r="E14" s="21">
        <v>12</v>
      </c>
      <c r="F14" s="21" t="s">
        <v>26</v>
      </c>
      <c r="G14" s="21" t="s">
        <v>870</v>
      </c>
      <c r="H14" s="21" t="s">
        <v>273</v>
      </c>
    </row>
    <row r="15" spans="1:8" x14ac:dyDescent="0.25">
      <c r="A15" s="23">
        <v>706000</v>
      </c>
      <c r="B15" s="23" t="s">
        <v>871</v>
      </c>
      <c r="C15" s="23">
        <v>1800000</v>
      </c>
      <c r="D15" s="23" t="s">
        <v>77</v>
      </c>
      <c r="E15" s="23">
        <v>3</v>
      </c>
      <c r="F15" s="23" t="s">
        <v>26</v>
      </c>
      <c r="G15" s="23" t="s">
        <v>870</v>
      </c>
      <c r="H15" s="23" t="s">
        <v>273</v>
      </c>
    </row>
    <row r="16" spans="1:8" x14ac:dyDescent="0.25">
      <c r="A16" s="21">
        <v>706000</v>
      </c>
      <c r="B16" s="21" t="s">
        <v>871</v>
      </c>
      <c r="C16" s="21">
        <v>2200000</v>
      </c>
      <c r="D16" s="21" t="s">
        <v>77</v>
      </c>
      <c r="E16" s="21">
        <v>6</v>
      </c>
      <c r="F16" s="21" t="s">
        <v>26</v>
      </c>
      <c r="G16" s="21" t="s">
        <v>870</v>
      </c>
      <c r="H16" s="21" t="s">
        <v>273</v>
      </c>
    </row>
    <row r="17" spans="1:8" x14ac:dyDescent="0.25">
      <c r="A17" s="23">
        <v>706000</v>
      </c>
      <c r="B17" s="23" t="s">
        <v>871</v>
      </c>
      <c r="C17" s="23">
        <v>2800000</v>
      </c>
      <c r="D17" s="23" t="s">
        <v>77</v>
      </c>
      <c r="E17" s="23">
        <v>9</v>
      </c>
      <c r="F17" s="23" t="s">
        <v>26</v>
      </c>
      <c r="G17" s="23" t="s">
        <v>870</v>
      </c>
      <c r="H17" s="23" t="s">
        <v>273</v>
      </c>
    </row>
    <row r="18" spans="1:8" x14ac:dyDescent="0.25">
      <c r="A18" s="21">
        <v>706000</v>
      </c>
      <c r="B18" s="21" t="s">
        <v>871</v>
      </c>
      <c r="C18" s="21">
        <v>3200000</v>
      </c>
      <c r="D18" s="21" t="s">
        <v>77</v>
      </c>
      <c r="E18" s="21">
        <v>12</v>
      </c>
      <c r="F18" s="21" t="s">
        <v>26</v>
      </c>
      <c r="G18" s="21" t="s">
        <v>870</v>
      </c>
      <c r="H18" s="21" t="s">
        <v>273</v>
      </c>
    </row>
    <row r="19" spans="1:8" x14ac:dyDescent="0.25">
      <c r="A19" s="23">
        <v>708500</v>
      </c>
      <c r="B19" s="23" t="s">
        <v>872</v>
      </c>
      <c r="C19" s="23">
        <v>4200000</v>
      </c>
      <c r="D19" s="23" t="s">
        <v>77</v>
      </c>
      <c r="E19" s="23">
        <v>3</v>
      </c>
      <c r="F19" s="23" t="s">
        <v>26</v>
      </c>
      <c r="G19" s="23" t="s">
        <v>870</v>
      </c>
      <c r="H19" s="23" t="s">
        <v>873</v>
      </c>
    </row>
    <row r="20" spans="1:8" x14ac:dyDescent="0.25">
      <c r="A20" s="21">
        <v>708500</v>
      </c>
      <c r="B20" s="21" t="s">
        <v>872</v>
      </c>
      <c r="C20" s="21">
        <v>4500000</v>
      </c>
      <c r="D20" s="21" t="s">
        <v>77</v>
      </c>
      <c r="E20" s="21">
        <v>6</v>
      </c>
      <c r="F20" s="21" t="s">
        <v>26</v>
      </c>
      <c r="G20" s="21" t="s">
        <v>870</v>
      </c>
      <c r="H20" s="21" t="s">
        <v>873</v>
      </c>
    </row>
    <row r="21" spans="1:8" x14ac:dyDescent="0.25">
      <c r="A21" s="23">
        <v>708500</v>
      </c>
      <c r="B21" s="23" t="s">
        <v>872</v>
      </c>
      <c r="C21" s="23">
        <v>5000000</v>
      </c>
      <c r="D21" s="23" t="s">
        <v>77</v>
      </c>
      <c r="E21" s="23">
        <v>9</v>
      </c>
      <c r="F21" s="23" t="s">
        <v>26</v>
      </c>
      <c r="G21" s="23" t="s">
        <v>870</v>
      </c>
      <c r="H21" s="23" t="s">
        <v>873</v>
      </c>
    </row>
    <row r="22" spans="1:8" x14ac:dyDescent="0.25">
      <c r="A22" s="21">
        <v>708500</v>
      </c>
      <c r="B22" s="21" t="s">
        <v>872</v>
      </c>
      <c r="C22" s="21">
        <v>4800000</v>
      </c>
      <c r="D22" s="21" t="s">
        <v>77</v>
      </c>
      <c r="E22" s="21">
        <v>12</v>
      </c>
      <c r="F22" s="21" t="s">
        <v>26</v>
      </c>
      <c r="G22" s="21" t="s">
        <v>870</v>
      </c>
      <c r="H22" s="21" t="s">
        <v>873</v>
      </c>
    </row>
    <row r="23" spans="1:8" x14ac:dyDescent="0.25">
      <c r="A23" s="23">
        <v>601000</v>
      </c>
      <c r="B23" s="23" t="s">
        <v>874</v>
      </c>
      <c r="C23" s="23">
        <v>-38500000</v>
      </c>
      <c r="D23" s="23" t="s">
        <v>77</v>
      </c>
      <c r="E23" s="23">
        <v>6</v>
      </c>
      <c r="F23" s="23" t="s">
        <v>26</v>
      </c>
      <c r="G23" s="23" t="s">
        <v>875</v>
      </c>
      <c r="H23" s="23" t="s">
        <v>273</v>
      </c>
    </row>
    <row r="24" spans="1:8" x14ac:dyDescent="0.25">
      <c r="A24" s="21">
        <v>601000</v>
      </c>
      <c r="B24" s="21" t="s">
        <v>874</v>
      </c>
      <c r="C24" s="21">
        <v>-40200000</v>
      </c>
      <c r="D24" s="21" t="s">
        <v>77</v>
      </c>
      <c r="E24" s="21">
        <v>12</v>
      </c>
      <c r="F24" s="21" t="s">
        <v>26</v>
      </c>
      <c r="G24" s="21" t="s">
        <v>875</v>
      </c>
      <c r="H24" s="21" t="s">
        <v>273</v>
      </c>
    </row>
    <row r="25" spans="1:8" x14ac:dyDescent="0.25">
      <c r="A25" s="23">
        <v>621000</v>
      </c>
      <c r="B25" s="23" t="s">
        <v>876</v>
      </c>
      <c r="C25" s="23">
        <v>-12800000</v>
      </c>
      <c r="D25" s="23" t="s">
        <v>77</v>
      </c>
      <c r="E25" s="23">
        <v>6</v>
      </c>
      <c r="F25" s="23" t="s">
        <v>26</v>
      </c>
      <c r="G25" s="23" t="s">
        <v>875</v>
      </c>
      <c r="H25" s="23" t="s">
        <v>273</v>
      </c>
    </row>
    <row r="26" spans="1:8" x14ac:dyDescent="0.25">
      <c r="A26" s="21">
        <v>621000</v>
      </c>
      <c r="B26" s="21" t="s">
        <v>876</v>
      </c>
      <c r="C26" s="21">
        <v>-13200000</v>
      </c>
      <c r="D26" s="21" t="s">
        <v>77</v>
      </c>
      <c r="E26" s="21">
        <v>12</v>
      </c>
      <c r="F26" s="21" t="s">
        <v>26</v>
      </c>
      <c r="G26" s="21" t="s">
        <v>875</v>
      </c>
      <c r="H26" s="21" t="s">
        <v>273</v>
      </c>
    </row>
    <row r="27" spans="1:8" x14ac:dyDescent="0.25">
      <c r="A27" s="23">
        <v>631000</v>
      </c>
      <c r="B27" s="23" t="s">
        <v>278</v>
      </c>
      <c r="C27" s="23">
        <v>-32500000</v>
      </c>
      <c r="D27" s="23" t="s">
        <v>77</v>
      </c>
      <c r="E27" s="23">
        <v>6</v>
      </c>
      <c r="F27" s="23" t="s">
        <v>26</v>
      </c>
      <c r="G27" s="23" t="s">
        <v>875</v>
      </c>
      <c r="H27" s="23" t="s">
        <v>273</v>
      </c>
    </row>
    <row r="28" spans="1:8" x14ac:dyDescent="0.25">
      <c r="A28" s="21">
        <v>631000</v>
      </c>
      <c r="B28" s="21" t="s">
        <v>278</v>
      </c>
      <c r="C28" s="21">
        <v>-34200000</v>
      </c>
      <c r="D28" s="21" t="s">
        <v>77</v>
      </c>
      <c r="E28" s="21">
        <v>12</v>
      </c>
      <c r="F28" s="21" t="s">
        <v>26</v>
      </c>
      <c r="G28" s="21" t="s">
        <v>875</v>
      </c>
      <c r="H28" s="21" t="s">
        <v>273</v>
      </c>
    </row>
    <row r="29" spans="1:8" x14ac:dyDescent="0.25">
      <c r="A29" s="23">
        <v>641100</v>
      </c>
      <c r="B29" s="23" t="s">
        <v>877</v>
      </c>
      <c r="C29" s="23">
        <v>-18500000</v>
      </c>
      <c r="D29" s="23" t="s">
        <v>77</v>
      </c>
      <c r="E29" s="23">
        <v>6</v>
      </c>
      <c r="F29" s="23" t="s">
        <v>26</v>
      </c>
      <c r="G29" s="23" t="s">
        <v>875</v>
      </c>
      <c r="H29" s="23" t="s">
        <v>273</v>
      </c>
    </row>
    <row r="30" spans="1:8" x14ac:dyDescent="0.25">
      <c r="A30" s="21">
        <v>641100</v>
      </c>
      <c r="B30" s="21" t="s">
        <v>877</v>
      </c>
      <c r="C30" s="21">
        <v>-19800000</v>
      </c>
      <c r="D30" s="21" t="s">
        <v>77</v>
      </c>
      <c r="E30" s="21">
        <v>12</v>
      </c>
      <c r="F30" s="21" t="s">
        <v>26</v>
      </c>
      <c r="G30" s="21" t="s">
        <v>875</v>
      </c>
      <c r="H30" s="21" t="s">
        <v>273</v>
      </c>
    </row>
    <row r="31" spans="1:8" x14ac:dyDescent="0.25">
      <c r="A31" s="23">
        <v>681100</v>
      </c>
      <c r="B31" s="23" t="s">
        <v>878</v>
      </c>
      <c r="C31" s="23">
        <v>-10200000</v>
      </c>
      <c r="D31" s="23" t="s">
        <v>77</v>
      </c>
      <c r="E31" s="23">
        <v>6</v>
      </c>
      <c r="F31" s="23" t="s">
        <v>26</v>
      </c>
      <c r="G31" s="23" t="s">
        <v>875</v>
      </c>
      <c r="H31" s="23" t="s">
        <v>273</v>
      </c>
    </row>
    <row r="32" spans="1:8" x14ac:dyDescent="0.25">
      <c r="A32" s="21">
        <v>681100</v>
      </c>
      <c r="B32" s="21" t="s">
        <v>878</v>
      </c>
      <c r="C32" s="21">
        <v>-11800000</v>
      </c>
      <c r="D32" s="21" t="s">
        <v>77</v>
      </c>
      <c r="E32" s="21">
        <v>12</v>
      </c>
      <c r="F32" s="21" t="s">
        <v>26</v>
      </c>
      <c r="G32" s="21" t="s">
        <v>875</v>
      </c>
      <c r="H32" s="21" t="s">
        <v>273</v>
      </c>
    </row>
    <row r="33" spans="1:8" x14ac:dyDescent="0.25">
      <c r="A33" s="23">
        <v>686200</v>
      </c>
      <c r="B33" s="23" t="s">
        <v>879</v>
      </c>
      <c r="C33" s="23">
        <v>-2200000</v>
      </c>
      <c r="D33" s="23" t="s">
        <v>77</v>
      </c>
      <c r="E33" s="23">
        <v>6</v>
      </c>
      <c r="F33" s="23" t="s">
        <v>26</v>
      </c>
      <c r="G33" s="23" t="s">
        <v>875</v>
      </c>
      <c r="H33" s="23" t="s">
        <v>273</v>
      </c>
    </row>
    <row r="34" spans="1:8" x14ac:dyDescent="0.25">
      <c r="A34" s="21">
        <v>686200</v>
      </c>
      <c r="B34" s="21" t="s">
        <v>879</v>
      </c>
      <c r="C34" s="21">
        <v>-2400000</v>
      </c>
      <c r="D34" s="21" t="s">
        <v>77</v>
      </c>
      <c r="E34" s="21">
        <v>12</v>
      </c>
      <c r="F34" s="21" t="s">
        <v>26</v>
      </c>
      <c r="G34" s="21" t="s">
        <v>875</v>
      </c>
      <c r="H34" s="21" t="s">
        <v>273</v>
      </c>
    </row>
    <row r="35" spans="1:8" x14ac:dyDescent="0.25">
      <c r="A35" s="23">
        <v>761000</v>
      </c>
      <c r="B35" s="23" t="s">
        <v>880</v>
      </c>
      <c r="C35" s="23">
        <v>4200000</v>
      </c>
      <c r="D35" s="23" t="s">
        <v>77</v>
      </c>
      <c r="E35" s="23">
        <v>12</v>
      </c>
      <c r="F35" s="23" t="s">
        <v>26</v>
      </c>
      <c r="G35" s="23" t="s">
        <v>870</v>
      </c>
      <c r="H35" s="23" t="s">
        <v>881</v>
      </c>
    </row>
    <row r="36" spans="1:8" x14ac:dyDescent="0.25">
      <c r="A36" s="21">
        <v>762000</v>
      </c>
      <c r="B36" s="21" t="s">
        <v>882</v>
      </c>
      <c r="C36" s="21">
        <v>1500000</v>
      </c>
      <c r="D36" s="21" t="s">
        <v>77</v>
      </c>
      <c r="E36" s="21">
        <v>9</v>
      </c>
      <c r="F36" s="21" t="s">
        <v>26</v>
      </c>
      <c r="G36" s="21" t="s">
        <v>870</v>
      </c>
      <c r="H36" s="21" t="s">
        <v>286</v>
      </c>
    </row>
    <row r="37" spans="1:8" x14ac:dyDescent="0.25">
      <c r="A37" s="23">
        <v>764000</v>
      </c>
      <c r="B37" s="23" t="s">
        <v>883</v>
      </c>
      <c r="C37" s="23">
        <v>890000</v>
      </c>
      <c r="D37" s="23" t="s">
        <v>77</v>
      </c>
      <c r="E37" s="23">
        <v>12</v>
      </c>
      <c r="F37" s="23" t="s">
        <v>26</v>
      </c>
      <c r="G37" s="23" t="s">
        <v>870</v>
      </c>
      <c r="H37" s="23" t="s">
        <v>286</v>
      </c>
    </row>
    <row r="38" spans="1:8" x14ac:dyDescent="0.25">
      <c r="A38" s="21">
        <v>661100</v>
      </c>
      <c r="B38" s="21" t="s">
        <v>884</v>
      </c>
      <c r="C38" s="21">
        <v>-4200000</v>
      </c>
      <c r="D38" s="21" t="s">
        <v>77</v>
      </c>
      <c r="E38" s="21">
        <v>6</v>
      </c>
      <c r="F38" s="21" t="s">
        <v>26</v>
      </c>
      <c r="G38" s="21" t="s">
        <v>875</v>
      </c>
      <c r="H38" s="21" t="s">
        <v>293</v>
      </c>
    </row>
    <row r="39" spans="1:8" x14ac:dyDescent="0.25">
      <c r="A39" s="23">
        <v>661100</v>
      </c>
      <c r="B39" s="23" t="s">
        <v>884</v>
      </c>
      <c r="C39" s="23">
        <v>-4000000</v>
      </c>
      <c r="D39" s="23" t="s">
        <v>77</v>
      </c>
      <c r="E39" s="23">
        <v>12</v>
      </c>
      <c r="F39" s="23" t="s">
        <v>26</v>
      </c>
      <c r="G39" s="23" t="s">
        <v>875</v>
      </c>
      <c r="H39" s="23" t="s">
        <v>293</v>
      </c>
    </row>
    <row r="40" spans="1:8" x14ac:dyDescent="0.25">
      <c r="A40" s="21">
        <v>661200</v>
      </c>
      <c r="B40" s="21" t="s">
        <v>584</v>
      </c>
      <c r="C40" s="21">
        <v>-900000</v>
      </c>
      <c r="D40" s="21" t="s">
        <v>77</v>
      </c>
      <c r="E40" s="21">
        <v>6</v>
      </c>
      <c r="F40" s="21" t="s">
        <v>26</v>
      </c>
      <c r="G40" s="21" t="s">
        <v>875</v>
      </c>
      <c r="H40" s="21" t="s">
        <v>293</v>
      </c>
    </row>
    <row r="41" spans="1:8" x14ac:dyDescent="0.25">
      <c r="A41" s="23">
        <v>661200</v>
      </c>
      <c r="B41" s="23" t="s">
        <v>584</v>
      </c>
      <c r="C41" s="23">
        <v>-900000</v>
      </c>
      <c r="D41" s="23" t="s">
        <v>77</v>
      </c>
      <c r="E41" s="23">
        <v>12</v>
      </c>
      <c r="F41" s="23" t="s">
        <v>26</v>
      </c>
      <c r="G41" s="23" t="s">
        <v>875</v>
      </c>
      <c r="H41" s="23" t="s">
        <v>293</v>
      </c>
    </row>
    <row r="42" spans="1:8" x14ac:dyDescent="0.25">
      <c r="A42" s="21">
        <v>695000</v>
      </c>
      <c r="B42" s="21" t="s">
        <v>586</v>
      </c>
      <c r="C42" s="21">
        <v>-6200000</v>
      </c>
      <c r="D42" s="21" t="s">
        <v>77</v>
      </c>
      <c r="E42" s="21">
        <v>6</v>
      </c>
      <c r="F42" s="21" t="s">
        <v>26</v>
      </c>
      <c r="G42" s="21" t="s">
        <v>875</v>
      </c>
      <c r="H42" s="21" t="s">
        <v>299</v>
      </c>
    </row>
    <row r="43" spans="1:8" x14ac:dyDescent="0.25">
      <c r="A43" s="23">
        <v>695000</v>
      </c>
      <c r="B43" s="23" t="s">
        <v>586</v>
      </c>
      <c r="C43" s="23">
        <v>-6200000</v>
      </c>
      <c r="D43" s="23" t="s">
        <v>77</v>
      </c>
      <c r="E43" s="23">
        <v>12</v>
      </c>
      <c r="F43" s="23" t="s">
        <v>26</v>
      </c>
      <c r="G43" s="23" t="s">
        <v>875</v>
      </c>
      <c r="H43" s="23" t="s">
        <v>299</v>
      </c>
    </row>
    <row r="44" spans="1:8" x14ac:dyDescent="0.25">
      <c r="A44" s="21">
        <v>693000</v>
      </c>
      <c r="B44" s="21" t="s">
        <v>300</v>
      </c>
      <c r="C44" s="21">
        <v>-600000</v>
      </c>
      <c r="D44" s="21" t="s">
        <v>77</v>
      </c>
      <c r="E44" s="21">
        <v>6</v>
      </c>
      <c r="F44" s="21" t="s">
        <v>26</v>
      </c>
      <c r="G44" s="21" t="s">
        <v>875</v>
      </c>
      <c r="H44" s="21" t="s">
        <v>299</v>
      </c>
    </row>
    <row r="45" spans="1:8" x14ac:dyDescent="0.25">
      <c r="A45" s="23">
        <v>693000</v>
      </c>
      <c r="B45" s="23" t="s">
        <v>300</v>
      </c>
      <c r="C45" s="23">
        <v>-600000</v>
      </c>
      <c r="D45" s="23" t="s">
        <v>77</v>
      </c>
      <c r="E45" s="23">
        <v>12</v>
      </c>
      <c r="F45" s="23" t="s">
        <v>26</v>
      </c>
      <c r="G45" s="23" t="s">
        <v>875</v>
      </c>
      <c r="H45" s="23" t="s">
        <v>299</v>
      </c>
    </row>
    <row r="46" spans="1:8" x14ac:dyDescent="0.25">
      <c r="A46" s="21">
        <v>211000</v>
      </c>
      <c r="B46" s="21" t="s">
        <v>885</v>
      </c>
      <c r="C46" s="21">
        <v>85000000</v>
      </c>
      <c r="D46" s="21" t="s">
        <v>77</v>
      </c>
      <c r="E46" s="21">
        <v>12</v>
      </c>
      <c r="F46" s="21" t="s">
        <v>26</v>
      </c>
      <c r="G46" s="21" t="s">
        <v>418</v>
      </c>
      <c r="H46" s="21" t="s">
        <v>886</v>
      </c>
    </row>
    <row r="47" spans="1:8" x14ac:dyDescent="0.25">
      <c r="A47" s="23">
        <v>215000</v>
      </c>
      <c r="B47" s="23" t="s">
        <v>887</v>
      </c>
      <c r="C47" s="23">
        <v>142000000</v>
      </c>
      <c r="D47" s="23" t="s">
        <v>77</v>
      </c>
      <c r="E47" s="23">
        <v>12</v>
      </c>
      <c r="F47" s="23" t="s">
        <v>26</v>
      </c>
      <c r="G47" s="23" t="s">
        <v>418</v>
      </c>
      <c r="H47" s="23" t="s">
        <v>886</v>
      </c>
    </row>
    <row r="48" spans="1:8" x14ac:dyDescent="0.25">
      <c r="A48" s="21">
        <v>232100</v>
      </c>
      <c r="B48" s="21" t="s">
        <v>888</v>
      </c>
      <c r="C48" s="21">
        <v>28500000</v>
      </c>
      <c r="D48" s="21" t="s">
        <v>77</v>
      </c>
      <c r="E48" s="21">
        <v>12</v>
      </c>
      <c r="F48" s="21" t="s">
        <v>26</v>
      </c>
      <c r="G48" s="21" t="s">
        <v>418</v>
      </c>
      <c r="H48" s="21" t="s">
        <v>886</v>
      </c>
    </row>
    <row r="49" spans="1:8" x14ac:dyDescent="0.25">
      <c r="A49" s="23">
        <v>261000</v>
      </c>
      <c r="B49" s="23" t="s">
        <v>889</v>
      </c>
      <c r="C49" s="23">
        <v>95000000</v>
      </c>
      <c r="D49" s="23" t="s">
        <v>77</v>
      </c>
      <c r="E49" s="23">
        <v>12</v>
      </c>
      <c r="F49" s="23" t="s">
        <v>26</v>
      </c>
      <c r="G49" s="23" t="s">
        <v>418</v>
      </c>
      <c r="H49" s="23" t="s">
        <v>886</v>
      </c>
    </row>
    <row r="50" spans="1:8" x14ac:dyDescent="0.25">
      <c r="A50" s="21">
        <v>311000</v>
      </c>
      <c r="B50" s="21" t="s">
        <v>890</v>
      </c>
      <c r="C50" s="21">
        <v>45200000</v>
      </c>
      <c r="D50" s="21" t="s">
        <v>77</v>
      </c>
      <c r="E50" s="21">
        <v>12</v>
      </c>
      <c r="F50" s="21" t="s">
        <v>26</v>
      </c>
      <c r="G50" s="21" t="s">
        <v>418</v>
      </c>
      <c r="H50" s="21" t="s">
        <v>886</v>
      </c>
    </row>
    <row r="51" spans="1:8" x14ac:dyDescent="0.25">
      <c r="A51" s="23">
        <v>411000</v>
      </c>
      <c r="B51" s="23" t="s">
        <v>320</v>
      </c>
      <c r="C51" s="23">
        <v>67800000</v>
      </c>
      <c r="D51" s="23" t="s">
        <v>77</v>
      </c>
      <c r="E51" s="23">
        <v>12</v>
      </c>
      <c r="F51" s="23" t="s">
        <v>26</v>
      </c>
      <c r="G51" s="23" t="s">
        <v>418</v>
      </c>
      <c r="H51" s="23" t="s">
        <v>886</v>
      </c>
    </row>
    <row r="52" spans="1:8" x14ac:dyDescent="0.25">
      <c r="A52" s="21">
        <v>451000</v>
      </c>
      <c r="B52" s="21" t="s">
        <v>891</v>
      </c>
      <c r="C52" s="21">
        <v>23500000</v>
      </c>
      <c r="D52" s="21" t="s">
        <v>77</v>
      </c>
      <c r="E52" s="21">
        <v>12</v>
      </c>
      <c r="F52" s="21" t="s">
        <v>26</v>
      </c>
      <c r="G52" s="21" t="s">
        <v>418</v>
      </c>
      <c r="H52" s="21" t="s">
        <v>892</v>
      </c>
    </row>
    <row r="53" spans="1:8" x14ac:dyDescent="0.25">
      <c r="A53" s="23">
        <v>512000</v>
      </c>
      <c r="B53" s="23" t="s">
        <v>893</v>
      </c>
      <c r="C53" s="23">
        <v>54300000</v>
      </c>
      <c r="D53" s="23" t="s">
        <v>77</v>
      </c>
      <c r="E53" s="23">
        <v>12</v>
      </c>
      <c r="F53" s="23" t="s">
        <v>26</v>
      </c>
      <c r="G53" s="23" t="s">
        <v>418</v>
      </c>
      <c r="H53" s="23" t="s">
        <v>886</v>
      </c>
    </row>
    <row r="54" spans="1:8" x14ac:dyDescent="0.25">
      <c r="A54" s="21">
        <v>101000</v>
      </c>
      <c r="B54" s="21" t="s">
        <v>233</v>
      </c>
      <c r="C54" s="21">
        <v>50000000</v>
      </c>
      <c r="D54" s="21" t="s">
        <v>77</v>
      </c>
      <c r="E54" s="21">
        <v>12</v>
      </c>
      <c r="F54" s="21" t="s">
        <v>26</v>
      </c>
      <c r="G54" s="21" t="s">
        <v>894</v>
      </c>
      <c r="H54" s="21" t="s">
        <v>886</v>
      </c>
    </row>
    <row r="55" spans="1:8" x14ac:dyDescent="0.25">
      <c r="A55" s="23">
        <v>106000</v>
      </c>
      <c r="B55" s="23" t="s">
        <v>895</v>
      </c>
      <c r="C55" s="23">
        <v>128500000</v>
      </c>
      <c r="D55" s="23" t="s">
        <v>77</v>
      </c>
      <c r="E55" s="23">
        <v>12</v>
      </c>
      <c r="F55" s="23" t="s">
        <v>26</v>
      </c>
      <c r="G55" s="23" t="s">
        <v>894</v>
      </c>
      <c r="H55" s="23" t="s">
        <v>886</v>
      </c>
    </row>
    <row r="56" spans="1:8" x14ac:dyDescent="0.25">
      <c r="A56" s="21">
        <v>164000</v>
      </c>
      <c r="B56" s="21" t="s">
        <v>896</v>
      </c>
      <c r="C56" s="21">
        <v>125000000</v>
      </c>
      <c r="D56" s="21" t="s">
        <v>77</v>
      </c>
      <c r="E56" s="21">
        <v>12</v>
      </c>
      <c r="F56" s="21" t="s">
        <v>26</v>
      </c>
      <c r="G56" s="21" t="s">
        <v>894</v>
      </c>
      <c r="H56" s="21" t="s">
        <v>886</v>
      </c>
    </row>
    <row r="57" spans="1:8" x14ac:dyDescent="0.25">
      <c r="A57" s="23">
        <v>167400</v>
      </c>
      <c r="B57" s="23" t="s">
        <v>897</v>
      </c>
      <c r="C57" s="23">
        <v>22800000</v>
      </c>
      <c r="D57" s="23" t="s">
        <v>77</v>
      </c>
      <c r="E57" s="23">
        <v>12</v>
      </c>
      <c r="F57" s="23" t="s">
        <v>26</v>
      </c>
      <c r="G57" s="23" t="s">
        <v>894</v>
      </c>
      <c r="H57" s="23" t="s">
        <v>886</v>
      </c>
    </row>
    <row r="58" spans="1:8" x14ac:dyDescent="0.25">
      <c r="A58" s="21">
        <v>401000</v>
      </c>
      <c r="B58" s="21" t="s">
        <v>462</v>
      </c>
      <c r="C58" s="21">
        <v>38200000</v>
      </c>
      <c r="D58" s="21" t="s">
        <v>77</v>
      </c>
      <c r="E58" s="21">
        <v>12</v>
      </c>
      <c r="F58" s="21" t="s">
        <v>26</v>
      </c>
      <c r="G58" s="21" t="s">
        <v>894</v>
      </c>
      <c r="H58" s="21" t="s">
        <v>886</v>
      </c>
    </row>
    <row r="59" spans="1:8" x14ac:dyDescent="0.25">
      <c r="A59" s="23">
        <v>451500</v>
      </c>
      <c r="B59" s="23" t="s">
        <v>898</v>
      </c>
      <c r="C59" s="23">
        <v>21400000</v>
      </c>
      <c r="D59" s="23" t="s">
        <v>77</v>
      </c>
      <c r="E59" s="23">
        <v>12</v>
      </c>
      <c r="F59" s="23" t="s">
        <v>26</v>
      </c>
      <c r="G59" s="23" t="s">
        <v>894</v>
      </c>
      <c r="H59" s="23" t="s">
        <v>892</v>
      </c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CD25-1AAA-4FC4-9ADE-9189F00C9FDA}">
  <sheetPr>
    <tabColor rgb="FF1E8449"/>
  </sheetPr>
  <dimension ref="A1:H27"/>
  <sheetViews>
    <sheetView showGridLines="0" workbookViewId="0">
      <selection sqref="A1:H1"/>
    </sheetView>
  </sheetViews>
  <sheetFormatPr baseColWidth="10" defaultRowHeight="15" x14ac:dyDescent="0.25"/>
  <cols>
    <col min="1" max="1" width="16" customWidth="1"/>
    <col min="2" max="2" width="64" customWidth="1"/>
    <col min="3" max="3" width="24" customWidth="1"/>
    <col min="4" max="4" width="10.7109375" customWidth="1"/>
    <col min="5" max="5" width="9.28515625" customWidth="1"/>
    <col min="6" max="6" width="21.28515625" customWidth="1"/>
    <col min="7" max="7" width="18.7109375" customWidth="1"/>
    <col min="8" max="8" width="26.7109375" customWidth="1"/>
  </cols>
  <sheetData>
    <row r="1" spans="1:8" ht="15.75" x14ac:dyDescent="0.25">
      <c r="A1" s="552" t="s">
        <v>899</v>
      </c>
      <c r="B1" s="552"/>
      <c r="C1" s="552"/>
      <c r="D1" s="552"/>
      <c r="E1" s="552"/>
      <c r="F1" s="552"/>
      <c r="G1" s="552"/>
      <c r="H1" s="552"/>
    </row>
    <row r="2" spans="1:8" x14ac:dyDescent="0.25">
      <c r="A2" s="14" t="s">
        <v>863</v>
      </c>
      <c r="B2" s="14" t="s">
        <v>864</v>
      </c>
      <c r="C2" s="14" t="s">
        <v>865</v>
      </c>
      <c r="D2" s="14" t="s">
        <v>72</v>
      </c>
      <c r="E2" s="14" t="s">
        <v>866</v>
      </c>
      <c r="F2" s="14" t="s">
        <v>70</v>
      </c>
      <c r="G2" s="14" t="s">
        <v>867</v>
      </c>
      <c r="H2" s="14" t="s">
        <v>868</v>
      </c>
    </row>
    <row r="3" spans="1:8" x14ac:dyDescent="0.25">
      <c r="A3" s="23">
        <v>701000</v>
      </c>
      <c r="B3" s="23" t="s">
        <v>900</v>
      </c>
      <c r="C3" s="23">
        <v>42000000</v>
      </c>
      <c r="D3" s="23" t="s">
        <v>77</v>
      </c>
      <c r="E3" s="23">
        <v>6</v>
      </c>
      <c r="F3" s="23" t="s">
        <v>31</v>
      </c>
      <c r="G3" s="23" t="s">
        <v>870</v>
      </c>
      <c r="H3" s="23" t="s">
        <v>273</v>
      </c>
    </row>
    <row r="4" spans="1:8" x14ac:dyDescent="0.25">
      <c r="A4" s="21">
        <v>701000</v>
      </c>
      <c r="B4" s="21" t="s">
        <v>900</v>
      </c>
      <c r="C4" s="21">
        <v>51200000</v>
      </c>
      <c r="D4" s="21" t="s">
        <v>77</v>
      </c>
      <c r="E4" s="21">
        <v>12</v>
      </c>
      <c r="F4" s="21" t="s">
        <v>31</v>
      </c>
      <c r="G4" s="21" t="s">
        <v>870</v>
      </c>
      <c r="H4" s="21" t="s">
        <v>273</v>
      </c>
    </row>
    <row r="5" spans="1:8" x14ac:dyDescent="0.25">
      <c r="A5" s="23">
        <v>706000</v>
      </c>
      <c r="B5" s="23" t="s">
        <v>901</v>
      </c>
      <c r="C5" s="23">
        <v>8400000</v>
      </c>
      <c r="D5" s="23" t="s">
        <v>77</v>
      </c>
      <c r="E5" s="23">
        <v>6</v>
      </c>
      <c r="F5" s="23" t="s">
        <v>31</v>
      </c>
      <c r="G5" s="23" t="s">
        <v>870</v>
      </c>
      <c r="H5" s="23" t="s">
        <v>273</v>
      </c>
    </row>
    <row r="6" spans="1:8" x14ac:dyDescent="0.25">
      <c r="A6" s="21">
        <v>706000</v>
      </c>
      <c r="B6" s="21" t="s">
        <v>901</v>
      </c>
      <c r="C6" s="21">
        <v>9600000</v>
      </c>
      <c r="D6" s="21" t="s">
        <v>77</v>
      </c>
      <c r="E6" s="21">
        <v>12</v>
      </c>
      <c r="F6" s="21" t="s">
        <v>31</v>
      </c>
      <c r="G6" s="21" t="s">
        <v>870</v>
      </c>
      <c r="H6" s="21" t="s">
        <v>273</v>
      </c>
    </row>
    <row r="7" spans="1:8" x14ac:dyDescent="0.25">
      <c r="A7" s="23">
        <v>708500</v>
      </c>
      <c r="B7" s="23" t="s">
        <v>902</v>
      </c>
      <c r="C7" s="23">
        <v>3200000</v>
      </c>
      <c r="D7" s="23" t="s">
        <v>77</v>
      </c>
      <c r="E7" s="23">
        <v>6</v>
      </c>
      <c r="F7" s="23" t="s">
        <v>31</v>
      </c>
      <c r="G7" s="23" t="s">
        <v>870</v>
      </c>
      <c r="H7" s="23" t="s">
        <v>873</v>
      </c>
    </row>
    <row r="8" spans="1:8" x14ac:dyDescent="0.25">
      <c r="A8" s="21">
        <v>708500</v>
      </c>
      <c r="B8" s="21" t="s">
        <v>902</v>
      </c>
      <c r="C8" s="21">
        <v>3800000</v>
      </c>
      <c r="D8" s="21" t="s">
        <v>77</v>
      </c>
      <c r="E8" s="21">
        <v>12</v>
      </c>
      <c r="F8" s="21" t="s">
        <v>31</v>
      </c>
      <c r="G8" s="21" t="s">
        <v>870</v>
      </c>
      <c r="H8" s="21" t="s">
        <v>873</v>
      </c>
    </row>
    <row r="9" spans="1:8" x14ac:dyDescent="0.25">
      <c r="A9" s="23">
        <v>601000</v>
      </c>
      <c r="B9" s="23" t="s">
        <v>903</v>
      </c>
      <c r="C9" s="23">
        <v>-36800000</v>
      </c>
      <c r="D9" s="23" t="s">
        <v>77</v>
      </c>
      <c r="E9" s="23">
        <v>6</v>
      </c>
      <c r="F9" s="23" t="s">
        <v>31</v>
      </c>
      <c r="G9" s="23" t="s">
        <v>875</v>
      </c>
      <c r="H9" s="23" t="s">
        <v>273</v>
      </c>
    </row>
    <row r="10" spans="1:8" x14ac:dyDescent="0.25">
      <c r="A10" s="21">
        <v>601000</v>
      </c>
      <c r="B10" s="21" t="s">
        <v>903</v>
      </c>
      <c r="C10" s="21">
        <v>-43500000</v>
      </c>
      <c r="D10" s="21" t="s">
        <v>77</v>
      </c>
      <c r="E10" s="21">
        <v>12</v>
      </c>
      <c r="F10" s="21" t="s">
        <v>31</v>
      </c>
      <c r="G10" s="21" t="s">
        <v>875</v>
      </c>
      <c r="H10" s="21" t="s">
        <v>273</v>
      </c>
    </row>
    <row r="11" spans="1:8" x14ac:dyDescent="0.25">
      <c r="A11" s="23">
        <v>631000</v>
      </c>
      <c r="B11" s="23" t="s">
        <v>904</v>
      </c>
      <c r="C11" s="23">
        <v>-21500000</v>
      </c>
      <c r="D11" s="23" t="s">
        <v>77</v>
      </c>
      <c r="E11" s="23">
        <v>6</v>
      </c>
      <c r="F11" s="23" t="s">
        <v>31</v>
      </c>
      <c r="G11" s="23" t="s">
        <v>875</v>
      </c>
      <c r="H11" s="23" t="s">
        <v>273</v>
      </c>
    </row>
    <row r="12" spans="1:8" x14ac:dyDescent="0.25">
      <c r="A12" s="21">
        <v>631000</v>
      </c>
      <c r="B12" s="21" t="s">
        <v>904</v>
      </c>
      <c r="C12" s="21">
        <v>-24800000</v>
      </c>
      <c r="D12" s="21" t="s">
        <v>77</v>
      </c>
      <c r="E12" s="21">
        <v>12</v>
      </c>
      <c r="F12" s="21" t="s">
        <v>31</v>
      </c>
      <c r="G12" s="21" t="s">
        <v>875</v>
      </c>
      <c r="H12" s="21" t="s">
        <v>273</v>
      </c>
    </row>
    <row r="13" spans="1:8" x14ac:dyDescent="0.25">
      <c r="A13" s="23">
        <v>681100</v>
      </c>
      <c r="B13" s="23" t="s">
        <v>905</v>
      </c>
      <c r="C13" s="23">
        <v>-5800000</v>
      </c>
      <c r="D13" s="23" t="s">
        <v>77</v>
      </c>
      <c r="E13" s="23">
        <v>6</v>
      </c>
      <c r="F13" s="23" t="s">
        <v>31</v>
      </c>
      <c r="G13" s="23" t="s">
        <v>875</v>
      </c>
      <c r="H13" s="23" t="s">
        <v>273</v>
      </c>
    </row>
    <row r="14" spans="1:8" x14ac:dyDescent="0.25">
      <c r="A14" s="21">
        <v>681100</v>
      </c>
      <c r="B14" s="21" t="s">
        <v>905</v>
      </c>
      <c r="C14" s="21">
        <v>-6200000</v>
      </c>
      <c r="D14" s="21" t="s">
        <v>77</v>
      </c>
      <c r="E14" s="21">
        <v>12</v>
      </c>
      <c r="F14" s="21" t="s">
        <v>31</v>
      </c>
      <c r="G14" s="21" t="s">
        <v>875</v>
      </c>
      <c r="H14" s="21" t="s">
        <v>273</v>
      </c>
    </row>
    <row r="15" spans="1:8" x14ac:dyDescent="0.25">
      <c r="A15" s="23">
        <v>762000</v>
      </c>
      <c r="B15" s="23" t="s">
        <v>906</v>
      </c>
      <c r="C15" s="23">
        <v>800000</v>
      </c>
      <c r="D15" s="23" t="s">
        <v>77</v>
      </c>
      <c r="E15" s="23">
        <v>9</v>
      </c>
      <c r="F15" s="23" t="s">
        <v>31</v>
      </c>
      <c r="G15" s="23" t="s">
        <v>870</v>
      </c>
      <c r="H15" s="23" t="s">
        <v>286</v>
      </c>
    </row>
    <row r="16" spans="1:8" x14ac:dyDescent="0.25">
      <c r="A16" s="21">
        <v>764000</v>
      </c>
      <c r="B16" s="21" t="s">
        <v>907</v>
      </c>
      <c r="C16" s="21">
        <v>420000</v>
      </c>
      <c r="D16" s="21" t="s">
        <v>77</v>
      </c>
      <c r="E16" s="21">
        <v>12</v>
      </c>
      <c r="F16" s="21" t="s">
        <v>31</v>
      </c>
      <c r="G16" s="21" t="s">
        <v>870</v>
      </c>
      <c r="H16" s="21" t="s">
        <v>286</v>
      </c>
    </row>
    <row r="17" spans="1:8" x14ac:dyDescent="0.25">
      <c r="A17" s="23">
        <v>661100</v>
      </c>
      <c r="B17" s="23" t="s">
        <v>908</v>
      </c>
      <c r="C17" s="23">
        <v>-4500000</v>
      </c>
      <c r="D17" s="23" t="s">
        <v>77</v>
      </c>
      <c r="E17" s="23">
        <v>12</v>
      </c>
      <c r="F17" s="23" t="s">
        <v>31</v>
      </c>
      <c r="G17" s="23" t="s">
        <v>875</v>
      </c>
      <c r="H17" s="23" t="s">
        <v>293</v>
      </c>
    </row>
    <row r="18" spans="1:8" x14ac:dyDescent="0.25">
      <c r="A18" s="21">
        <v>695000</v>
      </c>
      <c r="B18" s="21" t="s">
        <v>909</v>
      </c>
      <c r="C18" s="21">
        <v>-8200000</v>
      </c>
      <c r="D18" s="21" t="s">
        <v>77</v>
      </c>
      <c r="E18" s="21">
        <v>12</v>
      </c>
      <c r="F18" s="21" t="s">
        <v>31</v>
      </c>
      <c r="G18" s="21" t="s">
        <v>875</v>
      </c>
      <c r="H18" s="21" t="s">
        <v>299</v>
      </c>
    </row>
    <row r="19" spans="1:8" x14ac:dyDescent="0.25">
      <c r="A19" s="23">
        <v>211000</v>
      </c>
      <c r="B19" s="23" t="s">
        <v>910</v>
      </c>
      <c r="C19" s="23">
        <v>20000000</v>
      </c>
      <c r="D19" s="23" t="s">
        <v>77</v>
      </c>
      <c r="E19" s="23">
        <v>12</v>
      </c>
      <c r="F19" s="23" t="s">
        <v>31</v>
      </c>
      <c r="G19" s="23" t="s">
        <v>418</v>
      </c>
      <c r="H19" s="23" t="s">
        <v>886</v>
      </c>
    </row>
    <row r="20" spans="1:8" x14ac:dyDescent="0.25">
      <c r="A20" s="21">
        <v>215000</v>
      </c>
      <c r="B20" s="21" t="s">
        <v>911</v>
      </c>
      <c r="C20" s="21">
        <v>95000000</v>
      </c>
      <c r="D20" s="21" t="s">
        <v>77</v>
      </c>
      <c r="E20" s="21">
        <v>12</v>
      </c>
      <c r="F20" s="21" t="s">
        <v>31</v>
      </c>
      <c r="G20" s="21" t="s">
        <v>418</v>
      </c>
      <c r="H20" s="21" t="s">
        <v>886</v>
      </c>
    </row>
    <row r="21" spans="1:8" x14ac:dyDescent="0.25">
      <c r="A21" s="23">
        <v>311000</v>
      </c>
      <c r="B21" s="23" t="s">
        <v>912</v>
      </c>
      <c r="C21" s="23">
        <v>62000000</v>
      </c>
      <c r="D21" s="23" t="s">
        <v>77</v>
      </c>
      <c r="E21" s="23">
        <v>12</v>
      </c>
      <c r="F21" s="23" t="s">
        <v>31</v>
      </c>
      <c r="G21" s="23" t="s">
        <v>418</v>
      </c>
      <c r="H21" s="23" t="s">
        <v>886</v>
      </c>
    </row>
    <row r="22" spans="1:8" x14ac:dyDescent="0.25">
      <c r="A22" s="21">
        <v>411000</v>
      </c>
      <c r="B22" s="21" t="s">
        <v>913</v>
      </c>
      <c r="C22" s="21">
        <v>38000000</v>
      </c>
      <c r="D22" s="21" t="s">
        <v>77</v>
      </c>
      <c r="E22" s="21">
        <v>12</v>
      </c>
      <c r="F22" s="21" t="s">
        <v>31</v>
      </c>
      <c r="G22" s="21" t="s">
        <v>418</v>
      </c>
      <c r="H22" s="21" t="s">
        <v>886</v>
      </c>
    </row>
    <row r="23" spans="1:8" x14ac:dyDescent="0.25">
      <c r="A23" s="23">
        <v>451000</v>
      </c>
      <c r="B23" s="23" t="s">
        <v>914</v>
      </c>
      <c r="C23" s="23">
        <v>12500000</v>
      </c>
      <c r="D23" s="23" t="s">
        <v>77</v>
      </c>
      <c r="E23" s="23">
        <v>12</v>
      </c>
      <c r="F23" s="23" t="s">
        <v>31</v>
      </c>
      <c r="G23" s="23" t="s">
        <v>418</v>
      </c>
      <c r="H23" s="23" t="s">
        <v>892</v>
      </c>
    </row>
    <row r="24" spans="1:8" x14ac:dyDescent="0.25">
      <c r="A24" s="21">
        <v>512000</v>
      </c>
      <c r="B24" s="21" t="s">
        <v>915</v>
      </c>
      <c r="C24" s="21">
        <v>24000000</v>
      </c>
      <c r="D24" s="21" t="s">
        <v>77</v>
      </c>
      <c r="E24" s="21">
        <v>12</v>
      </c>
      <c r="F24" s="21" t="s">
        <v>31</v>
      </c>
      <c r="G24" s="21" t="s">
        <v>418</v>
      </c>
      <c r="H24" s="21" t="s">
        <v>886</v>
      </c>
    </row>
    <row r="25" spans="1:8" x14ac:dyDescent="0.25">
      <c r="A25" s="23">
        <v>164000</v>
      </c>
      <c r="B25" s="23" t="s">
        <v>916</v>
      </c>
      <c r="C25" s="23">
        <v>48000000</v>
      </c>
      <c r="D25" s="23" t="s">
        <v>77</v>
      </c>
      <c r="E25" s="23">
        <v>12</v>
      </c>
      <c r="F25" s="23" t="s">
        <v>31</v>
      </c>
      <c r="G25" s="23" t="s">
        <v>894</v>
      </c>
      <c r="H25" s="23" t="s">
        <v>886</v>
      </c>
    </row>
    <row r="26" spans="1:8" x14ac:dyDescent="0.25">
      <c r="A26" s="21">
        <v>401000</v>
      </c>
      <c r="B26" s="21" t="s">
        <v>917</v>
      </c>
      <c r="C26" s="21">
        <v>22000000</v>
      </c>
      <c r="D26" s="21" t="s">
        <v>77</v>
      </c>
      <c r="E26" s="21">
        <v>12</v>
      </c>
      <c r="F26" s="21" t="s">
        <v>31</v>
      </c>
      <c r="G26" s="21" t="s">
        <v>894</v>
      </c>
      <c r="H26" s="21" t="s">
        <v>886</v>
      </c>
    </row>
    <row r="27" spans="1:8" x14ac:dyDescent="0.25">
      <c r="A27" s="23">
        <v>451500</v>
      </c>
      <c r="B27" s="23" t="s">
        <v>918</v>
      </c>
      <c r="C27" s="23">
        <v>11800000</v>
      </c>
      <c r="D27" s="23" t="s">
        <v>77</v>
      </c>
      <c r="E27" s="23">
        <v>12</v>
      </c>
      <c r="F27" s="23" t="s">
        <v>31</v>
      </c>
      <c r="G27" s="23" t="s">
        <v>894</v>
      </c>
      <c r="H27" s="23" t="s">
        <v>892</v>
      </c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C69D-911A-44C3-9A8A-2F6F01BB463A}">
  <sheetPr>
    <tabColor rgb="FF1E8449"/>
  </sheetPr>
  <dimension ref="A1:H30"/>
  <sheetViews>
    <sheetView showGridLines="0" workbookViewId="0">
      <selection sqref="A1:H1"/>
    </sheetView>
  </sheetViews>
  <sheetFormatPr baseColWidth="10" defaultRowHeight="15" x14ac:dyDescent="0.25"/>
  <cols>
    <col min="1" max="1" width="16" customWidth="1"/>
    <col min="2" max="2" width="64" customWidth="1"/>
    <col min="3" max="3" width="24" customWidth="1"/>
    <col min="4" max="4" width="10.7109375" customWidth="1"/>
    <col min="5" max="5" width="9.28515625" customWidth="1"/>
    <col min="6" max="6" width="21.28515625" customWidth="1"/>
    <col min="7" max="7" width="18.7109375" customWidth="1"/>
    <col min="8" max="8" width="26.7109375" customWidth="1"/>
  </cols>
  <sheetData>
    <row r="1" spans="1:8" ht="15.75" x14ac:dyDescent="0.25">
      <c r="A1" s="552" t="s">
        <v>919</v>
      </c>
      <c r="B1" s="552"/>
      <c r="C1" s="552"/>
      <c r="D1" s="552"/>
      <c r="E1" s="552"/>
      <c r="F1" s="552"/>
      <c r="G1" s="552"/>
      <c r="H1" s="552"/>
    </row>
    <row r="2" spans="1:8" x14ac:dyDescent="0.25">
      <c r="A2" s="14" t="s">
        <v>863</v>
      </c>
      <c r="B2" s="14" t="s">
        <v>864</v>
      </c>
      <c r="C2" s="14" t="s">
        <v>865</v>
      </c>
      <c r="D2" s="14" t="s">
        <v>72</v>
      </c>
      <c r="E2" s="14" t="s">
        <v>866</v>
      </c>
      <c r="F2" s="14" t="s">
        <v>70</v>
      </c>
      <c r="G2" s="14" t="s">
        <v>867</v>
      </c>
      <c r="H2" s="14" t="s">
        <v>868</v>
      </c>
    </row>
    <row r="3" spans="1:8" x14ac:dyDescent="0.25">
      <c r="A3" s="23">
        <v>701000</v>
      </c>
      <c r="B3" s="23" t="s">
        <v>920</v>
      </c>
      <c r="C3" s="23">
        <v>36500000</v>
      </c>
      <c r="D3" s="23" t="s">
        <v>82</v>
      </c>
      <c r="E3" s="23">
        <v>6</v>
      </c>
      <c r="F3" s="23" t="s">
        <v>33</v>
      </c>
      <c r="G3" s="23" t="s">
        <v>870</v>
      </c>
      <c r="H3" s="23" t="s">
        <v>273</v>
      </c>
    </row>
    <row r="4" spans="1:8" x14ac:dyDescent="0.25">
      <c r="A4" s="21">
        <v>701000</v>
      </c>
      <c r="B4" s="21" t="s">
        <v>920</v>
      </c>
      <c r="C4" s="21">
        <v>44200000</v>
      </c>
      <c r="D4" s="21" t="s">
        <v>82</v>
      </c>
      <c r="E4" s="21">
        <v>12</v>
      </c>
      <c r="F4" s="21" t="s">
        <v>33</v>
      </c>
      <c r="G4" s="21" t="s">
        <v>870</v>
      </c>
      <c r="H4" s="21" t="s">
        <v>273</v>
      </c>
    </row>
    <row r="5" spans="1:8" x14ac:dyDescent="0.25">
      <c r="A5" s="23">
        <v>706000</v>
      </c>
      <c r="B5" s="23" t="s">
        <v>921</v>
      </c>
      <c r="C5" s="23">
        <v>18500000</v>
      </c>
      <c r="D5" s="23" t="s">
        <v>82</v>
      </c>
      <c r="E5" s="23">
        <v>6</v>
      </c>
      <c r="F5" s="23" t="s">
        <v>33</v>
      </c>
      <c r="G5" s="23" t="s">
        <v>870</v>
      </c>
      <c r="H5" s="23" t="s">
        <v>273</v>
      </c>
    </row>
    <row r="6" spans="1:8" x14ac:dyDescent="0.25">
      <c r="A6" s="21">
        <v>706000</v>
      </c>
      <c r="B6" s="21" t="s">
        <v>921</v>
      </c>
      <c r="C6" s="21">
        <v>22800000</v>
      </c>
      <c r="D6" s="21" t="s">
        <v>82</v>
      </c>
      <c r="E6" s="21">
        <v>12</v>
      </c>
      <c r="F6" s="21" t="s">
        <v>33</v>
      </c>
      <c r="G6" s="21" t="s">
        <v>870</v>
      </c>
      <c r="H6" s="21" t="s">
        <v>273</v>
      </c>
    </row>
    <row r="7" spans="1:8" x14ac:dyDescent="0.25">
      <c r="A7" s="23">
        <v>708500</v>
      </c>
      <c r="B7" s="23" t="s">
        <v>922</v>
      </c>
      <c r="C7" s="23">
        <v>5200000</v>
      </c>
      <c r="D7" s="23" t="s">
        <v>82</v>
      </c>
      <c r="E7" s="23">
        <v>6</v>
      </c>
      <c r="F7" s="23" t="s">
        <v>33</v>
      </c>
      <c r="G7" s="23" t="s">
        <v>870</v>
      </c>
      <c r="H7" s="23" t="s">
        <v>873</v>
      </c>
    </row>
    <row r="8" spans="1:8" x14ac:dyDescent="0.25">
      <c r="A8" s="21">
        <v>708500</v>
      </c>
      <c r="B8" s="21" t="s">
        <v>922</v>
      </c>
      <c r="C8" s="21">
        <v>5800000</v>
      </c>
      <c r="D8" s="21" t="s">
        <v>82</v>
      </c>
      <c r="E8" s="21">
        <v>12</v>
      </c>
      <c r="F8" s="21" t="s">
        <v>33</v>
      </c>
      <c r="G8" s="21" t="s">
        <v>870</v>
      </c>
      <c r="H8" s="21" t="s">
        <v>873</v>
      </c>
    </row>
    <row r="9" spans="1:8" x14ac:dyDescent="0.25">
      <c r="A9" s="23">
        <v>601000</v>
      </c>
      <c r="B9" s="23" t="s">
        <v>923</v>
      </c>
      <c r="C9" s="23">
        <v>-24200000</v>
      </c>
      <c r="D9" s="23" t="s">
        <v>82</v>
      </c>
      <c r="E9" s="23">
        <v>6</v>
      </c>
      <c r="F9" s="23" t="s">
        <v>33</v>
      </c>
      <c r="G9" s="23" t="s">
        <v>875</v>
      </c>
      <c r="H9" s="23" t="s">
        <v>273</v>
      </c>
    </row>
    <row r="10" spans="1:8" x14ac:dyDescent="0.25">
      <c r="A10" s="21">
        <v>601000</v>
      </c>
      <c r="B10" s="21" t="s">
        <v>923</v>
      </c>
      <c r="C10" s="21">
        <v>-28400000</v>
      </c>
      <c r="D10" s="21" t="s">
        <v>82</v>
      </c>
      <c r="E10" s="21">
        <v>12</v>
      </c>
      <c r="F10" s="21" t="s">
        <v>33</v>
      </c>
      <c r="G10" s="21" t="s">
        <v>875</v>
      </c>
      <c r="H10" s="21" t="s">
        <v>273</v>
      </c>
    </row>
    <row r="11" spans="1:8" x14ac:dyDescent="0.25">
      <c r="A11" s="23">
        <v>621000</v>
      </c>
      <c r="B11" s="23" t="s">
        <v>924</v>
      </c>
      <c r="C11" s="23">
        <v>-9800000</v>
      </c>
      <c r="D11" s="23" t="s">
        <v>82</v>
      </c>
      <c r="E11" s="23">
        <v>6</v>
      </c>
      <c r="F11" s="23" t="s">
        <v>33</v>
      </c>
      <c r="G11" s="23" t="s">
        <v>875</v>
      </c>
      <c r="H11" s="23" t="s">
        <v>273</v>
      </c>
    </row>
    <row r="12" spans="1:8" x14ac:dyDescent="0.25">
      <c r="A12" s="21">
        <v>621000</v>
      </c>
      <c r="B12" s="21" t="s">
        <v>924</v>
      </c>
      <c r="C12" s="21">
        <v>-11200000</v>
      </c>
      <c r="D12" s="21" t="s">
        <v>82</v>
      </c>
      <c r="E12" s="21">
        <v>12</v>
      </c>
      <c r="F12" s="21" t="s">
        <v>33</v>
      </c>
      <c r="G12" s="21" t="s">
        <v>875</v>
      </c>
      <c r="H12" s="21" t="s">
        <v>273</v>
      </c>
    </row>
    <row r="13" spans="1:8" x14ac:dyDescent="0.25">
      <c r="A13" s="23">
        <v>631000</v>
      </c>
      <c r="B13" s="23" t="s">
        <v>925</v>
      </c>
      <c r="C13" s="23">
        <v>-18500000</v>
      </c>
      <c r="D13" s="23" t="s">
        <v>82</v>
      </c>
      <c r="E13" s="23">
        <v>6</v>
      </c>
      <c r="F13" s="23" t="s">
        <v>33</v>
      </c>
      <c r="G13" s="23" t="s">
        <v>875</v>
      </c>
      <c r="H13" s="23" t="s">
        <v>273</v>
      </c>
    </row>
    <row r="14" spans="1:8" x14ac:dyDescent="0.25">
      <c r="A14" s="21">
        <v>631000</v>
      </c>
      <c r="B14" s="21" t="s">
        <v>925</v>
      </c>
      <c r="C14" s="21">
        <v>-20800000</v>
      </c>
      <c r="D14" s="21" t="s">
        <v>82</v>
      </c>
      <c r="E14" s="21">
        <v>12</v>
      </c>
      <c r="F14" s="21" t="s">
        <v>33</v>
      </c>
      <c r="G14" s="21" t="s">
        <v>875</v>
      </c>
      <c r="H14" s="21" t="s">
        <v>273</v>
      </c>
    </row>
    <row r="15" spans="1:8" x14ac:dyDescent="0.25">
      <c r="A15" s="23">
        <v>681100</v>
      </c>
      <c r="B15" s="23" t="s">
        <v>926</v>
      </c>
      <c r="C15" s="23">
        <v>-4800000</v>
      </c>
      <c r="D15" s="23" t="s">
        <v>82</v>
      </c>
      <c r="E15" s="23">
        <v>6</v>
      </c>
      <c r="F15" s="23" t="s">
        <v>33</v>
      </c>
      <c r="G15" s="23" t="s">
        <v>875</v>
      </c>
      <c r="H15" s="23" t="s">
        <v>273</v>
      </c>
    </row>
    <row r="16" spans="1:8" x14ac:dyDescent="0.25">
      <c r="A16" s="21">
        <v>681100</v>
      </c>
      <c r="B16" s="21" t="s">
        <v>926</v>
      </c>
      <c r="C16" s="21">
        <v>-5200000</v>
      </c>
      <c r="D16" s="21" t="s">
        <v>82</v>
      </c>
      <c r="E16" s="21">
        <v>12</v>
      </c>
      <c r="F16" s="21" t="s">
        <v>33</v>
      </c>
      <c r="G16" s="21" t="s">
        <v>875</v>
      </c>
      <c r="H16" s="21" t="s">
        <v>273</v>
      </c>
    </row>
    <row r="17" spans="1:8" x14ac:dyDescent="0.25">
      <c r="A17" s="23">
        <v>762000</v>
      </c>
      <c r="B17" s="23" t="s">
        <v>927</v>
      </c>
      <c r="C17" s="23">
        <v>600000</v>
      </c>
      <c r="D17" s="23" t="s">
        <v>82</v>
      </c>
      <c r="E17" s="23">
        <v>9</v>
      </c>
      <c r="F17" s="23" t="s">
        <v>33</v>
      </c>
      <c r="G17" s="23" t="s">
        <v>870</v>
      </c>
      <c r="H17" s="23" t="s">
        <v>286</v>
      </c>
    </row>
    <row r="18" spans="1:8" x14ac:dyDescent="0.25">
      <c r="A18" s="21">
        <v>764000</v>
      </c>
      <c r="B18" s="21" t="s">
        <v>928</v>
      </c>
      <c r="C18" s="21">
        <v>380000</v>
      </c>
      <c r="D18" s="21" t="s">
        <v>82</v>
      </c>
      <c r="E18" s="21">
        <v>12</v>
      </c>
      <c r="F18" s="21" t="s">
        <v>33</v>
      </c>
      <c r="G18" s="21" t="s">
        <v>870</v>
      </c>
      <c r="H18" s="21" t="s">
        <v>286</v>
      </c>
    </row>
    <row r="19" spans="1:8" x14ac:dyDescent="0.25">
      <c r="A19" s="23">
        <v>661100</v>
      </c>
      <c r="B19" s="23" t="s">
        <v>929</v>
      </c>
      <c r="C19" s="23">
        <v>-5200000</v>
      </c>
      <c r="D19" s="23" t="s">
        <v>82</v>
      </c>
      <c r="E19" s="23">
        <v>12</v>
      </c>
      <c r="F19" s="23" t="s">
        <v>33</v>
      </c>
      <c r="G19" s="23" t="s">
        <v>875</v>
      </c>
      <c r="H19" s="23" t="s">
        <v>293</v>
      </c>
    </row>
    <row r="20" spans="1:8" x14ac:dyDescent="0.25">
      <c r="A20" s="21">
        <v>661200</v>
      </c>
      <c r="B20" s="21" t="s">
        <v>930</v>
      </c>
      <c r="C20" s="21">
        <v>-1200000</v>
      </c>
      <c r="D20" s="21" t="s">
        <v>82</v>
      </c>
      <c r="E20" s="21">
        <v>12</v>
      </c>
      <c r="F20" s="21" t="s">
        <v>33</v>
      </c>
      <c r="G20" s="21" t="s">
        <v>875</v>
      </c>
      <c r="H20" s="21" t="s">
        <v>293</v>
      </c>
    </row>
    <row r="21" spans="1:8" x14ac:dyDescent="0.25">
      <c r="A21" s="23">
        <v>695000</v>
      </c>
      <c r="B21" s="23" t="s">
        <v>931</v>
      </c>
      <c r="C21" s="23">
        <v>-9800000</v>
      </c>
      <c r="D21" s="23" t="s">
        <v>82</v>
      </c>
      <c r="E21" s="23">
        <v>12</v>
      </c>
      <c r="F21" s="23" t="s">
        <v>33</v>
      </c>
      <c r="G21" s="23" t="s">
        <v>875</v>
      </c>
      <c r="H21" s="23" t="s">
        <v>299</v>
      </c>
    </row>
    <row r="22" spans="1:8" x14ac:dyDescent="0.25">
      <c r="A22" s="21">
        <v>211000</v>
      </c>
      <c r="B22" s="21" t="s">
        <v>932</v>
      </c>
      <c r="C22" s="21">
        <v>45000000</v>
      </c>
      <c r="D22" s="21" t="s">
        <v>82</v>
      </c>
      <c r="E22" s="21">
        <v>12</v>
      </c>
      <c r="F22" s="21" t="s">
        <v>33</v>
      </c>
      <c r="G22" s="21" t="s">
        <v>418</v>
      </c>
      <c r="H22" s="21" t="s">
        <v>886</v>
      </c>
    </row>
    <row r="23" spans="1:8" x14ac:dyDescent="0.25">
      <c r="A23" s="23">
        <v>215000</v>
      </c>
      <c r="B23" s="23" t="s">
        <v>933</v>
      </c>
      <c r="C23" s="23">
        <v>68000000</v>
      </c>
      <c r="D23" s="23" t="s">
        <v>82</v>
      </c>
      <c r="E23" s="23">
        <v>12</v>
      </c>
      <c r="F23" s="23" t="s">
        <v>33</v>
      </c>
      <c r="G23" s="23" t="s">
        <v>418</v>
      </c>
      <c r="H23" s="23" t="s">
        <v>886</v>
      </c>
    </row>
    <row r="24" spans="1:8" x14ac:dyDescent="0.25">
      <c r="A24" s="21">
        <v>311000</v>
      </c>
      <c r="B24" s="21" t="s">
        <v>934</v>
      </c>
      <c r="C24" s="21">
        <v>18000000</v>
      </c>
      <c r="D24" s="21" t="s">
        <v>82</v>
      </c>
      <c r="E24" s="21">
        <v>12</v>
      </c>
      <c r="F24" s="21" t="s">
        <v>33</v>
      </c>
      <c r="G24" s="21" t="s">
        <v>418</v>
      </c>
      <c r="H24" s="21" t="s">
        <v>886</v>
      </c>
    </row>
    <row r="25" spans="1:8" x14ac:dyDescent="0.25">
      <c r="A25" s="23">
        <v>411000</v>
      </c>
      <c r="B25" s="23" t="s">
        <v>935</v>
      </c>
      <c r="C25" s="23">
        <v>52000000</v>
      </c>
      <c r="D25" s="23" t="s">
        <v>82</v>
      </c>
      <c r="E25" s="23">
        <v>12</v>
      </c>
      <c r="F25" s="23" t="s">
        <v>33</v>
      </c>
      <c r="G25" s="23" t="s">
        <v>418</v>
      </c>
      <c r="H25" s="23" t="s">
        <v>886</v>
      </c>
    </row>
    <row r="26" spans="1:8" x14ac:dyDescent="0.25">
      <c r="A26" s="21">
        <v>451000</v>
      </c>
      <c r="B26" s="21" t="s">
        <v>936</v>
      </c>
      <c r="C26" s="21">
        <v>18000000</v>
      </c>
      <c r="D26" s="21" t="s">
        <v>82</v>
      </c>
      <c r="E26" s="21">
        <v>12</v>
      </c>
      <c r="F26" s="21" t="s">
        <v>33</v>
      </c>
      <c r="G26" s="21" t="s">
        <v>418</v>
      </c>
      <c r="H26" s="21" t="s">
        <v>892</v>
      </c>
    </row>
    <row r="27" spans="1:8" x14ac:dyDescent="0.25">
      <c r="A27" s="23">
        <v>512000</v>
      </c>
      <c r="B27" s="23" t="s">
        <v>937</v>
      </c>
      <c r="C27" s="23">
        <v>38000000</v>
      </c>
      <c r="D27" s="23" t="s">
        <v>82</v>
      </c>
      <c r="E27" s="23">
        <v>12</v>
      </c>
      <c r="F27" s="23" t="s">
        <v>33</v>
      </c>
      <c r="G27" s="23" t="s">
        <v>418</v>
      </c>
      <c r="H27" s="23" t="s">
        <v>886</v>
      </c>
    </row>
    <row r="28" spans="1:8" x14ac:dyDescent="0.25">
      <c r="A28" s="21">
        <v>164000</v>
      </c>
      <c r="B28" s="21" t="s">
        <v>938</v>
      </c>
      <c r="C28" s="21">
        <v>41000000</v>
      </c>
      <c r="D28" s="21" t="s">
        <v>82</v>
      </c>
      <c r="E28" s="21">
        <v>12</v>
      </c>
      <c r="F28" s="21" t="s">
        <v>33</v>
      </c>
      <c r="G28" s="21" t="s">
        <v>894</v>
      </c>
      <c r="H28" s="21" t="s">
        <v>886</v>
      </c>
    </row>
    <row r="29" spans="1:8" x14ac:dyDescent="0.25">
      <c r="A29" s="23">
        <v>401000</v>
      </c>
      <c r="B29" s="23" t="s">
        <v>939</v>
      </c>
      <c r="C29" s="23">
        <v>26000000</v>
      </c>
      <c r="D29" s="23" t="s">
        <v>82</v>
      </c>
      <c r="E29" s="23">
        <v>12</v>
      </c>
      <c r="F29" s="23" t="s">
        <v>33</v>
      </c>
      <c r="G29" s="23" t="s">
        <v>894</v>
      </c>
      <c r="H29" s="23" t="s">
        <v>886</v>
      </c>
    </row>
    <row r="30" spans="1:8" x14ac:dyDescent="0.25">
      <c r="A30" s="21">
        <v>451500</v>
      </c>
      <c r="B30" s="21" t="s">
        <v>940</v>
      </c>
      <c r="C30" s="21">
        <v>18200000</v>
      </c>
      <c r="D30" s="21" t="s">
        <v>82</v>
      </c>
      <c r="E30" s="21">
        <v>12</v>
      </c>
      <c r="F30" s="21" t="s">
        <v>33</v>
      </c>
      <c r="G30" s="21" t="s">
        <v>894</v>
      </c>
      <c r="H30" s="21" t="s">
        <v>892</v>
      </c>
    </row>
  </sheetData>
  <mergeCells count="1"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8CCF-51D7-4931-B0C6-DA248D75BAC4}">
  <sheetPr>
    <tabColor rgb="FF1E8449"/>
  </sheetPr>
  <dimension ref="A1:H28"/>
  <sheetViews>
    <sheetView showGridLines="0" workbookViewId="0">
      <selection sqref="A1:H1"/>
    </sheetView>
  </sheetViews>
  <sheetFormatPr baseColWidth="10" defaultRowHeight="15" x14ac:dyDescent="0.25"/>
  <cols>
    <col min="1" max="1" width="16" customWidth="1"/>
    <col min="2" max="2" width="64" customWidth="1"/>
    <col min="3" max="3" width="24" customWidth="1"/>
    <col min="4" max="4" width="10.7109375" customWidth="1"/>
    <col min="5" max="5" width="9.28515625" customWidth="1"/>
    <col min="6" max="6" width="21.28515625" customWidth="1"/>
    <col min="7" max="7" width="18.7109375" customWidth="1"/>
    <col min="8" max="8" width="26.7109375" customWidth="1"/>
  </cols>
  <sheetData>
    <row r="1" spans="1:8" ht="15.75" x14ac:dyDescent="0.25">
      <c r="A1" s="552" t="s">
        <v>941</v>
      </c>
      <c r="B1" s="552"/>
      <c r="C1" s="552"/>
      <c r="D1" s="552"/>
      <c r="E1" s="552"/>
      <c r="F1" s="552"/>
      <c r="G1" s="552"/>
      <c r="H1" s="552"/>
    </row>
    <row r="2" spans="1:8" x14ac:dyDescent="0.25">
      <c r="A2" s="14" t="s">
        <v>863</v>
      </c>
      <c r="B2" s="14" t="s">
        <v>864</v>
      </c>
      <c r="C2" s="14" t="s">
        <v>865</v>
      </c>
      <c r="D2" s="14" t="s">
        <v>72</v>
      </c>
      <c r="E2" s="14" t="s">
        <v>866</v>
      </c>
      <c r="F2" s="14" t="s">
        <v>70</v>
      </c>
      <c r="G2" s="14" t="s">
        <v>867</v>
      </c>
      <c r="H2" s="14" t="s">
        <v>868</v>
      </c>
    </row>
    <row r="3" spans="1:8" x14ac:dyDescent="0.25">
      <c r="A3" s="23">
        <v>701000</v>
      </c>
      <c r="B3" s="23" t="s">
        <v>942</v>
      </c>
      <c r="C3" s="23">
        <v>48500000</v>
      </c>
      <c r="D3" s="23" t="s">
        <v>84</v>
      </c>
      <c r="E3" s="23">
        <v>6</v>
      </c>
      <c r="F3" s="23" t="s">
        <v>35</v>
      </c>
      <c r="G3" s="23" t="s">
        <v>870</v>
      </c>
      <c r="H3" s="23" t="s">
        <v>273</v>
      </c>
    </row>
    <row r="4" spans="1:8" x14ac:dyDescent="0.25">
      <c r="A4" s="21">
        <v>701000</v>
      </c>
      <c r="B4" s="21" t="s">
        <v>942</v>
      </c>
      <c r="C4" s="21">
        <v>62800000</v>
      </c>
      <c r="D4" s="21" t="s">
        <v>84</v>
      </c>
      <c r="E4" s="21">
        <v>12</v>
      </c>
      <c r="F4" s="21" t="s">
        <v>35</v>
      </c>
      <c r="G4" s="21" t="s">
        <v>870</v>
      </c>
      <c r="H4" s="21" t="s">
        <v>273</v>
      </c>
    </row>
    <row r="5" spans="1:8" x14ac:dyDescent="0.25">
      <c r="A5" s="23">
        <v>706000</v>
      </c>
      <c r="B5" s="23" t="s">
        <v>943</v>
      </c>
      <c r="C5" s="23">
        <v>8500000</v>
      </c>
      <c r="D5" s="23" t="s">
        <v>84</v>
      </c>
      <c r="E5" s="23">
        <v>6</v>
      </c>
      <c r="F5" s="23" t="s">
        <v>35</v>
      </c>
      <c r="G5" s="23" t="s">
        <v>870</v>
      </c>
      <c r="H5" s="23" t="s">
        <v>273</v>
      </c>
    </row>
    <row r="6" spans="1:8" x14ac:dyDescent="0.25">
      <c r="A6" s="21">
        <v>706000</v>
      </c>
      <c r="B6" s="21" t="s">
        <v>943</v>
      </c>
      <c r="C6" s="21">
        <v>10200000</v>
      </c>
      <c r="D6" s="21" t="s">
        <v>84</v>
      </c>
      <c r="E6" s="21">
        <v>12</v>
      </c>
      <c r="F6" s="21" t="s">
        <v>35</v>
      </c>
      <c r="G6" s="21" t="s">
        <v>870</v>
      </c>
      <c r="H6" s="21" t="s">
        <v>273</v>
      </c>
    </row>
    <row r="7" spans="1:8" x14ac:dyDescent="0.25">
      <c r="A7" s="23">
        <v>708500</v>
      </c>
      <c r="B7" s="23" t="s">
        <v>944</v>
      </c>
      <c r="C7" s="23">
        <v>4200000</v>
      </c>
      <c r="D7" s="23" t="s">
        <v>84</v>
      </c>
      <c r="E7" s="23">
        <v>6</v>
      </c>
      <c r="F7" s="23" t="s">
        <v>35</v>
      </c>
      <c r="G7" s="23" t="s">
        <v>870</v>
      </c>
      <c r="H7" s="23" t="s">
        <v>873</v>
      </c>
    </row>
    <row r="8" spans="1:8" x14ac:dyDescent="0.25">
      <c r="A8" s="21">
        <v>708500</v>
      </c>
      <c r="B8" s="21" t="s">
        <v>944</v>
      </c>
      <c r="C8" s="21">
        <v>4800000</v>
      </c>
      <c r="D8" s="21" t="s">
        <v>84</v>
      </c>
      <c r="E8" s="21">
        <v>12</v>
      </c>
      <c r="F8" s="21" t="s">
        <v>35</v>
      </c>
      <c r="G8" s="21" t="s">
        <v>870</v>
      </c>
      <c r="H8" s="21" t="s">
        <v>873</v>
      </c>
    </row>
    <row r="9" spans="1:8" x14ac:dyDescent="0.25">
      <c r="A9" s="23">
        <v>601000</v>
      </c>
      <c r="B9" s="23" t="s">
        <v>923</v>
      </c>
      <c r="C9" s="23">
        <v>-52000000</v>
      </c>
      <c r="D9" s="23" t="s">
        <v>84</v>
      </c>
      <c r="E9" s="23">
        <v>6</v>
      </c>
      <c r="F9" s="23" t="s">
        <v>35</v>
      </c>
      <c r="G9" s="23" t="s">
        <v>875</v>
      </c>
      <c r="H9" s="23" t="s">
        <v>273</v>
      </c>
    </row>
    <row r="10" spans="1:8" x14ac:dyDescent="0.25">
      <c r="A10" s="21">
        <v>601000</v>
      </c>
      <c r="B10" s="21" t="s">
        <v>923</v>
      </c>
      <c r="C10" s="21">
        <v>-61000000</v>
      </c>
      <c r="D10" s="21" t="s">
        <v>84</v>
      </c>
      <c r="E10" s="21">
        <v>12</v>
      </c>
      <c r="F10" s="21" t="s">
        <v>35</v>
      </c>
      <c r="G10" s="21" t="s">
        <v>875</v>
      </c>
      <c r="H10" s="21" t="s">
        <v>273</v>
      </c>
    </row>
    <row r="11" spans="1:8" x14ac:dyDescent="0.25">
      <c r="A11" s="23">
        <v>631000</v>
      </c>
      <c r="B11" s="23" t="s">
        <v>945</v>
      </c>
      <c r="C11" s="23">
        <v>-24200000</v>
      </c>
      <c r="D11" s="23" t="s">
        <v>84</v>
      </c>
      <c r="E11" s="23">
        <v>6</v>
      </c>
      <c r="F11" s="23" t="s">
        <v>35</v>
      </c>
      <c r="G11" s="23" t="s">
        <v>875</v>
      </c>
      <c r="H11" s="23" t="s">
        <v>273</v>
      </c>
    </row>
    <row r="12" spans="1:8" x14ac:dyDescent="0.25">
      <c r="A12" s="21">
        <v>631000</v>
      </c>
      <c r="B12" s="21" t="s">
        <v>945</v>
      </c>
      <c r="C12" s="21">
        <v>-28500000</v>
      </c>
      <c r="D12" s="21" t="s">
        <v>84</v>
      </c>
      <c r="E12" s="21">
        <v>12</v>
      </c>
      <c r="F12" s="21" t="s">
        <v>35</v>
      </c>
      <c r="G12" s="21" t="s">
        <v>875</v>
      </c>
      <c r="H12" s="21" t="s">
        <v>273</v>
      </c>
    </row>
    <row r="13" spans="1:8" x14ac:dyDescent="0.25">
      <c r="A13" s="23">
        <v>681100</v>
      </c>
      <c r="B13" s="23" t="s">
        <v>946</v>
      </c>
      <c r="C13" s="23">
        <v>-6800000</v>
      </c>
      <c r="D13" s="23" t="s">
        <v>84</v>
      </c>
      <c r="E13" s="23">
        <v>6</v>
      </c>
      <c r="F13" s="23" t="s">
        <v>35</v>
      </c>
      <c r="G13" s="23" t="s">
        <v>875</v>
      </c>
      <c r="H13" s="23" t="s">
        <v>273</v>
      </c>
    </row>
    <row r="14" spans="1:8" x14ac:dyDescent="0.25">
      <c r="A14" s="21">
        <v>681100</v>
      </c>
      <c r="B14" s="21" t="s">
        <v>946</v>
      </c>
      <c r="C14" s="21">
        <v>-7400000</v>
      </c>
      <c r="D14" s="21" t="s">
        <v>84</v>
      </c>
      <c r="E14" s="21">
        <v>12</v>
      </c>
      <c r="F14" s="21" t="s">
        <v>35</v>
      </c>
      <c r="G14" s="21" t="s">
        <v>875</v>
      </c>
      <c r="H14" s="21" t="s">
        <v>273</v>
      </c>
    </row>
    <row r="15" spans="1:8" x14ac:dyDescent="0.25">
      <c r="A15" s="23">
        <v>762000</v>
      </c>
      <c r="B15" s="23" t="s">
        <v>947</v>
      </c>
      <c r="C15" s="23">
        <v>1200000</v>
      </c>
      <c r="D15" s="23" t="s">
        <v>84</v>
      </c>
      <c r="E15" s="23">
        <v>9</v>
      </c>
      <c r="F15" s="23" t="s">
        <v>35</v>
      </c>
      <c r="G15" s="23" t="s">
        <v>870</v>
      </c>
      <c r="H15" s="23" t="s">
        <v>286</v>
      </c>
    </row>
    <row r="16" spans="1:8" x14ac:dyDescent="0.25">
      <c r="A16" s="21">
        <v>764000</v>
      </c>
      <c r="B16" s="21" t="s">
        <v>948</v>
      </c>
      <c r="C16" s="21">
        <v>520000</v>
      </c>
      <c r="D16" s="21" t="s">
        <v>84</v>
      </c>
      <c r="E16" s="21">
        <v>12</v>
      </c>
      <c r="F16" s="21" t="s">
        <v>35</v>
      </c>
      <c r="G16" s="21" t="s">
        <v>870</v>
      </c>
      <c r="H16" s="21" t="s">
        <v>286</v>
      </c>
    </row>
    <row r="17" spans="1:8" x14ac:dyDescent="0.25">
      <c r="A17" s="23">
        <v>661100</v>
      </c>
      <c r="B17" s="23" t="s">
        <v>949</v>
      </c>
      <c r="C17" s="23">
        <v>-7800000</v>
      </c>
      <c r="D17" s="23" t="s">
        <v>84</v>
      </c>
      <c r="E17" s="23">
        <v>12</v>
      </c>
      <c r="F17" s="23" t="s">
        <v>35</v>
      </c>
      <c r="G17" s="23" t="s">
        <v>875</v>
      </c>
      <c r="H17" s="23" t="s">
        <v>293</v>
      </c>
    </row>
    <row r="18" spans="1:8" x14ac:dyDescent="0.25">
      <c r="A18" s="21">
        <v>661200</v>
      </c>
      <c r="B18" s="21" t="s">
        <v>950</v>
      </c>
      <c r="C18" s="21">
        <v>-1600000</v>
      </c>
      <c r="D18" s="21" t="s">
        <v>84</v>
      </c>
      <c r="E18" s="21">
        <v>12</v>
      </c>
      <c r="F18" s="21" t="s">
        <v>35</v>
      </c>
      <c r="G18" s="21" t="s">
        <v>875</v>
      </c>
      <c r="H18" s="21" t="s">
        <v>293</v>
      </c>
    </row>
    <row r="19" spans="1:8" x14ac:dyDescent="0.25">
      <c r="A19" s="23">
        <v>695000</v>
      </c>
      <c r="B19" s="23" t="s">
        <v>951</v>
      </c>
      <c r="C19" s="23">
        <v>-7200000</v>
      </c>
      <c r="D19" s="23" t="s">
        <v>84</v>
      </c>
      <c r="E19" s="23">
        <v>12</v>
      </c>
      <c r="F19" s="23" t="s">
        <v>35</v>
      </c>
      <c r="G19" s="23" t="s">
        <v>875</v>
      </c>
      <c r="H19" s="23" t="s">
        <v>299</v>
      </c>
    </row>
    <row r="20" spans="1:8" x14ac:dyDescent="0.25">
      <c r="A20" s="21">
        <v>211000</v>
      </c>
      <c r="B20" s="21" t="s">
        <v>952</v>
      </c>
      <c r="C20" s="21">
        <v>24000000</v>
      </c>
      <c r="D20" s="21" t="s">
        <v>84</v>
      </c>
      <c r="E20" s="21">
        <v>12</v>
      </c>
      <c r="F20" s="21" t="s">
        <v>35</v>
      </c>
      <c r="G20" s="21" t="s">
        <v>418</v>
      </c>
      <c r="H20" s="21" t="s">
        <v>886</v>
      </c>
    </row>
    <row r="21" spans="1:8" x14ac:dyDescent="0.25">
      <c r="A21" s="23">
        <v>215000</v>
      </c>
      <c r="B21" s="23" t="s">
        <v>953</v>
      </c>
      <c r="C21" s="23">
        <v>110000000</v>
      </c>
      <c r="D21" s="23" t="s">
        <v>84</v>
      </c>
      <c r="E21" s="23">
        <v>12</v>
      </c>
      <c r="F21" s="23" t="s">
        <v>35</v>
      </c>
      <c r="G21" s="23" t="s">
        <v>418</v>
      </c>
      <c r="H21" s="23" t="s">
        <v>886</v>
      </c>
    </row>
    <row r="22" spans="1:8" x14ac:dyDescent="0.25">
      <c r="A22" s="21">
        <v>311000</v>
      </c>
      <c r="B22" s="21" t="s">
        <v>954</v>
      </c>
      <c r="C22" s="21">
        <v>71000000</v>
      </c>
      <c r="D22" s="21" t="s">
        <v>84</v>
      </c>
      <c r="E22" s="21">
        <v>12</v>
      </c>
      <c r="F22" s="21" t="s">
        <v>35</v>
      </c>
      <c r="G22" s="21" t="s">
        <v>418</v>
      </c>
      <c r="H22" s="21" t="s">
        <v>886</v>
      </c>
    </row>
    <row r="23" spans="1:8" x14ac:dyDescent="0.25">
      <c r="A23" s="23">
        <v>411000</v>
      </c>
      <c r="B23" s="23" t="s">
        <v>955</v>
      </c>
      <c r="C23" s="23">
        <v>44000000</v>
      </c>
      <c r="D23" s="23" t="s">
        <v>84</v>
      </c>
      <c r="E23" s="23">
        <v>12</v>
      </c>
      <c r="F23" s="23" t="s">
        <v>35</v>
      </c>
      <c r="G23" s="23" t="s">
        <v>418</v>
      </c>
      <c r="H23" s="23" t="s">
        <v>886</v>
      </c>
    </row>
    <row r="24" spans="1:8" x14ac:dyDescent="0.25">
      <c r="A24" s="21">
        <v>451000</v>
      </c>
      <c r="B24" s="21" t="s">
        <v>956</v>
      </c>
      <c r="C24" s="21">
        <v>8500000</v>
      </c>
      <c r="D24" s="21" t="s">
        <v>84</v>
      </c>
      <c r="E24" s="21">
        <v>12</v>
      </c>
      <c r="F24" s="21" t="s">
        <v>35</v>
      </c>
      <c r="G24" s="21" t="s">
        <v>418</v>
      </c>
      <c r="H24" s="21" t="s">
        <v>892</v>
      </c>
    </row>
    <row r="25" spans="1:8" x14ac:dyDescent="0.25">
      <c r="A25" s="23">
        <v>512000</v>
      </c>
      <c r="B25" s="23" t="s">
        <v>957</v>
      </c>
      <c r="C25" s="23">
        <v>31000000</v>
      </c>
      <c r="D25" s="23" t="s">
        <v>84</v>
      </c>
      <c r="E25" s="23">
        <v>12</v>
      </c>
      <c r="F25" s="23" t="s">
        <v>35</v>
      </c>
      <c r="G25" s="23" t="s">
        <v>418</v>
      </c>
      <c r="H25" s="23" t="s">
        <v>886</v>
      </c>
    </row>
    <row r="26" spans="1:8" x14ac:dyDescent="0.25">
      <c r="A26" s="21">
        <v>164000</v>
      </c>
      <c r="B26" s="21" t="s">
        <v>958</v>
      </c>
      <c r="C26" s="21">
        <v>64000000</v>
      </c>
      <c r="D26" s="21" t="s">
        <v>84</v>
      </c>
      <c r="E26" s="21">
        <v>12</v>
      </c>
      <c r="F26" s="21" t="s">
        <v>35</v>
      </c>
      <c r="G26" s="21" t="s">
        <v>894</v>
      </c>
      <c r="H26" s="21" t="s">
        <v>886</v>
      </c>
    </row>
    <row r="27" spans="1:8" x14ac:dyDescent="0.25">
      <c r="A27" s="23">
        <v>401000</v>
      </c>
      <c r="B27" s="23" t="s">
        <v>959</v>
      </c>
      <c r="C27" s="23">
        <v>31000000</v>
      </c>
      <c r="D27" s="23" t="s">
        <v>84</v>
      </c>
      <c r="E27" s="23">
        <v>12</v>
      </c>
      <c r="F27" s="23" t="s">
        <v>35</v>
      </c>
      <c r="G27" s="23" t="s">
        <v>894</v>
      </c>
      <c r="H27" s="23" t="s">
        <v>886</v>
      </c>
    </row>
    <row r="28" spans="1:8" x14ac:dyDescent="0.25">
      <c r="A28" s="21">
        <v>451500</v>
      </c>
      <c r="B28" s="21" t="s">
        <v>960</v>
      </c>
      <c r="C28" s="21">
        <v>7500000</v>
      </c>
      <c r="D28" s="21" t="s">
        <v>84</v>
      </c>
      <c r="E28" s="21">
        <v>12</v>
      </c>
      <c r="F28" s="21" t="s">
        <v>35</v>
      </c>
      <c r="G28" s="21" t="s">
        <v>894</v>
      </c>
      <c r="H28" s="21" t="s">
        <v>892</v>
      </c>
    </row>
  </sheetData>
  <mergeCells count="1"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BAF5-FACD-4F07-8341-92E96EC17078}">
  <sheetPr>
    <tabColor rgb="FF1E8449"/>
  </sheetPr>
  <dimension ref="A1:H29"/>
  <sheetViews>
    <sheetView showGridLines="0" workbookViewId="0">
      <selection sqref="A1:H1"/>
    </sheetView>
  </sheetViews>
  <sheetFormatPr baseColWidth="10" defaultRowHeight="15" x14ac:dyDescent="0.25"/>
  <cols>
    <col min="1" max="1" width="16" customWidth="1"/>
    <col min="2" max="2" width="64" customWidth="1"/>
    <col min="3" max="3" width="24" customWidth="1"/>
    <col min="4" max="4" width="10.7109375" customWidth="1"/>
    <col min="5" max="5" width="9.28515625" customWidth="1"/>
    <col min="6" max="6" width="21.28515625" customWidth="1"/>
    <col min="7" max="7" width="18.7109375" customWidth="1"/>
    <col min="8" max="8" width="26.7109375" customWidth="1"/>
  </cols>
  <sheetData>
    <row r="1" spans="1:8" ht="15.75" x14ac:dyDescent="0.25">
      <c r="A1" s="552" t="s">
        <v>961</v>
      </c>
      <c r="B1" s="552"/>
      <c r="C1" s="552"/>
      <c r="D1" s="552"/>
      <c r="E1" s="552"/>
      <c r="F1" s="552"/>
      <c r="G1" s="552"/>
      <c r="H1" s="552"/>
    </row>
    <row r="2" spans="1:8" x14ac:dyDescent="0.25">
      <c r="A2" s="14" t="s">
        <v>863</v>
      </c>
      <c r="B2" s="14" t="s">
        <v>864</v>
      </c>
      <c r="C2" s="14" t="s">
        <v>865</v>
      </c>
      <c r="D2" s="14" t="s">
        <v>72</v>
      </c>
      <c r="E2" s="14" t="s">
        <v>866</v>
      </c>
      <c r="F2" s="14" t="s">
        <v>70</v>
      </c>
      <c r="G2" s="14" t="s">
        <v>867</v>
      </c>
      <c r="H2" s="14" t="s">
        <v>868</v>
      </c>
    </row>
    <row r="3" spans="1:8" x14ac:dyDescent="0.25">
      <c r="A3" s="23">
        <v>701000</v>
      </c>
      <c r="B3" s="23" t="s">
        <v>962</v>
      </c>
      <c r="C3" s="23">
        <v>22500000</v>
      </c>
      <c r="D3" s="23" t="s">
        <v>86</v>
      </c>
      <c r="E3" s="23">
        <v>6</v>
      </c>
      <c r="F3" s="23" t="s">
        <v>37</v>
      </c>
      <c r="G3" s="23" t="s">
        <v>870</v>
      </c>
      <c r="H3" s="23" t="s">
        <v>273</v>
      </c>
    </row>
    <row r="4" spans="1:8" x14ac:dyDescent="0.25">
      <c r="A4" s="21">
        <v>701000</v>
      </c>
      <c r="B4" s="21" t="s">
        <v>962</v>
      </c>
      <c r="C4" s="21">
        <v>28800000</v>
      </c>
      <c r="D4" s="21" t="s">
        <v>86</v>
      </c>
      <c r="E4" s="21">
        <v>12</v>
      </c>
      <c r="F4" s="21" t="s">
        <v>37</v>
      </c>
      <c r="G4" s="21" t="s">
        <v>870</v>
      </c>
      <c r="H4" s="21" t="s">
        <v>273</v>
      </c>
    </row>
    <row r="5" spans="1:8" x14ac:dyDescent="0.25">
      <c r="A5" s="23">
        <v>706000</v>
      </c>
      <c r="B5" s="23" t="s">
        <v>963</v>
      </c>
      <c r="C5" s="23">
        <v>9200000</v>
      </c>
      <c r="D5" s="23" t="s">
        <v>86</v>
      </c>
      <c r="E5" s="23">
        <v>6</v>
      </c>
      <c r="F5" s="23" t="s">
        <v>37</v>
      </c>
      <c r="G5" s="23" t="s">
        <v>870</v>
      </c>
      <c r="H5" s="23" t="s">
        <v>273</v>
      </c>
    </row>
    <row r="6" spans="1:8" x14ac:dyDescent="0.25">
      <c r="A6" s="21">
        <v>706000</v>
      </c>
      <c r="B6" s="21" t="s">
        <v>963</v>
      </c>
      <c r="C6" s="21">
        <v>11500000</v>
      </c>
      <c r="D6" s="21" t="s">
        <v>86</v>
      </c>
      <c r="E6" s="21">
        <v>12</v>
      </c>
      <c r="F6" s="21" t="s">
        <v>37</v>
      </c>
      <c r="G6" s="21" t="s">
        <v>870</v>
      </c>
      <c r="H6" s="21" t="s">
        <v>273</v>
      </c>
    </row>
    <row r="7" spans="1:8" x14ac:dyDescent="0.25">
      <c r="A7" s="23">
        <v>708500</v>
      </c>
      <c r="B7" s="23" t="s">
        <v>964</v>
      </c>
      <c r="C7" s="23">
        <v>3800000</v>
      </c>
      <c r="D7" s="23" t="s">
        <v>86</v>
      </c>
      <c r="E7" s="23">
        <v>6</v>
      </c>
      <c r="F7" s="23" t="s">
        <v>37</v>
      </c>
      <c r="G7" s="23" t="s">
        <v>870</v>
      </c>
      <c r="H7" s="23" t="s">
        <v>873</v>
      </c>
    </row>
    <row r="8" spans="1:8" x14ac:dyDescent="0.25">
      <c r="A8" s="21">
        <v>708500</v>
      </c>
      <c r="B8" s="21" t="s">
        <v>964</v>
      </c>
      <c r="C8" s="21">
        <v>4200000</v>
      </c>
      <c r="D8" s="21" t="s">
        <v>86</v>
      </c>
      <c r="E8" s="21">
        <v>12</v>
      </c>
      <c r="F8" s="21" t="s">
        <v>37</v>
      </c>
      <c r="G8" s="21" t="s">
        <v>870</v>
      </c>
      <c r="H8" s="21" t="s">
        <v>873</v>
      </c>
    </row>
    <row r="9" spans="1:8" x14ac:dyDescent="0.25">
      <c r="A9" s="23">
        <v>601000</v>
      </c>
      <c r="B9" s="23" t="s">
        <v>965</v>
      </c>
      <c r="C9" s="23">
        <v>-12800000</v>
      </c>
      <c r="D9" s="23" t="s">
        <v>86</v>
      </c>
      <c r="E9" s="23">
        <v>6</v>
      </c>
      <c r="F9" s="23" t="s">
        <v>37</v>
      </c>
      <c r="G9" s="23" t="s">
        <v>875</v>
      </c>
      <c r="H9" s="23" t="s">
        <v>273</v>
      </c>
    </row>
    <row r="10" spans="1:8" x14ac:dyDescent="0.25">
      <c r="A10" s="21">
        <v>601000</v>
      </c>
      <c r="B10" s="21" t="s">
        <v>965</v>
      </c>
      <c r="C10" s="21">
        <v>-15200000</v>
      </c>
      <c r="D10" s="21" t="s">
        <v>86</v>
      </c>
      <c r="E10" s="21">
        <v>12</v>
      </c>
      <c r="F10" s="21" t="s">
        <v>37</v>
      </c>
      <c r="G10" s="21" t="s">
        <v>875</v>
      </c>
      <c r="H10" s="21" t="s">
        <v>273</v>
      </c>
    </row>
    <row r="11" spans="1:8" x14ac:dyDescent="0.25">
      <c r="A11" s="23">
        <v>621000</v>
      </c>
      <c r="B11" s="23" t="s">
        <v>966</v>
      </c>
      <c r="C11" s="23">
        <v>-5200000</v>
      </c>
      <c r="D11" s="23" t="s">
        <v>86</v>
      </c>
      <c r="E11" s="23">
        <v>6</v>
      </c>
      <c r="F11" s="23" t="s">
        <v>37</v>
      </c>
      <c r="G11" s="23" t="s">
        <v>875</v>
      </c>
      <c r="H11" s="23" t="s">
        <v>273</v>
      </c>
    </row>
    <row r="12" spans="1:8" x14ac:dyDescent="0.25">
      <c r="A12" s="21">
        <v>621000</v>
      </c>
      <c r="B12" s="21" t="s">
        <v>966</v>
      </c>
      <c r="C12" s="21">
        <v>-6100000</v>
      </c>
      <c r="D12" s="21" t="s">
        <v>86</v>
      </c>
      <c r="E12" s="21">
        <v>12</v>
      </c>
      <c r="F12" s="21" t="s">
        <v>37</v>
      </c>
      <c r="G12" s="21" t="s">
        <v>875</v>
      </c>
      <c r="H12" s="21" t="s">
        <v>273</v>
      </c>
    </row>
    <row r="13" spans="1:8" x14ac:dyDescent="0.25">
      <c r="A13" s="23">
        <v>631000</v>
      </c>
      <c r="B13" s="23" t="s">
        <v>967</v>
      </c>
      <c r="C13" s="23">
        <v>-8900000</v>
      </c>
      <c r="D13" s="23" t="s">
        <v>86</v>
      </c>
      <c r="E13" s="23">
        <v>6</v>
      </c>
      <c r="F13" s="23" t="s">
        <v>37</v>
      </c>
      <c r="G13" s="23" t="s">
        <v>875</v>
      </c>
      <c r="H13" s="23" t="s">
        <v>273</v>
      </c>
    </row>
    <row r="14" spans="1:8" x14ac:dyDescent="0.25">
      <c r="A14" s="21">
        <v>631000</v>
      </c>
      <c r="B14" s="21" t="s">
        <v>967</v>
      </c>
      <c r="C14" s="21">
        <v>-10200000</v>
      </c>
      <c r="D14" s="21" t="s">
        <v>86</v>
      </c>
      <c r="E14" s="21">
        <v>12</v>
      </c>
      <c r="F14" s="21" t="s">
        <v>37</v>
      </c>
      <c r="G14" s="21" t="s">
        <v>875</v>
      </c>
      <c r="H14" s="21" t="s">
        <v>273</v>
      </c>
    </row>
    <row r="15" spans="1:8" x14ac:dyDescent="0.25">
      <c r="A15" s="23">
        <v>681100</v>
      </c>
      <c r="B15" s="23" t="s">
        <v>926</v>
      </c>
      <c r="C15" s="23">
        <v>-3100000</v>
      </c>
      <c r="D15" s="23" t="s">
        <v>86</v>
      </c>
      <c r="E15" s="23">
        <v>6</v>
      </c>
      <c r="F15" s="23" t="s">
        <v>37</v>
      </c>
      <c r="G15" s="23" t="s">
        <v>875</v>
      </c>
      <c r="H15" s="23" t="s">
        <v>273</v>
      </c>
    </row>
    <row r="16" spans="1:8" x14ac:dyDescent="0.25">
      <c r="A16" s="21">
        <v>681100</v>
      </c>
      <c r="B16" s="21" t="s">
        <v>926</v>
      </c>
      <c r="C16" s="21">
        <v>-3400000</v>
      </c>
      <c r="D16" s="21" t="s">
        <v>86</v>
      </c>
      <c r="E16" s="21">
        <v>12</v>
      </c>
      <c r="F16" s="21" t="s">
        <v>37</v>
      </c>
      <c r="G16" s="21" t="s">
        <v>875</v>
      </c>
      <c r="H16" s="21" t="s">
        <v>273</v>
      </c>
    </row>
    <row r="17" spans="1:8" x14ac:dyDescent="0.25">
      <c r="A17" s="23">
        <v>764000</v>
      </c>
      <c r="B17" s="23" t="s">
        <v>968</v>
      </c>
      <c r="C17" s="23">
        <v>280000</v>
      </c>
      <c r="D17" s="23" t="s">
        <v>86</v>
      </c>
      <c r="E17" s="23">
        <v>12</v>
      </c>
      <c r="F17" s="23" t="s">
        <v>37</v>
      </c>
      <c r="G17" s="23" t="s">
        <v>870</v>
      </c>
      <c r="H17" s="23" t="s">
        <v>286</v>
      </c>
    </row>
    <row r="18" spans="1:8" x14ac:dyDescent="0.25">
      <c r="A18" s="21">
        <v>661100</v>
      </c>
      <c r="B18" s="21" t="s">
        <v>929</v>
      </c>
      <c r="C18" s="21">
        <v>-2800000</v>
      </c>
      <c r="D18" s="21" t="s">
        <v>86</v>
      </c>
      <c r="E18" s="21">
        <v>12</v>
      </c>
      <c r="F18" s="21" t="s">
        <v>37</v>
      </c>
      <c r="G18" s="21" t="s">
        <v>875</v>
      </c>
      <c r="H18" s="21" t="s">
        <v>293</v>
      </c>
    </row>
    <row r="19" spans="1:8" x14ac:dyDescent="0.25">
      <c r="A19" s="23">
        <v>661200</v>
      </c>
      <c r="B19" s="23" t="s">
        <v>969</v>
      </c>
      <c r="C19" s="23">
        <v>-500000</v>
      </c>
      <c r="D19" s="23" t="s">
        <v>86</v>
      </c>
      <c r="E19" s="23">
        <v>12</v>
      </c>
      <c r="F19" s="23" t="s">
        <v>37</v>
      </c>
      <c r="G19" s="23" t="s">
        <v>875</v>
      </c>
      <c r="H19" s="23" t="s">
        <v>293</v>
      </c>
    </row>
    <row r="20" spans="1:8" x14ac:dyDescent="0.25">
      <c r="A20" s="21">
        <v>695000</v>
      </c>
      <c r="B20" s="21" t="s">
        <v>970</v>
      </c>
      <c r="C20" s="21">
        <v>-3200000</v>
      </c>
      <c r="D20" s="21" t="s">
        <v>86</v>
      </c>
      <c r="E20" s="21">
        <v>12</v>
      </c>
      <c r="F20" s="21" t="s">
        <v>37</v>
      </c>
      <c r="G20" s="21" t="s">
        <v>875</v>
      </c>
      <c r="H20" s="21" t="s">
        <v>299</v>
      </c>
    </row>
    <row r="21" spans="1:8" x14ac:dyDescent="0.25">
      <c r="A21" s="23">
        <v>211000</v>
      </c>
      <c r="B21" s="23" t="s">
        <v>971</v>
      </c>
      <c r="C21" s="23">
        <v>28000000</v>
      </c>
      <c r="D21" s="23" t="s">
        <v>86</v>
      </c>
      <c r="E21" s="23">
        <v>12</v>
      </c>
      <c r="F21" s="23" t="s">
        <v>37</v>
      </c>
      <c r="G21" s="23" t="s">
        <v>418</v>
      </c>
      <c r="H21" s="23" t="s">
        <v>886</v>
      </c>
    </row>
    <row r="22" spans="1:8" x14ac:dyDescent="0.25">
      <c r="A22" s="21">
        <v>215000</v>
      </c>
      <c r="B22" s="21" t="s">
        <v>972</v>
      </c>
      <c r="C22" s="21">
        <v>42000000</v>
      </c>
      <c r="D22" s="21" t="s">
        <v>86</v>
      </c>
      <c r="E22" s="21">
        <v>12</v>
      </c>
      <c r="F22" s="21" t="s">
        <v>37</v>
      </c>
      <c r="G22" s="21" t="s">
        <v>418</v>
      </c>
      <c r="H22" s="21" t="s">
        <v>886</v>
      </c>
    </row>
    <row r="23" spans="1:8" x14ac:dyDescent="0.25">
      <c r="A23" s="23">
        <v>311000</v>
      </c>
      <c r="B23" s="23" t="s">
        <v>954</v>
      </c>
      <c r="C23" s="23">
        <v>5000000</v>
      </c>
      <c r="D23" s="23" t="s">
        <v>86</v>
      </c>
      <c r="E23" s="23">
        <v>12</v>
      </c>
      <c r="F23" s="23" t="s">
        <v>37</v>
      </c>
      <c r="G23" s="23" t="s">
        <v>418</v>
      </c>
      <c r="H23" s="23" t="s">
        <v>886</v>
      </c>
    </row>
    <row r="24" spans="1:8" x14ac:dyDescent="0.25">
      <c r="A24" s="21">
        <v>411000</v>
      </c>
      <c r="B24" s="21" t="s">
        <v>973</v>
      </c>
      <c r="C24" s="21">
        <v>21000000</v>
      </c>
      <c r="D24" s="21" t="s">
        <v>86</v>
      </c>
      <c r="E24" s="21">
        <v>12</v>
      </c>
      <c r="F24" s="21" t="s">
        <v>37</v>
      </c>
      <c r="G24" s="21" t="s">
        <v>418</v>
      </c>
      <c r="H24" s="21" t="s">
        <v>886</v>
      </c>
    </row>
    <row r="25" spans="1:8" x14ac:dyDescent="0.25">
      <c r="A25" s="23">
        <v>451000</v>
      </c>
      <c r="B25" s="23" t="s">
        <v>936</v>
      </c>
      <c r="C25" s="23">
        <v>9200000</v>
      </c>
      <c r="D25" s="23" t="s">
        <v>86</v>
      </c>
      <c r="E25" s="23">
        <v>12</v>
      </c>
      <c r="F25" s="23" t="s">
        <v>37</v>
      </c>
      <c r="G25" s="23" t="s">
        <v>418</v>
      </c>
      <c r="H25" s="23" t="s">
        <v>892</v>
      </c>
    </row>
    <row r="26" spans="1:8" x14ac:dyDescent="0.25">
      <c r="A26" s="21">
        <v>512000</v>
      </c>
      <c r="B26" s="21" t="s">
        <v>974</v>
      </c>
      <c r="C26" s="21">
        <v>28000000</v>
      </c>
      <c r="D26" s="21" t="s">
        <v>86</v>
      </c>
      <c r="E26" s="21">
        <v>12</v>
      </c>
      <c r="F26" s="21" t="s">
        <v>37</v>
      </c>
      <c r="G26" s="21" t="s">
        <v>418</v>
      </c>
      <c r="H26" s="21" t="s">
        <v>886</v>
      </c>
    </row>
    <row r="27" spans="1:8" x14ac:dyDescent="0.25">
      <c r="A27" s="23">
        <v>164000</v>
      </c>
      <c r="B27" s="23" t="s">
        <v>975</v>
      </c>
      <c r="C27" s="23">
        <v>24000000</v>
      </c>
      <c r="D27" s="23" t="s">
        <v>86</v>
      </c>
      <c r="E27" s="23">
        <v>12</v>
      </c>
      <c r="F27" s="23" t="s">
        <v>37</v>
      </c>
      <c r="G27" s="23" t="s">
        <v>894</v>
      </c>
      <c r="H27" s="23" t="s">
        <v>886</v>
      </c>
    </row>
    <row r="28" spans="1:8" x14ac:dyDescent="0.25">
      <c r="A28" s="21">
        <v>401000</v>
      </c>
      <c r="B28" s="21" t="s">
        <v>976</v>
      </c>
      <c r="C28" s="21">
        <v>9500000</v>
      </c>
      <c r="D28" s="21" t="s">
        <v>86</v>
      </c>
      <c r="E28" s="21">
        <v>12</v>
      </c>
      <c r="F28" s="21" t="s">
        <v>37</v>
      </c>
      <c r="G28" s="21" t="s">
        <v>894</v>
      </c>
      <c r="H28" s="21" t="s">
        <v>886</v>
      </c>
    </row>
    <row r="29" spans="1:8" x14ac:dyDescent="0.25">
      <c r="A29" s="23">
        <v>451500</v>
      </c>
      <c r="B29" s="23" t="s">
        <v>940</v>
      </c>
      <c r="C29" s="23">
        <v>5100000</v>
      </c>
      <c r="D29" s="23" t="s">
        <v>86</v>
      </c>
      <c r="E29" s="23">
        <v>12</v>
      </c>
      <c r="F29" s="23" t="s">
        <v>37</v>
      </c>
      <c r="G29" s="23" t="s">
        <v>894</v>
      </c>
      <c r="H29" s="23" t="s">
        <v>892</v>
      </c>
    </row>
  </sheetData>
  <mergeCells count="1"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5B0A-A489-4122-A57F-665769917905}">
  <sheetPr>
    <tabColor rgb="FF8E44AD"/>
  </sheetPr>
  <dimension ref="A1:L120"/>
  <sheetViews>
    <sheetView workbookViewId="0">
      <selection sqref="A1:K1"/>
    </sheetView>
  </sheetViews>
  <sheetFormatPr baseColWidth="10" defaultRowHeight="15" x14ac:dyDescent="0.25"/>
  <cols>
    <col min="1" max="1" width="16" customWidth="1"/>
    <col min="2" max="2" width="69.28515625" customWidth="1"/>
    <col min="3" max="3" width="8" customWidth="1"/>
    <col min="4" max="4" width="24" customWidth="1"/>
    <col min="5" max="5" width="42.7109375" customWidth="1"/>
    <col min="6" max="6" width="37.28515625" customWidth="1"/>
    <col min="7" max="8" width="16" customWidth="1"/>
    <col min="9" max="9" width="13.28515625" customWidth="1"/>
    <col min="10" max="10" width="29.28515625" customWidth="1"/>
    <col min="11" max="11" width="64" customWidth="1"/>
  </cols>
  <sheetData>
    <row r="1" spans="1:12" ht="17.25" x14ac:dyDescent="0.3">
      <c r="A1" s="554" t="s">
        <v>977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80"/>
    </row>
    <row r="2" spans="1:12" x14ac:dyDescent="0.25">
      <c r="A2" s="555" t="s">
        <v>978</v>
      </c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80"/>
    </row>
    <row r="3" spans="1:12" x14ac:dyDescent="0.25">
      <c r="A3" s="14" t="s">
        <v>979</v>
      </c>
      <c r="B3" s="14" t="s">
        <v>980</v>
      </c>
      <c r="C3" s="14" t="s">
        <v>369</v>
      </c>
      <c r="D3" s="14" t="s">
        <v>868</v>
      </c>
      <c r="E3" s="14" t="s">
        <v>981</v>
      </c>
      <c r="F3" s="14" t="s">
        <v>982</v>
      </c>
      <c r="G3" s="14" t="s">
        <v>983</v>
      </c>
      <c r="H3" s="14" t="s">
        <v>984</v>
      </c>
      <c r="I3" s="14" t="s">
        <v>985</v>
      </c>
      <c r="J3" s="14" t="s">
        <v>986</v>
      </c>
      <c r="K3" s="14" t="s">
        <v>846</v>
      </c>
      <c r="L3" s="80"/>
    </row>
    <row r="4" spans="1:12" x14ac:dyDescent="0.25">
      <c r="A4" s="82">
        <v>701000</v>
      </c>
      <c r="B4" s="82" t="s">
        <v>987</v>
      </c>
      <c r="C4" s="82" t="s">
        <v>988</v>
      </c>
      <c r="D4" s="82" t="s">
        <v>273</v>
      </c>
      <c r="E4" s="82" t="s">
        <v>328</v>
      </c>
      <c r="F4" s="82" t="s">
        <v>989</v>
      </c>
      <c r="G4" s="82" t="s">
        <v>990</v>
      </c>
      <c r="H4" s="82" t="s">
        <v>991</v>
      </c>
      <c r="I4" s="82" t="s">
        <v>991</v>
      </c>
      <c r="J4" s="82" t="s">
        <v>274</v>
      </c>
      <c r="K4" s="82" t="s">
        <v>992</v>
      </c>
      <c r="L4" s="80"/>
    </row>
    <row r="5" spans="1:12" x14ac:dyDescent="0.25">
      <c r="A5" s="82">
        <v>706000</v>
      </c>
      <c r="B5" s="82" t="s">
        <v>993</v>
      </c>
      <c r="C5" s="82" t="s">
        <v>988</v>
      </c>
      <c r="D5" s="82" t="s">
        <v>273</v>
      </c>
      <c r="E5" s="82" t="s">
        <v>328</v>
      </c>
      <c r="F5" s="82" t="s">
        <v>994</v>
      </c>
      <c r="G5" s="82" t="s">
        <v>990</v>
      </c>
      <c r="H5" s="82" t="s">
        <v>991</v>
      </c>
      <c r="I5" s="82" t="s">
        <v>991</v>
      </c>
      <c r="J5" s="82" t="s">
        <v>274</v>
      </c>
      <c r="K5" s="82" t="s">
        <v>992</v>
      </c>
      <c r="L5" s="80"/>
    </row>
    <row r="6" spans="1:12" x14ac:dyDescent="0.25">
      <c r="A6" s="82">
        <v>707000</v>
      </c>
      <c r="B6" s="82" t="s">
        <v>995</v>
      </c>
      <c r="C6" s="82" t="s">
        <v>988</v>
      </c>
      <c r="D6" s="82" t="s">
        <v>273</v>
      </c>
      <c r="E6" s="82" t="s">
        <v>328</v>
      </c>
      <c r="F6" s="82" t="s">
        <v>996</v>
      </c>
      <c r="G6" s="82" t="s">
        <v>990</v>
      </c>
      <c r="H6" s="82" t="s">
        <v>991</v>
      </c>
      <c r="I6" s="82" t="s">
        <v>991</v>
      </c>
      <c r="J6" s="82" t="s">
        <v>274</v>
      </c>
      <c r="K6" s="82" t="s">
        <v>997</v>
      </c>
      <c r="L6" s="80"/>
    </row>
    <row r="7" spans="1:12" x14ac:dyDescent="0.25">
      <c r="A7" s="82">
        <v>708000</v>
      </c>
      <c r="B7" s="82" t="s">
        <v>998</v>
      </c>
      <c r="C7" s="82" t="s">
        <v>988</v>
      </c>
      <c r="D7" s="82" t="s">
        <v>273</v>
      </c>
      <c r="E7" s="82" t="s">
        <v>276</v>
      </c>
      <c r="F7" s="82" t="s">
        <v>999</v>
      </c>
      <c r="G7" s="82" t="s">
        <v>990</v>
      </c>
      <c r="H7" s="82" t="s">
        <v>991</v>
      </c>
      <c r="I7" s="82" t="s">
        <v>991</v>
      </c>
      <c r="J7" s="82" t="s">
        <v>274</v>
      </c>
      <c r="K7" s="82" t="s">
        <v>1000</v>
      </c>
      <c r="L7" s="80"/>
    </row>
    <row r="8" spans="1:12" x14ac:dyDescent="0.25">
      <c r="A8" s="26">
        <v>708500</v>
      </c>
      <c r="B8" s="26" t="s">
        <v>1001</v>
      </c>
      <c r="C8" s="26" t="s">
        <v>988</v>
      </c>
      <c r="D8" s="26" t="s">
        <v>873</v>
      </c>
      <c r="E8" s="26" t="s">
        <v>1002</v>
      </c>
      <c r="F8" s="26" t="s">
        <v>1003</v>
      </c>
      <c r="G8" s="26" t="s">
        <v>990</v>
      </c>
      <c r="H8" s="26" t="s">
        <v>991</v>
      </c>
      <c r="I8" s="85" t="s">
        <v>1004</v>
      </c>
      <c r="J8" s="26" t="s">
        <v>244</v>
      </c>
      <c r="K8" s="26" t="s">
        <v>1005</v>
      </c>
      <c r="L8" s="80"/>
    </row>
    <row r="9" spans="1:12" x14ac:dyDescent="0.25">
      <c r="A9" s="82">
        <v>713000</v>
      </c>
      <c r="B9" s="82" t="s">
        <v>1006</v>
      </c>
      <c r="C9" s="82" t="s">
        <v>988</v>
      </c>
      <c r="D9" s="82" t="s">
        <v>273</v>
      </c>
      <c r="E9" s="82" t="s">
        <v>474</v>
      </c>
      <c r="F9" s="82" t="s">
        <v>1007</v>
      </c>
      <c r="G9" s="82" t="s">
        <v>990</v>
      </c>
      <c r="H9" s="82" t="s">
        <v>991</v>
      </c>
      <c r="I9" s="82" t="s">
        <v>991</v>
      </c>
      <c r="J9" s="82" t="s">
        <v>216</v>
      </c>
      <c r="K9" s="82" t="s">
        <v>1008</v>
      </c>
      <c r="L9" s="80"/>
    </row>
    <row r="10" spans="1:12" x14ac:dyDescent="0.25">
      <c r="A10" s="82">
        <v>740000</v>
      </c>
      <c r="B10" s="82" t="s">
        <v>1009</v>
      </c>
      <c r="C10" s="82" t="s">
        <v>988</v>
      </c>
      <c r="D10" s="82" t="s">
        <v>273</v>
      </c>
      <c r="E10" s="82" t="s">
        <v>276</v>
      </c>
      <c r="F10" s="82" t="s">
        <v>1010</v>
      </c>
      <c r="G10" s="82" t="s">
        <v>990</v>
      </c>
      <c r="H10" s="82" t="s">
        <v>991</v>
      </c>
      <c r="I10" s="82" t="s">
        <v>991</v>
      </c>
      <c r="J10" s="82" t="s">
        <v>1011</v>
      </c>
      <c r="K10" s="82" t="s">
        <v>1012</v>
      </c>
      <c r="L10" s="80"/>
    </row>
    <row r="11" spans="1:12" x14ac:dyDescent="0.25">
      <c r="A11" s="82">
        <v>750000</v>
      </c>
      <c r="B11" s="82" t="s">
        <v>1013</v>
      </c>
      <c r="C11" s="82" t="s">
        <v>988</v>
      </c>
      <c r="D11" s="82" t="s">
        <v>273</v>
      </c>
      <c r="E11" s="82" t="s">
        <v>276</v>
      </c>
      <c r="F11" s="82" t="s">
        <v>1014</v>
      </c>
      <c r="G11" s="82" t="s">
        <v>990</v>
      </c>
      <c r="H11" s="82" t="s">
        <v>991</v>
      </c>
      <c r="I11" s="82" t="s">
        <v>991</v>
      </c>
      <c r="J11" s="82" t="s">
        <v>274</v>
      </c>
      <c r="K11" s="82" t="s">
        <v>1015</v>
      </c>
      <c r="L11" s="80"/>
    </row>
    <row r="12" spans="1:12" x14ac:dyDescent="0.25">
      <c r="A12" s="82">
        <v>601000</v>
      </c>
      <c r="B12" s="82" t="s">
        <v>1016</v>
      </c>
      <c r="C12" s="82" t="s">
        <v>1017</v>
      </c>
      <c r="D12" s="82" t="s">
        <v>273</v>
      </c>
      <c r="E12" s="82" t="s">
        <v>1018</v>
      </c>
      <c r="F12" s="82" t="s">
        <v>1019</v>
      </c>
      <c r="G12" s="82" t="s">
        <v>1020</v>
      </c>
      <c r="H12" s="82" t="s">
        <v>991</v>
      </c>
      <c r="I12" s="82" t="s">
        <v>991</v>
      </c>
      <c r="J12" s="82" t="s">
        <v>216</v>
      </c>
      <c r="K12" s="82" t="s">
        <v>1021</v>
      </c>
      <c r="L12" s="80"/>
    </row>
    <row r="13" spans="1:12" x14ac:dyDescent="0.25">
      <c r="A13" s="82">
        <v>602000</v>
      </c>
      <c r="B13" s="82" t="s">
        <v>1022</v>
      </c>
      <c r="C13" s="82" t="s">
        <v>1017</v>
      </c>
      <c r="D13" s="82" t="s">
        <v>273</v>
      </c>
      <c r="E13" s="82" t="s">
        <v>1018</v>
      </c>
      <c r="F13" s="82" t="s">
        <v>1023</v>
      </c>
      <c r="G13" s="82" t="s">
        <v>1020</v>
      </c>
      <c r="H13" s="82" t="s">
        <v>991</v>
      </c>
      <c r="I13" s="82" t="s">
        <v>991</v>
      </c>
      <c r="J13" s="82" t="s">
        <v>216</v>
      </c>
      <c r="K13" s="82" t="s">
        <v>1024</v>
      </c>
      <c r="L13" s="80"/>
    </row>
    <row r="14" spans="1:12" x14ac:dyDescent="0.25">
      <c r="A14" s="82">
        <v>611000</v>
      </c>
      <c r="B14" s="82" t="s">
        <v>1025</v>
      </c>
      <c r="C14" s="82" t="s">
        <v>1017</v>
      </c>
      <c r="D14" s="82" t="s">
        <v>273</v>
      </c>
      <c r="E14" s="82" t="s">
        <v>1018</v>
      </c>
      <c r="F14" s="82" t="s">
        <v>1026</v>
      </c>
      <c r="G14" s="82" t="s">
        <v>1020</v>
      </c>
      <c r="H14" s="82" t="s">
        <v>991</v>
      </c>
      <c r="I14" s="82" t="s">
        <v>991</v>
      </c>
      <c r="J14" s="82" t="s">
        <v>1027</v>
      </c>
      <c r="K14" s="82" t="s">
        <v>1028</v>
      </c>
      <c r="L14" s="80"/>
    </row>
    <row r="15" spans="1:12" x14ac:dyDescent="0.25">
      <c r="A15" s="82">
        <v>621000</v>
      </c>
      <c r="B15" s="82" t="s">
        <v>1029</v>
      </c>
      <c r="C15" s="82" t="s">
        <v>1017</v>
      </c>
      <c r="D15" s="82" t="s">
        <v>273</v>
      </c>
      <c r="E15" s="82" t="s">
        <v>1018</v>
      </c>
      <c r="F15" s="82" t="s">
        <v>1030</v>
      </c>
      <c r="G15" s="82" t="s">
        <v>1020</v>
      </c>
      <c r="H15" s="82" t="s">
        <v>991</v>
      </c>
      <c r="I15" s="82" t="s">
        <v>991</v>
      </c>
      <c r="J15" s="82"/>
      <c r="K15" s="82" t="s">
        <v>1031</v>
      </c>
      <c r="L15" s="80"/>
    </row>
    <row r="16" spans="1:12" x14ac:dyDescent="0.25">
      <c r="A16" s="82">
        <v>622000</v>
      </c>
      <c r="B16" s="82" t="s">
        <v>1032</v>
      </c>
      <c r="C16" s="82" t="s">
        <v>1017</v>
      </c>
      <c r="D16" s="82" t="s">
        <v>273</v>
      </c>
      <c r="E16" s="82" t="s">
        <v>1018</v>
      </c>
      <c r="F16" s="82" t="s">
        <v>1033</v>
      </c>
      <c r="G16" s="82" t="s">
        <v>1020</v>
      </c>
      <c r="H16" s="82" t="s">
        <v>991</v>
      </c>
      <c r="I16" s="82" t="s">
        <v>991</v>
      </c>
      <c r="J16" s="82"/>
      <c r="K16" s="82" t="s">
        <v>1034</v>
      </c>
      <c r="L16" s="80"/>
    </row>
    <row r="17" spans="1:12" x14ac:dyDescent="0.25">
      <c r="A17" s="82">
        <v>625000</v>
      </c>
      <c r="B17" s="82" t="s">
        <v>1035</v>
      </c>
      <c r="C17" s="82" t="s">
        <v>1017</v>
      </c>
      <c r="D17" s="82" t="s">
        <v>273</v>
      </c>
      <c r="E17" s="82" t="s">
        <v>1018</v>
      </c>
      <c r="F17" s="82" t="s">
        <v>1036</v>
      </c>
      <c r="G17" s="82" t="s">
        <v>1020</v>
      </c>
      <c r="H17" s="82" t="s">
        <v>991</v>
      </c>
      <c r="I17" s="82" t="s">
        <v>991</v>
      </c>
      <c r="J17" s="82"/>
      <c r="K17" s="82" t="s">
        <v>1037</v>
      </c>
      <c r="L17" s="80"/>
    </row>
    <row r="18" spans="1:12" x14ac:dyDescent="0.25">
      <c r="A18" s="82">
        <v>626000</v>
      </c>
      <c r="B18" s="82" t="s">
        <v>1038</v>
      </c>
      <c r="C18" s="82" t="s">
        <v>1017</v>
      </c>
      <c r="D18" s="82" t="s">
        <v>273</v>
      </c>
      <c r="E18" s="82" t="s">
        <v>1018</v>
      </c>
      <c r="F18" s="82" t="s">
        <v>1036</v>
      </c>
      <c r="G18" s="82" t="s">
        <v>1020</v>
      </c>
      <c r="H18" s="82" t="s">
        <v>991</v>
      </c>
      <c r="I18" s="82" t="s">
        <v>991</v>
      </c>
      <c r="J18" s="82"/>
      <c r="K18" s="82" t="s">
        <v>1039</v>
      </c>
      <c r="L18" s="80"/>
    </row>
    <row r="19" spans="1:12" x14ac:dyDescent="0.25">
      <c r="A19" s="82">
        <v>627000</v>
      </c>
      <c r="B19" s="82" t="s">
        <v>1040</v>
      </c>
      <c r="C19" s="82" t="s">
        <v>1017</v>
      </c>
      <c r="D19" s="82" t="s">
        <v>273</v>
      </c>
      <c r="E19" s="82" t="s">
        <v>1018</v>
      </c>
      <c r="F19" s="82" t="s">
        <v>1041</v>
      </c>
      <c r="G19" s="82" t="s">
        <v>1020</v>
      </c>
      <c r="H19" s="82" t="s">
        <v>991</v>
      </c>
      <c r="I19" s="82" t="s">
        <v>991</v>
      </c>
      <c r="J19" s="82"/>
      <c r="K19" s="82" t="s">
        <v>1042</v>
      </c>
      <c r="L19" s="80"/>
    </row>
    <row r="20" spans="1:12" x14ac:dyDescent="0.25">
      <c r="A20" s="82">
        <v>631000</v>
      </c>
      <c r="B20" s="82" t="s">
        <v>1043</v>
      </c>
      <c r="C20" s="82" t="s">
        <v>1017</v>
      </c>
      <c r="D20" s="82" t="s">
        <v>273</v>
      </c>
      <c r="E20" s="82" t="s">
        <v>278</v>
      </c>
      <c r="F20" s="82" t="s">
        <v>1044</v>
      </c>
      <c r="G20" s="82" t="s">
        <v>1020</v>
      </c>
      <c r="H20" s="82" t="s">
        <v>991</v>
      </c>
      <c r="I20" s="82" t="s">
        <v>991</v>
      </c>
      <c r="J20" s="82" t="s">
        <v>242</v>
      </c>
      <c r="K20" s="82" t="s">
        <v>1045</v>
      </c>
      <c r="L20" s="80"/>
    </row>
    <row r="21" spans="1:12" x14ac:dyDescent="0.25">
      <c r="A21" s="82">
        <v>641100</v>
      </c>
      <c r="B21" s="82" t="s">
        <v>877</v>
      </c>
      <c r="C21" s="82" t="s">
        <v>1017</v>
      </c>
      <c r="D21" s="82" t="s">
        <v>273</v>
      </c>
      <c r="E21" s="82" t="s">
        <v>278</v>
      </c>
      <c r="F21" s="82" t="s">
        <v>1046</v>
      </c>
      <c r="G21" s="82" t="s">
        <v>1020</v>
      </c>
      <c r="H21" s="82" t="s">
        <v>991</v>
      </c>
      <c r="I21" s="82" t="s">
        <v>991</v>
      </c>
      <c r="J21" s="82" t="s">
        <v>242</v>
      </c>
      <c r="K21" s="82" t="s">
        <v>1047</v>
      </c>
      <c r="L21" s="80"/>
    </row>
    <row r="22" spans="1:12" x14ac:dyDescent="0.25">
      <c r="A22" s="82">
        <v>645000</v>
      </c>
      <c r="B22" s="82" t="s">
        <v>1048</v>
      </c>
      <c r="C22" s="82" t="s">
        <v>1017</v>
      </c>
      <c r="D22" s="82" t="s">
        <v>273</v>
      </c>
      <c r="E22" s="82" t="s">
        <v>278</v>
      </c>
      <c r="F22" s="82" t="s">
        <v>1049</v>
      </c>
      <c r="G22" s="82" t="s">
        <v>1020</v>
      </c>
      <c r="H22" s="82" t="s">
        <v>991</v>
      </c>
      <c r="I22" s="82" t="s">
        <v>991</v>
      </c>
      <c r="J22" s="82" t="s">
        <v>242</v>
      </c>
      <c r="K22" s="82" t="s">
        <v>1050</v>
      </c>
      <c r="L22" s="80"/>
    </row>
    <row r="23" spans="1:12" x14ac:dyDescent="0.25">
      <c r="A23" s="82">
        <v>650000</v>
      </c>
      <c r="B23" s="82" t="s">
        <v>1051</v>
      </c>
      <c r="C23" s="82" t="s">
        <v>1017</v>
      </c>
      <c r="D23" s="82" t="s">
        <v>273</v>
      </c>
      <c r="E23" s="82" t="s">
        <v>1018</v>
      </c>
      <c r="F23" s="82" t="s">
        <v>1036</v>
      </c>
      <c r="G23" s="82" t="s">
        <v>1020</v>
      </c>
      <c r="H23" s="82" t="s">
        <v>991</v>
      </c>
      <c r="I23" s="82" t="s">
        <v>991</v>
      </c>
      <c r="J23" s="82"/>
      <c r="K23" s="82" t="s">
        <v>1052</v>
      </c>
      <c r="L23" s="80"/>
    </row>
    <row r="24" spans="1:12" x14ac:dyDescent="0.25">
      <c r="A24" s="82">
        <v>681100</v>
      </c>
      <c r="B24" s="82" t="s">
        <v>1053</v>
      </c>
      <c r="C24" s="82" t="s">
        <v>1017</v>
      </c>
      <c r="D24" s="82" t="s">
        <v>273</v>
      </c>
      <c r="E24" s="82" t="s">
        <v>509</v>
      </c>
      <c r="F24" s="82" t="s">
        <v>1054</v>
      </c>
      <c r="G24" s="82" t="s">
        <v>1020</v>
      </c>
      <c r="H24" s="82" t="s">
        <v>991</v>
      </c>
      <c r="I24" s="82" t="s">
        <v>991</v>
      </c>
      <c r="J24" s="82" t="s">
        <v>1027</v>
      </c>
      <c r="K24" s="82" t="s">
        <v>1055</v>
      </c>
      <c r="L24" s="80"/>
    </row>
    <row r="25" spans="1:12" x14ac:dyDescent="0.25">
      <c r="A25" s="82">
        <v>681200</v>
      </c>
      <c r="B25" s="82" t="s">
        <v>1056</v>
      </c>
      <c r="C25" s="82" t="s">
        <v>1017</v>
      </c>
      <c r="D25" s="82" t="s">
        <v>273</v>
      </c>
      <c r="E25" s="82" t="s">
        <v>509</v>
      </c>
      <c r="F25" s="82" t="s">
        <v>1057</v>
      </c>
      <c r="G25" s="82" t="s">
        <v>1020</v>
      </c>
      <c r="H25" s="82" t="s">
        <v>991</v>
      </c>
      <c r="I25" s="82" t="s">
        <v>991</v>
      </c>
      <c r="J25" s="82" t="s">
        <v>1058</v>
      </c>
      <c r="K25" s="82" t="s">
        <v>1059</v>
      </c>
      <c r="L25" s="80"/>
    </row>
    <row r="26" spans="1:12" x14ac:dyDescent="0.25">
      <c r="A26" s="82">
        <v>681400</v>
      </c>
      <c r="B26" s="82" t="s">
        <v>1060</v>
      </c>
      <c r="C26" s="82" t="s">
        <v>1017</v>
      </c>
      <c r="D26" s="82" t="s">
        <v>273</v>
      </c>
      <c r="E26" s="82" t="s">
        <v>509</v>
      </c>
      <c r="F26" s="82" t="s">
        <v>1061</v>
      </c>
      <c r="G26" s="82" t="s">
        <v>1020</v>
      </c>
      <c r="H26" s="82" t="s">
        <v>991</v>
      </c>
      <c r="I26" s="82" t="s">
        <v>991</v>
      </c>
      <c r="J26" s="82" t="s">
        <v>1062</v>
      </c>
      <c r="K26" s="82" t="s">
        <v>1063</v>
      </c>
      <c r="L26" s="80"/>
    </row>
    <row r="27" spans="1:12" x14ac:dyDescent="0.25">
      <c r="A27" s="82">
        <v>686200</v>
      </c>
      <c r="B27" s="82" t="s">
        <v>1064</v>
      </c>
      <c r="C27" s="82" t="s">
        <v>1017</v>
      </c>
      <c r="D27" s="82" t="s">
        <v>273</v>
      </c>
      <c r="E27" s="82" t="s">
        <v>509</v>
      </c>
      <c r="F27" s="82" t="s">
        <v>1065</v>
      </c>
      <c r="G27" s="82" t="s">
        <v>1020</v>
      </c>
      <c r="H27" s="82" t="s">
        <v>991</v>
      </c>
      <c r="I27" s="82" t="s">
        <v>991</v>
      </c>
      <c r="J27" s="82" t="s">
        <v>200</v>
      </c>
      <c r="K27" s="82" t="s">
        <v>1066</v>
      </c>
      <c r="L27" s="80"/>
    </row>
    <row r="28" spans="1:12" x14ac:dyDescent="0.25">
      <c r="A28" s="82">
        <v>687000</v>
      </c>
      <c r="B28" s="82" t="s">
        <v>1067</v>
      </c>
      <c r="C28" s="82" t="s">
        <v>1017</v>
      </c>
      <c r="D28" s="82" t="s">
        <v>273</v>
      </c>
      <c r="E28" s="82" t="s">
        <v>281</v>
      </c>
      <c r="F28" s="82" t="s">
        <v>1068</v>
      </c>
      <c r="G28" s="82" t="s">
        <v>1020</v>
      </c>
      <c r="H28" s="82" t="s">
        <v>991</v>
      </c>
      <c r="I28" s="82" t="s">
        <v>991</v>
      </c>
      <c r="J28" s="82" t="s">
        <v>252</v>
      </c>
      <c r="K28" s="82" t="s">
        <v>1069</v>
      </c>
      <c r="L28" s="80"/>
    </row>
    <row r="29" spans="1:12" x14ac:dyDescent="0.25">
      <c r="A29" s="26">
        <v>761000</v>
      </c>
      <c r="B29" s="26" t="s">
        <v>1070</v>
      </c>
      <c r="C29" s="26" t="s">
        <v>1071</v>
      </c>
      <c r="D29" s="26" t="s">
        <v>286</v>
      </c>
      <c r="E29" s="26" t="s">
        <v>1072</v>
      </c>
      <c r="F29" s="26" t="s">
        <v>1073</v>
      </c>
      <c r="G29" s="26" t="s">
        <v>990</v>
      </c>
      <c r="H29" s="26" t="s">
        <v>991</v>
      </c>
      <c r="I29" s="85" t="s">
        <v>1004</v>
      </c>
      <c r="J29" s="26" t="s">
        <v>287</v>
      </c>
      <c r="K29" s="26" t="s">
        <v>1074</v>
      </c>
      <c r="L29" s="80"/>
    </row>
    <row r="30" spans="1:12" x14ac:dyDescent="0.25">
      <c r="A30" s="52">
        <v>762000</v>
      </c>
      <c r="B30" s="52" t="s">
        <v>1075</v>
      </c>
      <c r="C30" s="52" t="s">
        <v>1071</v>
      </c>
      <c r="D30" s="52" t="s">
        <v>286</v>
      </c>
      <c r="E30" s="52" t="s">
        <v>1072</v>
      </c>
      <c r="F30" s="52" t="s">
        <v>1076</v>
      </c>
      <c r="G30" s="52" t="s">
        <v>990</v>
      </c>
      <c r="H30" s="52" t="s">
        <v>991</v>
      </c>
      <c r="I30" s="52" t="s">
        <v>991</v>
      </c>
      <c r="J30" s="52" t="s">
        <v>287</v>
      </c>
      <c r="K30" s="52" t="s">
        <v>1077</v>
      </c>
      <c r="L30" s="80"/>
    </row>
    <row r="31" spans="1:12" x14ac:dyDescent="0.25">
      <c r="A31" s="52">
        <v>764000</v>
      </c>
      <c r="B31" s="52" t="s">
        <v>1078</v>
      </c>
      <c r="C31" s="52" t="s">
        <v>1071</v>
      </c>
      <c r="D31" s="52" t="s">
        <v>286</v>
      </c>
      <c r="E31" s="52" t="s">
        <v>1072</v>
      </c>
      <c r="F31" s="52" t="s">
        <v>332</v>
      </c>
      <c r="G31" s="52" t="s">
        <v>990</v>
      </c>
      <c r="H31" s="52" t="s">
        <v>991</v>
      </c>
      <c r="I31" s="52" t="s">
        <v>991</v>
      </c>
      <c r="J31" s="52" t="s">
        <v>287</v>
      </c>
      <c r="K31" s="52" t="s">
        <v>1079</v>
      </c>
      <c r="L31" s="80"/>
    </row>
    <row r="32" spans="1:12" x14ac:dyDescent="0.25">
      <c r="A32" s="52">
        <v>667000</v>
      </c>
      <c r="B32" s="52" t="s">
        <v>1080</v>
      </c>
      <c r="C32" s="52" t="s">
        <v>1017</v>
      </c>
      <c r="D32" s="52" t="s">
        <v>286</v>
      </c>
      <c r="E32" s="52" t="s">
        <v>1072</v>
      </c>
      <c r="F32" s="52" t="s">
        <v>1081</v>
      </c>
      <c r="G32" s="52" t="s">
        <v>1020</v>
      </c>
      <c r="H32" s="52" t="s">
        <v>991</v>
      </c>
      <c r="I32" s="52" t="s">
        <v>991</v>
      </c>
      <c r="J32" s="52" t="s">
        <v>287</v>
      </c>
      <c r="K32" s="52" t="s">
        <v>1082</v>
      </c>
      <c r="L32" s="80"/>
    </row>
    <row r="33" spans="1:12" x14ac:dyDescent="0.25">
      <c r="A33" s="83">
        <v>661100</v>
      </c>
      <c r="B33" s="83" t="s">
        <v>1083</v>
      </c>
      <c r="C33" s="83" t="s">
        <v>1017</v>
      </c>
      <c r="D33" s="83" t="s">
        <v>293</v>
      </c>
      <c r="E33" s="83" t="s">
        <v>1084</v>
      </c>
      <c r="F33" s="83" t="s">
        <v>334</v>
      </c>
      <c r="G33" s="83" t="s">
        <v>1020</v>
      </c>
      <c r="H33" s="83" t="s">
        <v>991</v>
      </c>
      <c r="I33" s="83" t="s">
        <v>991</v>
      </c>
      <c r="J33" s="83" t="s">
        <v>294</v>
      </c>
      <c r="K33" s="83" t="s">
        <v>1085</v>
      </c>
      <c r="L33" s="80"/>
    </row>
    <row r="34" spans="1:12" x14ac:dyDescent="0.25">
      <c r="A34" s="83">
        <v>661200</v>
      </c>
      <c r="B34" s="83" t="s">
        <v>584</v>
      </c>
      <c r="C34" s="83" t="s">
        <v>1017</v>
      </c>
      <c r="D34" s="83" t="s">
        <v>293</v>
      </c>
      <c r="E34" s="83" t="s">
        <v>1084</v>
      </c>
      <c r="F34" s="83" t="s">
        <v>1086</v>
      </c>
      <c r="G34" s="83" t="s">
        <v>1020</v>
      </c>
      <c r="H34" s="83" t="s">
        <v>991</v>
      </c>
      <c r="I34" s="83" t="s">
        <v>991</v>
      </c>
      <c r="J34" s="83" t="s">
        <v>1087</v>
      </c>
      <c r="K34" s="83" t="s">
        <v>1088</v>
      </c>
      <c r="L34" s="80"/>
    </row>
    <row r="35" spans="1:12" x14ac:dyDescent="0.25">
      <c r="A35" s="83">
        <v>661300</v>
      </c>
      <c r="B35" s="83" t="s">
        <v>1089</v>
      </c>
      <c r="C35" s="83" t="s">
        <v>1017</v>
      </c>
      <c r="D35" s="83" t="s">
        <v>293</v>
      </c>
      <c r="E35" s="83" t="s">
        <v>1084</v>
      </c>
      <c r="F35" s="83" t="s">
        <v>334</v>
      </c>
      <c r="G35" s="83" t="s">
        <v>1020</v>
      </c>
      <c r="H35" s="83" t="s">
        <v>991</v>
      </c>
      <c r="I35" s="83" t="s">
        <v>991</v>
      </c>
      <c r="J35" s="83" t="s">
        <v>294</v>
      </c>
      <c r="K35" s="83" t="s">
        <v>1090</v>
      </c>
      <c r="L35" s="80"/>
    </row>
    <row r="36" spans="1:12" x14ac:dyDescent="0.25">
      <c r="A36" s="83">
        <v>668000</v>
      </c>
      <c r="B36" s="83" t="s">
        <v>1091</v>
      </c>
      <c r="C36" s="83" t="s">
        <v>1017</v>
      </c>
      <c r="D36" s="83" t="s">
        <v>293</v>
      </c>
      <c r="E36" s="83" t="s">
        <v>1084</v>
      </c>
      <c r="F36" s="83" t="s">
        <v>1092</v>
      </c>
      <c r="G36" s="83" t="s">
        <v>1020</v>
      </c>
      <c r="H36" s="83" t="s">
        <v>991</v>
      </c>
      <c r="I36" s="83" t="s">
        <v>991</v>
      </c>
      <c r="J36" s="83" t="s">
        <v>294</v>
      </c>
      <c r="K36" s="83" t="s">
        <v>1093</v>
      </c>
      <c r="L36" s="80"/>
    </row>
    <row r="37" spans="1:12" x14ac:dyDescent="0.25">
      <c r="A37" s="84">
        <v>695000</v>
      </c>
      <c r="B37" s="84" t="s">
        <v>1094</v>
      </c>
      <c r="C37" s="84" t="s">
        <v>1017</v>
      </c>
      <c r="D37" s="84" t="s">
        <v>299</v>
      </c>
      <c r="E37" s="84" t="s">
        <v>1095</v>
      </c>
      <c r="F37" s="84" t="s">
        <v>1096</v>
      </c>
      <c r="G37" s="84" t="s">
        <v>1020</v>
      </c>
      <c r="H37" s="84" t="s">
        <v>991</v>
      </c>
      <c r="I37" s="84" t="s">
        <v>991</v>
      </c>
      <c r="J37" s="84" t="s">
        <v>209</v>
      </c>
      <c r="K37" s="84" t="s">
        <v>1097</v>
      </c>
      <c r="L37" s="80"/>
    </row>
    <row r="38" spans="1:12" x14ac:dyDescent="0.25">
      <c r="A38" s="84">
        <v>693000</v>
      </c>
      <c r="B38" s="84" t="s">
        <v>487</v>
      </c>
      <c r="C38" s="84" t="s">
        <v>1017</v>
      </c>
      <c r="D38" s="84" t="s">
        <v>299</v>
      </c>
      <c r="E38" s="84" t="s">
        <v>1095</v>
      </c>
      <c r="F38" s="84" t="s">
        <v>1098</v>
      </c>
      <c r="G38" s="84" t="s">
        <v>1020</v>
      </c>
      <c r="H38" s="84" t="s">
        <v>991</v>
      </c>
      <c r="I38" s="84" t="s">
        <v>991</v>
      </c>
      <c r="J38" s="84" t="s">
        <v>209</v>
      </c>
      <c r="K38" s="84" t="s">
        <v>1099</v>
      </c>
      <c r="L38" s="80"/>
    </row>
    <row r="39" spans="1:12" x14ac:dyDescent="0.25">
      <c r="A39" s="21">
        <v>211000</v>
      </c>
      <c r="B39" s="21" t="s">
        <v>1100</v>
      </c>
      <c r="C39" s="21" t="s">
        <v>1101</v>
      </c>
      <c r="D39" s="21" t="s">
        <v>886</v>
      </c>
      <c r="E39" s="21" t="s">
        <v>1102</v>
      </c>
      <c r="F39" s="21" t="s">
        <v>1103</v>
      </c>
      <c r="G39" s="21"/>
      <c r="H39" s="21" t="s">
        <v>991</v>
      </c>
      <c r="I39" s="21" t="s">
        <v>991</v>
      </c>
      <c r="J39" s="21" t="s">
        <v>526</v>
      </c>
      <c r="K39" s="21" t="s">
        <v>1104</v>
      </c>
      <c r="L39" s="80"/>
    </row>
    <row r="40" spans="1:12" x14ac:dyDescent="0.25">
      <c r="A40" s="21">
        <v>212000</v>
      </c>
      <c r="B40" s="21" t="s">
        <v>1105</v>
      </c>
      <c r="C40" s="21" t="s">
        <v>1101</v>
      </c>
      <c r="D40" s="21" t="s">
        <v>886</v>
      </c>
      <c r="E40" s="21" t="s">
        <v>1102</v>
      </c>
      <c r="F40" s="21" t="s">
        <v>1106</v>
      </c>
      <c r="G40" s="21"/>
      <c r="H40" s="21" t="s">
        <v>991</v>
      </c>
      <c r="I40" s="21" t="s">
        <v>991</v>
      </c>
      <c r="J40" s="21" t="s">
        <v>1058</v>
      </c>
      <c r="K40" s="21" t="s">
        <v>1107</v>
      </c>
      <c r="L40" s="80"/>
    </row>
    <row r="41" spans="1:12" x14ac:dyDescent="0.25">
      <c r="A41" s="21">
        <v>215000</v>
      </c>
      <c r="B41" s="21" t="s">
        <v>1108</v>
      </c>
      <c r="C41" s="21" t="s">
        <v>1101</v>
      </c>
      <c r="D41" s="21" t="s">
        <v>886</v>
      </c>
      <c r="E41" s="21" t="s">
        <v>1102</v>
      </c>
      <c r="F41" s="21" t="s">
        <v>1109</v>
      </c>
      <c r="G41" s="21"/>
      <c r="H41" s="21" t="s">
        <v>991</v>
      </c>
      <c r="I41" s="21" t="s">
        <v>991</v>
      </c>
      <c r="J41" s="21" t="s">
        <v>1027</v>
      </c>
      <c r="K41" s="21" t="s">
        <v>1110</v>
      </c>
      <c r="L41" s="80"/>
    </row>
    <row r="42" spans="1:12" x14ac:dyDescent="0.25">
      <c r="A42" s="21">
        <v>232100</v>
      </c>
      <c r="B42" s="21" t="s">
        <v>888</v>
      </c>
      <c r="C42" s="21" t="s">
        <v>1101</v>
      </c>
      <c r="D42" s="21" t="s">
        <v>886</v>
      </c>
      <c r="E42" s="21" t="s">
        <v>1102</v>
      </c>
      <c r="F42" s="21" t="s">
        <v>1111</v>
      </c>
      <c r="G42" s="21"/>
      <c r="H42" s="21" t="s">
        <v>991</v>
      </c>
      <c r="I42" s="21" t="s">
        <v>991</v>
      </c>
      <c r="J42" s="21" t="s">
        <v>200</v>
      </c>
      <c r="K42" s="21" t="s">
        <v>1112</v>
      </c>
      <c r="L42" s="80"/>
    </row>
    <row r="43" spans="1:12" x14ac:dyDescent="0.25">
      <c r="A43" s="21">
        <v>261000</v>
      </c>
      <c r="B43" s="21" t="s">
        <v>1113</v>
      </c>
      <c r="C43" s="21" t="s">
        <v>1101</v>
      </c>
      <c r="D43" s="21" t="s">
        <v>886</v>
      </c>
      <c r="E43" s="21" t="s">
        <v>1102</v>
      </c>
      <c r="F43" s="21" t="s">
        <v>1114</v>
      </c>
      <c r="G43" s="21"/>
      <c r="H43" s="21" t="s">
        <v>991</v>
      </c>
      <c r="I43" s="21" t="s">
        <v>991</v>
      </c>
      <c r="J43" s="21" t="s">
        <v>1115</v>
      </c>
      <c r="K43" s="21" t="s">
        <v>1116</v>
      </c>
      <c r="L43" s="80"/>
    </row>
    <row r="44" spans="1:12" x14ac:dyDescent="0.25">
      <c r="A44" s="21">
        <v>274000</v>
      </c>
      <c r="B44" s="21" t="s">
        <v>1117</v>
      </c>
      <c r="C44" s="21" t="s">
        <v>1101</v>
      </c>
      <c r="D44" s="21" t="s">
        <v>886</v>
      </c>
      <c r="E44" s="21" t="s">
        <v>1102</v>
      </c>
      <c r="F44" s="21" t="s">
        <v>1118</v>
      </c>
      <c r="G44" s="21"/>
      <c r="H44" s="21" t="s">
        <v>991</v>
      </c>
      <c r="I44" s="21" t="s">
        <v>991</v>
      </c>
      <c r="J44" s="21" t="s">
        <v>209</v>
      </c>
      <c r="K44" s="21" t="s">
        <v>1119</v>
      </c>
      <c r="L44" s="80"/>
    </row>
    <row r="45" spans="1:12" x14ac:dyDescent="0.25">
      <c r="A45" s="21">
        <v>311000</v>
      </c>
      <c r="B45" s="21" t="s">
        <v>1120</v>
      </c>
      <c r="C45" s="21" t="s">
        <v>1101</v>
      </c>
      <c r="D45" s="21" t="s">
        <v>886</v>
      </c>
      <c r="E45" s="21" t="s">
        <v>1121</v>
      </c>
      <c r="F45" s="21" t="s">
        <v>318</v>
      </c>
      <c r="G45" s="21"/>
      <c r="H45" s="21" t="s">
        <v>1122</v>
      </c>
      <c r="I45" s="21" t="s">
        <v>991</v>
      </c>
      <c r="J45" s="21" t="s">
        <v>216</v>
      </c>
      <c r="K45" s="21" t="s">
        <v>1123</v>
      </c>
      <c r="L45" s="80"/>
    </row>
    <row r="46" spans="1:12" x14ac:dyDescent="0.25">
      <c r="A46" s="21">
        <v>411000</v>
      </c>
      <c r="B46" s="21" t="s">
        <v>1124</v>
      </c>
      <c r="C46" s="21" t="s">
        <v>1101</v>
      </c>
      <c r="D46" s="21" t="s">
        <v>886</v>
      </c>
      <c r="E46" s="21" t="s">
        <v>1121</v>
      </c>
      <c r="F46" s="21" t="s">
        <v>320</v>
      </c>
      <c r="G46" s="21"/>
      <c r="H46" s="21" t="s">
        <v>1122</v>
      </c>
      <c r="I46" s="21" t="s">
        <v>991</v>
      </c>
      <c r="J46" s="21" t="s">
        <v>219</v>
      </c>
      <c r="K46" s="21" t="s">
        <v>1125</v>
      </c>
      <c r="L46" s="80"/>
    </row>
    <row r="47" spans="1:12" x14ac:dyDescent="0.25">
      <c r="A47" s="26">
        <v>451000</v>
      </c>
      <c r="B47" s="26" t="s">
        <v>1126</v>
      </c>
      <c r="C47" s="26" t="s">
        <v>1101</v>
      </c>
      <c r="D47" s="26" t="s">
        <v>892</v>
      </c>
      <c r="E47" s="26" t="s">
        <v>1121</v>
      </c>
      <c r="F47" s="26" t="s">
        <v>380</v>
      </c>
      <c r="G47" s="26"/>
      <c r="H47" s="26" t="s">
        <v>1122</v>
      </c>
      <c r="I47" s="85" t="s">
        <v>1004</v>
      </c>
      <c r="J47" s="26" t="s">
        <v>244</v>
      </c>
      <c r="K47" s="26" t="s">
        <v>1005</v>
      </c>
      <c r="L47" s="80"/>
    </row>
    <row r="48" spans="1:12" x14ac:dyDescent="0.25">
      <c r="A48" s="21">
        <v>486000</v>
      </c>
      <c r="B48" s="21" t="s">
        <v>1127</v>
      </c>
      <c r="C48" s="21" t="s">
        <v>1101</v>
      </c>
      <c r="D48" s="21" t="s">
        <v>886</v>
      </c>
      <c r="E48" s="21" t="s">
        <v>1121</v>
      </c>
      <c r="F48" s="21" t="s">
        <v>1128</v>
      </c>
      <c r="G48" s="21"/>
      <c r="H48" s="21" t="s">
        <v>1122</v>
      </c>
      <c r="I48" s="21" t="s">
        <v>991</v>
      </c>
      <c r="J48" s="21" t="s">
        <v>1058</v>
      </c>
      <c r="K48" s="21" t="s">
        <v>1129</v>
      </c>
      <c r="L48" s="80"/>
    </row>
    <row r="49" spans="1:12" x14ac:dyDescent="0.25">
      <c r="A49" s="21">
        <v>512000</v>
      </c>
      <c r="B49" s="21" t="s">
        <v>1130</v>
      </c>
      <c r="C49" s="21" t="s">
        <v>1101</v>
      </c>
      <c r="D49" s="21" t="s">
        <v>886</v>
      </c>
      <c r="E49" s="21" t="s">
        <v>1121</v>
      </c>
      <c r="F49" s="21" t="s">
        <v>322</v>
      </c>
      <c r="G49" s="21"/>
      <c r="H49" s="21" t="s">
        <v>991</v>
      </c>
      <c r="I49" s="21" t="s">
        <v>991</v>
      </c>
      <c r="J49" s="21" t="s">
        <v>227</v>
      </c>
      <c r="K49" s="21" t="s">
        <v>1131</v>
      </c>
      <c r="L49" s="80"/>
    </row>
    <row r="50" spans="1:12" x14ac:dyDescent="0.25">
      <c r="A50" s="21">
        <v>101000</v>
      </c>
      <c r="B50" s="21" t="s">
        <v>233</v>
      </c>
      <c r="C50" s="21" t="s">
        <v>1132</v>
      </c>
      <c r="D50" s="21" t="s">
        <v>886</v>
      </c>
      <c r="E50" s="21" t="s">
        <v>347</v>
      </c>
      <c r="F50" s="21" t="s">
        <v>1133</v>
      </c>
      <c r="G50" s="21"/>
      <c r="H50" s="21" t="s">
        <v>991</v>
      </c>
      <c r="I50" s="21" t="s">
        <v>991</v>
      </c>
      <c r="J50" s="21" t="s">
        <v>1134</v>
      </c>
      <c r="K50" s="21" t="s">
        <v>1135</v>
      </c>
      <c r="L50" s="80"/>
    </row>
    <row r="51" spans="1:12" x14ac:dyDescent="0.25">
      <c r="A51" s="21">
        <v>104000</v>
      </c>
      <c r="B51" s="21" t="s">
        <v>1136</v>
      </c>
      <c r="C51" s="21" t="s">
        <v>1132</v>
      </c>
      <c r="D51" s="21" t="s">
        <v>886</v>
      </c>
      <c r="E51" s="21" t="s">
        <v>347</v>
      </c>
      <c r="F51" s="21" t="s">
        <v>1137</v>
      </c>
      <c r="G51" s="21"/>
      <c r="H51" s="21" t="s">
        <v>991</v>
      </c>
      <c r="I51" s="21" t="s">
        <v>991</v>
      </c>
      <c r="J51" s="21" t="s">
        <v>1134</v>
      </c>
      <c r="K51" s="21" t="s">
        <v>1138</v>
      </c>
      <c r="L51" s="80"/>
    </row>
    <row r="52" spans="1:12" x14ac:dyDescent="0.25">
      <c r="A52" s="21">
        <v>105000</v>
      </c>
      <c r="B52" s="21" t="s">
        <v>1139</v>
      </c>
      <c r="C52" s="21" t="s">
        <v>1132</v>
      </c>
      <c r="D52" s="21" t="s">
        <v>886</v>
      </c>
      <c r="E52" s="21" t="s">
        <v>347</v>
      </c>
      <c r="F52" s="21" t="s">
        <v>1140</v>
      </c>
      <c r="G52" s="21"/>
      <c r="H52" s="21" t="s">
        <v>991</v>
      </c>
      <c r="I52" s="21" t="s">
        <v>991</v>
      </c>
      <c r="J52" s="21" t="s">
        <v>1141</v>
      </c>
      <c r="K52" s="21" t="s">
        <v>1142</v>
      </c>
      <c r="L52" s="80"/>
    </row>
    <row r="53" spans="1:12" x14ac:dyDescent="0.25">
      <c r="A53" s="21">
        <v>106000</v>
      </c>
      <c r="B53" s="21" t="s">
        <v>1143</v>
      </c>
      <c r="C53" s="21" t="s">
        <v>1132</v>
      </c>
      <c r="D53" s="21" t="s">
        <v>886</v>
      </c>
      <c r="E53" s="21" t="s">
        <v>347</v>
      </c>
      <c r="F53" s="21" t="s">
        <v>1144</v>
      </c>
      <c r="G53" s="21"/>
      <c r="H53" s="21" t="s">
        <v>991</v>
      </c>
      <c r="I53" s="21" t="s">
        <v>991</v>
      </c>
      <c r="J53" s="21" t="s">
        <v>242</v>
      </c>
      <c r="K53" s="21" t="s">
        <v>1145</v>
      </c>
      <c r="L53" s="80"/>
    </row>
    <row r="54" spans="1:12" x14ac:dyDescent="0.25">
      <c r="A54" s="21">
        <v>120000</v>
      </c>
      <c r="B54" s="21" t="s">
        <v>237</v>
      </c>
      <c r="C54" s="21" t="s">
        <v>1132</v>
      </c>
      <c r="D54" s="21" t="s">
        <v>886</v>
      </c>
      <c r="E54" s="21" t="s">
        <v>347</v>
      </c>
      <c r="F54" s="21" t="s">
        <v>595</v>
      </c>
      <c r="G54" s="21"/>
      <c r="H54" s="21" t="s">
        <v>991</v>
      </c>
      <c r="I54" s="21" t="s">
        <v>991</v>
      </c>
      <c r="J54" s="21" t="s">
        <v>1134</v>
      </c>
      <c r="K54" s="21" t="s">
        <v>1146</v>
      </c>
      <c r="L54" s="80"/>
    </row>
    <row r="55" spans="1:12" x14ac:dyDescent="0.25">
      <c r="A55" s="21">
        <v>1044</v>
      </c>
      <c r="B55" s="21" t="s">
        <v>243</v>
      </c>
      <c r="C55" s="21" t="s">
        <v>1132</v>
      </c>
      <c r="D55" s="21" t="s">
        <v>886</v>
      </c>
      <c r="E55" s="21" t="s">
        <v>347</v>
      </c>
      <c r="F55" s="21" t="s">
        <v>1147</v>
      </c>
      <c r="G55" s="21"/>
      <c r="H55" s="21" t="s">
        <v>991</v>
      </c>
      <c r="I55" s="21" t="s">
        <v>991</v>
      </c>
      <c r="J55" s="21" t="s">
        <v>244</v>
      </c>
      <c r="K55" s="21" t="s">
        <v>1148</v>
      </c>
      <c r="L55" s="80"/>
    </row>
    <row r="56" spans="1:12" x14ac:dyDescent="0.25">
      <c r="A56" s="21">
        <v>155000</v>
      </c>
      <c r="B56" s="21" t="s">
        <v>461</v>
      </c>
      <c r="C56" s="21" t="s">
        <v>1132</v>
      </c>
      <c r="D56" s="21" t="s">
        <v>886</v>
      </c>
      <c r="E56" s="21" t="s">
        <v>1149</v>
      </c>
      <c r="F56" s="21" t="s">
        <v>1150</v>
      </c>
      <c r="G56" s="21"/>
      <c r="H56" s="21" t="s">
        <v>991</v>
      </c>
      <c r="I56" s="21" t="s">
        <v>991</v>
      </c>
      <c r="J56" s="21" t="s">
        <v>209</v>
      </c>
      <c r="K56" s="21" t="s">
        <v>1151</v>
      </c>
      <c r="L56" s="80"/>
    </row>
    <row r="57" spans="1:12" x14ac:dyDescent="0.25">
      <c r="A57" s="21">
        <v>151000</v>
      </c>
      <c r="B57" s="21" t="s">
        <v>1152</v>
      </c>
      <c r="C57" s="21" t="s">
        <v>1132</v>
      </c>
      <c r="D57" s="21" t="s">
        <v>886</v>
      </c>
      <c r="E57" s="21" t="s">
        <v>1149</v>
      </c>
      <c r="F57" s="21" t="s">
        <v>1153</v>
      </c>
      <c r="G57" s="21"/>
      <c r="H57" s="21" t="s">
        <v>991</v>
      </c>
      <c r="I57" s="21" t="s">
        <v>991</v>
      </c>
      <c r="J57" s="21" t="s">
        <v>252</v>
      </c>
      <c r="K57" s="21" t="s">
        <v>1154</v>
      </c>
      <c r="L57" s="80"/>
    </row>
    <row r="58" spans="1:12" x14ac:dyDescent="0.25">
      <c r="A58" s="21">
        <v>164000</v>
      </c>
      <c r="B58" s="21" t="s">
        <v>1155</v>
      </c>
      <c r="C58" s="21" t="s">
        <v>1132</v>
      </c>
      <c r="D58" s="21" t="s">
        <v>886</v>
      </c>
      <c r="E58" s="21" t="s">
        <v>1149</v>
      </c>
      <c r="F58" s="21" t="s">
        <v>1156</v>
      </c>
      <c r="G58" s="21"/>
      <c r="H58" s="21" t="s">
        <v>991</v>
      </c>
      <c r="I58" s="21" t="s">
        <v>991</v>
      </c>
      <c r="J58" s="21" t="s">
        <v>219</v>
      </c>
      <c r="K58" s="21" t="s">
        <v>1157</v>
      </c>
      <c r="L58" s="80"/>
    </row>
    <row r="59" spans="1:12" x14ac:dyDescent="0.25">
      <c r="A59" s="21">
        <v>167400</v>
      </c>
      <c r="B59" s="21" t="s">
        <v>897</v>
      </c>
      <c r="C59" s="21" t="s">
        <v>1132</v>
      </c>
      <c r="D59" s="21" t="s">
        <v>886</v>
      </c>
      <c r="E59" s="21" t="s">
        <v>1149</v>
      </c>
      <c r="F59" s="21" t="s">
        <v>1158</v>
      </c>
      <c r="G59" s="21"/>
      <c r="H59" s="21" t="s">
        <v>991</v>
      </c>
      <c r="I59" s="21" t="s">
        <v>991</v>
      </c>
      <c r="J59" s="21" t="s">
        <v>200</v>
      </c>
      <c r="K59" s="21" t="s">
        <v>1159</v>
      </c>
      <c r="L59" s="80"/>
    </row>
    <row r="60" spans="1:12" x14ac:dyDescent="0.25">
      <c r="A60" s="21">
        <v>401000</v>
      </c>
      <c r="B60" s="21" t="s">
        <v>462</v>
      </c>
      <c r="C60" s="21" t="s">
        <v>1132</v>
      </c>
      <c r="D60" s="21" t="s">
        <v>886</v>
      </c>
      <c r="E60" s="21" t="s">
        <v>1160</v>
      </c>
      <c r="F60" s="21" t="s">
        <v>1161</v>
      </c>
      <c r="G60" s="21"/>
      <c r="H60" s="21" t="s">
        <v>1122</v>
      </c>
      <c r="I60" s="21" t="s">
        <v>991</v>
      </c>
      <c r="J60" s="21"/>
      <c r="K60" s="21" t="s">
        <v>1162</v>
      </c>
      <c r="L60" s="80"/>
    </row>
    <row r="61" spans="1:12" x14ac:dyDescent="0.25">
      <c r="A61" s="26">
        <v>451500</v>
      </c>
      <c r="B61" s="26" t="s">
        <v>1163</v>
      </c>
      <c r="C61" s="26" t="s">
        <v>1132</v>
      </c>
      <c r="D61" s="26" t="s">
        <v>892</v>
      </c>
      <c r="E61" s="26" t="s">
        <v>1160</v>
      </c>
      <c r="F61" s="26" t="s">
        <v>381</v>
      </c>
      <c r="G61" s="26"/>
      <c r="H61" s="26" t="s">
        <v>1122</v>
      </c>
      <c r="I61" s="85" t="s">
        <v>1004</v>
      </c>
      <c r="J61" s="26" t="s">
        <v>244</v>
      </c>
      <c r="K61" s="26" t="s">
        <v>1005</v>
      </c>
      <c r="L61" s="80"/>
    </row>
    <row r="62" spans="1:12" x14ac:dyDescent="0.25">
      <c r="A62" s="21">
        <v>487000</v>
      </c>
      <c r="B62" s="21" t="s">
        <v>1164</v>
      </c>
      <c r="C62" s="21" t="s">
        <v>1132</v>
      </c>
      <c r="D62" s="21" t="s">
        <v>886</v>
      </c>
      <c r="E62" s="21" t="s">
        <v>1160</v>
      </c>
      <c r="F62" s="21" t="s">
        <v>1165</v>
      </c>
      <c r="G62" s="21"/>
      <c r="H62" s="21" t="s">
        <v>1122</v>
      </c>
      <c r="I62" s="21" t="s">
        <v>991</v>
      </c>
      <c r="J62" s="21" t="s">
        <v>274</v>
      </c>
      <c r="K62" s="21" t="s">
        <v>1166</v>
      </c>
      <c r="L62" s="80"/>
    </row>
    <row r="63" spans="1:12" x14ac:dyDescent="0.25">
      <c r="A63" s="21">
        <v>519000</v>
      </c>
      <c r="B63" s="21" t="s">
        <v>1167</v>
      </c>
      <c r="C63" s="21" t="s">
        <v>1132</v>
      </c>
      <c r="D63" s="21" t="s">
        <v>886</v>
      </c>
      <c r="E63" s="21" t="s">
        <v>1160</v>
      </c>
      <c r="F63" s="21" t="s">
        <v>1168</v>
      </c>
      <c r="G63" s="21"/>
      <c r="H63" s="21" t="s">
        <v>991</v>
      </c>
      <c r="I63" s="21" t="s">
        <v>991</v>
      </c>
      <c r="J63" s="21" t="s">
        <v>219</v>
      </c>
      <c r="K63" s="21" t="s">
        <v>1169</v>
      </c>
      <c r="L63" s="80"/>
    </row>
    <row r="64" spans="1:12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2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2" x14ac:dyDescent="0.25">
      <c r="A66" s="556" t="s">
        <v>1170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80"/>
    </row>
    <row r="67" spans="1:12" x14ac:dyDescent="0.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2" x14ac:dyDescent="0.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2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2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2" x14ac:dyDescent="0.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2" x14ac:dyDescent="0.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2" x14ac:dyDescent="0.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</row>
    <row r="74" spans="1:12" x14ac:dyDescent="0.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2" x14ac:dyDescent="0.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</row>
    <row r="76" spans="1:12" x14ac:dyDescent="0.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2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2" x14ac:dyDescent="0.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2" x14ac:dyDescent="0.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2" x14ac:dyDescent="0.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2" x14ac:dyDescent="0.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</row>
    <row r="82" spans="1:12" x14ac:dyDescent="0.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2" x14ac:dyDescent="0.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</row>
    <row r="84" spans="1:12" x14ac:dyDescent="0.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2" x14ac:dyDescent="0.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2" x14ac:dyDescent="0.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</row>
    <row r="87" spans="1:12" x14ac:dyDescent="0.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</row>
    <row r="88" spans="1:12" x14ac:dyDescent="0.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</row>
    <row r="89" spans="1:12" x14ac:dyDescent="0.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</row>
    <row r="90" spans="1:12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</row>
    <row r="91" spans="1:12" x14ac:dyDescent="0.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</row>
    <row r="92" spans="1:12" x14ac:dyDescent="0.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</row>
    <row r="93" spans="1:12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</row>
    <row r="94" spans="1:12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</row>
    <row r="95" spans="1:12" x14ac:dyDescent="0.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</row>
    <row r="96" spans="1:12" x14ac:dyDescent="0.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</row>
    <row r="97" spans="1:12" x14ac:dyDescent="0.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</row>
    <row r="98" spans="1:12" x14ac:dyDescent="0.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</row>
    <row r="99" spans="1:12" x14ac:dyDescent="0.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</row>
    <row r="100" spans="1:12" x14ac:dyDescent="0.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</row>
    <row r="101" spans="1:12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 spans="1:12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</row>
    <row r="103" spans="1:12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</row>
    <row r="104" spans="1:12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</row>
    <row r="105" spans="1:12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</row>
    <row r="106" spans="1:12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</row>
    <row r="107" spans="1:12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</row>
    <row r="108" spans="1:12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</row>
    <row r="109" spans="1:12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</row>
    <row r="110" spans="1:12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</row>
    <row r="111" spans="1:12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</row>
    <row r="112" spans="1:12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</row>
    <row r="113" spans="1:12" x14ac:dyDescent="0.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</row>
    <row r="114" spans="1:12" x14ac:dyDescent="0.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</row>
    <row r="115" spans="1:12" x14ac:dyDescent="0.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</row>
    <row r="116" spans="1:12" x14ac:dyDescent="0.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</row>
    <row r="117" spans="1:12" x14ac:dyDescent="0.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</row>
    <row r="118" spans="1:12" x14ac:dyDescent="0.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</row>
    <row r="119" spans="1:12" x14ac:dyDescent="0.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</row>
    <row r="120" spans="1:12" x14ac:dyDescent="0.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</row>
  </sheetData>
  <mergeCells count="3">
    <mergeCell ref="A1:K1"/>
    <mergeCell ref="A2:K2"/>
    <mergeCell ref="A66:K6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9D4F-EE7D-4F44-868E-407121F9F326}">
  <sheetPr>
    <tabColor rgb="FF8E44AD"/>
  </sheetPr>
  <dimension ref="A1:K128"/>
  <sheetViews>
    <sheetView showGridLines="0" workbookViewId="0">
      <selection activeCell="C19" sqref="C19"/>
    </sheetView>
  </sheetViews>
  <sheetFormatPr baseColWidth="10" defaultRowHeight="15" x14ac:dyDescent="0.25"/>
  <cols>
    <col min="1" max="1" width="6.7109375" customWidth="1"/>
    <col min="2" max="2" width="114.28515625" customWidth="1"/>
    <col min="3" max="3" width="38.140625" customWidth="1"/>
    <col min="5" max="11" width="15.28515625" customWidth="1"/>
  </cols>
  <sheetData>
    <row r="1" spans="1:11" ht="18.75" x14ac:dyDescent="0.3">
      <c r="A1" s="561" t="s">
        <v>1171</v>
      </c>
      <c r="B1" s="561"/>
      <c r="C1" s="561"/>
      <c r="D1" s="47"/>
      <c r="E1" s="554" t="s">
        <v>1460</v>
      </c>
      <c r="F1" s="554"/>
      <c r="G1" s="554"/>
      <c r="H1" s="554"/>
      <c r="I1" s="554"/>
      <c r="J1" s="554"/>
      <c r="K1" s="554"/>
    </row>
    <row r="2" spans="1:11" x14ac:dyDescent="0.25">
      <c r="A2" s="482" t="s">
        <v>1172</v>
      </c>
      <c r="B2" s="482"/>
      <c r="C2" s="482"/>
      <c r="D2" s="47"/>
      <c r="E2" s="558" t="s">
        <v>1461</v>
      </c>
      <c r="F2" s="558"/>
      <c r="G2" s="558"/>
      <c r="H2" s="558"/>
      <c r="I2" s="558"/>
      <c r="J2" s="558"/>
      <c r="K2" s="558"/>
    </row>
    <row r="3" spans="1:11" x14ac:dyDescent="0.25">
      <c r="A3" s="562" t="s">
        <v>1173</v>
      </c>
      <c r="B3" s="562"/>
      <c r="C3" s="562"/>
      <c r="D3" s="47"/>
      <c r="E3" s="560" t="s">
        <v>1462</v>
      </c>
      <c r="F3" s="560"/>
      <c r="G3" s="560"/>
      <c r="H3" s="560"/>
      <c r="I3" s="560"/>
      <c r="J3" s="560"/>
      <c r="K3" s="560"/>
    </row>
    <row r="4" spans="1:11" x14ac:dyDescent="0.25">
      <c r="E4" s="558" t="s">
        <v>1463</v>
      </c>
      <c r="F4" s="558"/>
      <c r="G4" s="558"/>
      <c r="H4" s="558"/>
      <c r="I4" s="558"/>
      <c r="J4" s="558"/>
      <c r="K4" s="558"/>
    </row>
    <row r="5" spans="1:11" x14ac:dyDescent="0.25">
      <c r="A5" s="86" t="s">
        <v>1174</v>
      </c>
      <c r="B5" s="87" t="s">
        <v>1175</v>
      </c>
      <c r="E5" s="560" t="s">
        <v>1464</v>
      </c>
      <c r="F5" s="560"/>
      <c r="G5" s="560"/>
      <c r="H5" s="560"/>
      <c r="I5" s="560"/>
      <c r="J5" s="560"/>
      <c r="K5" s="560"/>
    </row>
    <row r="6" spans="1:11" x14ac:dyDescent="0.25">
      <c r="A6" s="86" t="s">
        <v>1176</v>
      </c>
      <c r="B6" s="88" t="s">
        <v>1177</v>
      </c>
      <c r="E6" s="558" t="s">
        <v>1465</v>
      </c>
      <c r="F6" s="558"/>
      <c r="G6" s="558"/>
      <c r="H6" s="558"/>
      <c r="I6" s="558"/>
      <c r="J6" s="558"/>
      <c r="K6" s="558"/>
    </row>
    <row r="7" spans="1:11" x14ac:dyDescent="0.25">
      <c r="A7" s="86" t="s">
        <v>1178</v>
      </c>
      <c r="B7" s="89" t="s">
        <v>1179</v>
      </c>
      <c r="E7" s="560" t="s">
        <v>1466</v>
      </c>
      <c r="F7" s="560"/>
      <c r="G7" s="560"/>
      <c r="H7" s="560"/>
      <c r="I7" s="560"/>
      <c r="J7" s="560"/>
      <c r="K7" s="560"/>
    </row>
    <row r="8" spans="1:11" x14ac:dyDescent="0.25">
      <c r="A8" s="86" t="s">
        <v>1180</v>
      </c>
      <c r="B8" s="91" t="s">
        <v>1181</v>
      </c>
      <c r="C8" s="90" t="s">
        <v>1182</v>
      </c>
      <c r="E8" s="558" t="s">
        <v>1467</v>
      </c>
      <c r="F8" s="558"/>
      <c r="G8" s="558"/>
      <c r="H8" s="558"/>
      <c r="I8" s="558"/>
      <c r="J8" s="558"/>
      <c r="K8" s="558"/>
    </row>
    <row r="9" spans="1:11" x14ac:dyDescent="0.25">
      <c r="A9" s="86" t="s">
        <v>1183</v>
      </c>
      <c r="B9" s="89" t="s">
        <v>1184</v>
      </c>
      <c r="E9" s="560" t="s">
        <v>1468</v>
      </c>
      <c r="F9" s="560"/>
      <c r="G9" s="560"/>
      <c r="H9" s="560"/>
      <c r="I9" s="560"/>
      <c r="J9" s="560"/>
      <c r="K9" s="560"/>
    </row>
    <row r="10" spans="1:11" x14ac:dyDescent="0.25">
      <c r="A10" s="86" t="s">
        <v>1185</v>
      </c>
      <c r="B10" s="92" t="s">
        <v>1186</v>
      </c>
      <c r="E10" s="558" t="s">
        <v>1469</v>
      </c>
      <c r="F10" s="558"/>
      <c r="G10" s="558"/>
      <c r="H10" s="558"/>
      <c r="I10" s="558"/>
      <c r="J10" s="558"/>
      <c r="K10" s="558"/>
    </row>
    <row r="11" spans="1:11" x14ac:dyDescent="0.25">
      <c r="A11" s="86" t="s">
        <v>1187</v>
      </c>
      <c r="B11" s="89" t="s">
        <v>1188</v>
      </c>
      <c r="E11" s="559" t="s">
        <v>1470</v>
      </c>
      <c r="F11" s="559"/>
      <c r="G11" s="559"/>
      <c r="H11" s="559"/>
      <c r="I11" s="559"/>
      <c r="J11" s="559"/>
      <c r="K11" s="559"/>
    </row>
    <row r="12" spans="1:11" x14ac:dyDescent="0.25">
      <c r="A12" s="86" t="s">
        <v>1189</v>
      </c>
      <c r="B12" s="92" t="s">
        <v>1190</v>
      </c>
      <c r="E12" s="558" t="s">
        <v>1471</v>
      </c>
      <c r="F12" s="558"/>
      <c r="G12" s="558"/>
      <c r="H12" s="558"/>
      <c r="I12" s="558"/>
      <c r="J12" s="558"/>
      <c r="K12" s="558"/>
    </row>
    <row r="13" spans="1:11" x14ac:dyDescent="0.25">
      <c r="A13" s="86" t="s">
        <v>1191</v>
      </c>
      <c r="B13" s="92" t="s">
        <v>1192</v>
      </c>
      <c r="E13" s="560" t="s">
        <v>1472</v>
      </c>
      <c r="F13" s="560"/>
      <c r="G13" s="560"/>
      <c r="H13" s="560"/>
      <c r="I13" s="560"/>
      <c r="J13" s="560"/>
      <c r="K13" s="560"/>
    </row>
    <row r="14" spans="1:11" x14ac:dyDescent="0.25">
      <c r="A14" s="86" t="s">
        <v>1193</v>
      </c>
      <c r="B14" s="92" t="s">
        <v>1194</v>
      </c>
      <c r="C14" s="90" t="s">
        <v>1195</v>
      </c>
      <c r="E14" s="558" t="s">
        <v>1473</v>
      </c>
      <c r="F14" s="558"/>
      <c r="G14" s="558"/>
      <c r="H14" s="558"/>
      <c r="I14" s="558"/>
      <c r="J14" s="558"/>
      <c r="K14" s="558"/>
    </row>
    <row r="15" spans="1:11" x14ac:dyDescent="0.25">
      <c r="A15" s="86" t="s">
        <v>1196</v>
      </c>
      <c r="B15" s="89" t="s">
        <v>1197</v>
      </c>
      <c r="E15" s="560" t="s">
        <v>1474</v>
      </c>
      <c r="F15" s="560"/>
      <c r="G15" s="560"/>
      <c r="H15" s="560"/>
      <c r="I15" s="560"/>
      <c r="J15" s="560"/>
      <c r="K15" s="560"/>
    </row>
    <row r="16" spans="1:11" x14ac:dyDescent="0.25">
      <c r="A16" s="86" t="s">
        <v>1198</v>
      </c>
      <c r="B16" s="92" t="s">
        <v>1199</v>
      </c>
      <c r="E16" s="557" t="s">
        <v>1475</v>
      </c>
      <c r="F16" s="557"/>
      <c r="G16" s="557"/>
      <c r="H16" s="557"/>
      <c r="I16" s="557"/>
      <c r="J16" s="557"/>
      <c r="K16" s="557"/>
    </row>
    <row r="17" spans="1:2" x14ac:dyDescent="0.25">
      <c r="A17" s="86" t="s">
        <v>1200</v>
      </c>
      <c r="B17" s="92" t="s">
        <v>1201</v>
      </c>
    </row>
    <row r="18" spans="1:2" x14ac:dyDescent="0.25">
      <c r="A18" s="86" t="s">
        <v>1202</v>
      </c>
      <c r="B18" s="92" t="s">
        <v>1203</v>
      </c>
    </row>
    <row r="19" spans="1:2" x14ac:dyDescent="0.25">
      <c r="A19" s="86" t="s">
        <v>1204</v>
      </c>
      <c r="B19" s="92" t="s">
        <v>1205</v>
      </c>
    </row>
    <row r="20" spans="1:2" x14ac:dyDescent="0.25">
      <c r="A20" s="86" t="s">
        <v>1206</v>
      </c>
      <c r="B20" s="92" t="s">
        <v>1207</v>
      </c>
    </row>
    <row r="21" spans="1:2" x14ac:dyDescent="0.25">
      <c r="A21" s="86" t="s">
        <v>1208</v>
      </c>
      <c r="B21" s="92" t="s">
        <v>1209</v>
      </c>
    </row>
    <row r="22" spans="1:2" x14ac:dyDescent="0.25">
      <c r="A22" s="86" t="s">
        <v>1210</v>
      </c>
      <c r="B22" s="92" t="s">
        <v>1211</v>
      </c>
    </row>
    <row r="23" spans="1:2" x14ac:dyDescent="0.25">
      <c r="A23" s="86" t="s">
        <v>1212</v>
      </c>
      <c r="B23" s="92" t="s">
        <v>1213</v>
      </c>
    </row>
    <row r="24" spans="1:2" x14ac:dyDescent="0.25">
      <c r="A24" s="86" t="s">
        <v>1214</v>
      </c>
      <c r="B24" s="92" t="s">
        <v>1215</v>
      </c>
    </row>
    <row r="25" spans="1:2" x14ac:dyDescent="0.25">
      <c r="A25" s="86" t="s">
        <v>1216</v>
      </c>
      <c r="B25" s="92" t="s">
        <v>1217</v>
      </c>
    </row>
    <row r="26" spans="1:2" x14ac:dyDescent="0.25">
      <c r="A26" s="86" t="s">
        <v>1218</v>
      </c>
      <c r="B26" s="89" t="s">
        <v>1219</v>
      </c>
    </row>
    <row r="27" spans="1:2" x14ac:dyDescent="0.25">
      <c r="A27" s="86" t="s">
        <v>1220</v>
      </c>
      <c r="B27" s="92" t="s">
        <v>1221</v>
      </c>
    </row>
    <row r="28" spans="1:2" x14ac:dyDescent="0.25">
      <c r="A28" s="86" t="s">
        <v>1222</v>
      </c>
      <c r="B28" s="92" t="s">
        <v>1223</v>
      </c>
    </row>
    <row r="29" spans="1:2" x14ac:dyDescent="0.25">
      <c r="A29" s="86" t="s">
        <v>1224</v>
      </c>
      <c r="B29" s="89" t="s">
        <v>1225</v>
      </c>
    </row>
    <row r="30" spans="1:2" x14ac:dyDescent="0.25">
      <c r="A30" s="86" t="s">
        <v>1226</v>
      </c>
      <c r="B30" s="92" t="s">
        <v>1227</v>
      </c>
    </row>
    <row r="31" spans="1:2" x14ac:dyDescent="0.25">
      <c r="A31" s="86" t="s">
        <v>1228</v>
      </c>
      <c r="B31" s="92" t="s">
        <v>1229</v>
      </c>
    </row>
    <row r="32" spans="1:2" x14ac:dyDescent="0.25">
      <c r="A32" s="86" t="s">
        <v>1230</v>
      </c>
      <c r="B32" s="89" t="s">
        <v>1231</v>
      </c>
    </row>
    <row r="33" spans="1:2" x14ac:dyDescent="0.25">
      <c r="A33" s="86" t="s">
        <v>1232</v>
      </c>
      <c r="B33" s="92" t="s">
        <v>1233</v>
      </c>
    </row>
    <row r="34" spans="1:2" x14ac:dyDescent="0.25">
      <c r="A34" s="86" t="s">
        <v>1234</v>
      </c>
      <c r="B34" s="92" t="s">
        <v>1229</v>
      </c>
    </row>
    <row r="35" spans="1:2" x14ac:dyDescent="0.25">
      <c r="A35" s="86" t="s">
        <v>1235</v>
      </c>
      <c r="B35" s="89" t="s">
        <v>1236</v>
      </c>
    </row>
    <row r="36" spans="1:2" x14ac:dyDescent="0.25">
      <c r="A36" s="86" t="s">
        <v>1237</v>
      </c>
      <c r="B36" s="92" t="s">
        <v>1238</v>
      </c>
    </row>
    <row r="37" spans="1:2" x14ac:dyDescent="0.25">
      <c r="A37" s="86" t="s">
        <v>1239</v>
      </c>
      <c r="B37" s="92" t="s">
        <v>1240</v>
      </c>
    </row>
    <row r="38" spans="1:2" x14ac:dyDescent="0.25">
      <c r="A38" s="86" t="s">
        <v>1241</v>
      </c>
      <c r="B38" s="92" t="s">
        <v>1242</v>
      </c>
    </row>
    <row r="39" spans="1:2" x14ac:dyDescent="0.25">
      <c r="A39" s="86" t="s">
        <v>1243</v>
      </c>
      <c r="B39" s="92" t="s">
        <v>1244</v>
      </c>
    </row>
    <row r="40" spans="1:2" x14ac:dyDescent="0.25">
      <c r="A40" s="86" t="s">
        <v>1245</v>
      </c>
      <c r="B40" s="89" t="s">
        <v>1246</v>
      </c>
    </row>
    <row r="41" spans="1:2" x14ac:dyDescent="0.25">
      <c r="A41" s="86" t="s">
        <v>1247</v>
      </c>
      <c r="B41" s="92" t="s">
        <v>1248</v>
      </c>
    </row>
    <row r="42" spans="1:2" x14ac:dyDescent="0.25">
      <c r="A42" s="86" t="s">
        <v>1249</v>
      </c>
      <c r="B42" s="92" t="s">
        <v>1250</v>
      </c>
    </row>
    <row r="43" spans="1:2" x14ac:dyDescent="0.25">
      <c r="A43" s="86" t="s">
        <v>1251</v>
      </c>
      <c r="B43" s="92" t="s">
        <v>1252</v>
      </c>
    </row>
    <row r="44" spans="1:2" x14ac:dyDescent="0.25">
      <c r="A44" s="86" t="s">
        <v>1253</v>
      </c>
      <c r="B44" s="89" t="s">
        <v>1254</v>
      </c>
    </row>
    <row r="45" spans="1:2" x14ac:dyDescent="0.25">
      <c r="A45" s="86" t="s">
        <v>1255</v>
      </c>
      <c r="B45" s="92" t="s">
        <v>1256</v>
      </c>
    </row>
    <row r="46" spans="1:2" x14ac:dyDescent="0.25">
      <c r="A46" s="86" t="s">
        <v>1257</v>
      </c>
      <c r="B46" s="92" t="s">
        <v>1258</v>
      </c>
    </row>
    <row r="47" spans="1:2" x14ac:dyDescent="0.25">
      <c r="A47" s="86" t="s">
        <v>1259</v>
      </c>
      <c r="B47" s="92" t="s">
        <v>1260</v>
      </c>
    </row>
    <row r="48" spans="1:2" x14ac:dyDescent="0.25">
      <c r="A48" s="86" t="s">
        <v>1261</v>
      </c>
      <c r="B48" s="92" t="s">
        <v>1262</v>
      </c>
    </row>
    <row r="49" spans="1:3" x14ac:dyDescent="0.25">
      <c r="A49" s="86" t="s">
        <v>1263</v>
      </c>
      <c r="B49" s="92" t="s">
        <v>1264</v>
      </c>
    </row>
    <row r="50" spans="1:3" x14ac:dyDescent="0.25">
      <c r="A50" s="86" t="s">
        <v>1265</v>
      </c>
      <c r="B50" s="92" t="s">
        <v>1266</v>
      </c>
    </row>
    <row r="51" spans="1:3" x14ac:dyDescent="0.25">
      <c r="A51" s="86" t="s">
        <v>1267</v>
      </c>
      <c r="B51" s="92" t="s">
        <v>1268</v>
      </c>
    </row>
    <row r="52" spans="1:3" x14ac:dyDescent="0.25">
      <c r="A52" s="86" t="s">
        <v>1269</v>
      </c>
      <c r="B52" s="92" t="s">
        <v>1270</v>
      </c>
    </row>
    <row r="53" spans="1:3" x14ac:dyDescent="0.25">
      <c r="A53" s="86" t="s">
        <v>1271</v>
      </c>
      <c r="B53" s="89" t="s">
        <v>1272</v>
      </c>
    </row>
    <row r="54" spans="1:3" x14ac:dyDescent="0.25">
      <c r="A54" s="86" t="s">
        <v>1273</v>
      </c>
      <c r="B54" s="92" t="s">
        <v>1274</v>
      </c>
    </row>
    <row r="55" spans="1:3" x14ac:dyDescent="0.25">
      <c r="A55" s="86" t="s">
        <v>1275</v>
      </c>
      <c r="B55" s="92" t="s">
        <v>1276</v>
      </c>
    </row>
    <row r="56" spans="1:3" x14ac:dyDescent="0.25">
      <c r="A56" s="86" t="s">
        <v>1277</v>
      </c>
      <c r="B56" s="92" t="s">
        <v>1278</v>
      </c>
      <c r="C56" s="90" t="s">
        <v>1279</v>
      </c>
    </row>
    <row r="57" spans="1:3" x14ac:dyDescent="0.25">
      <c r="A57" s="86" t="s">
        <v>1280</v>
      </c>
      <c r="B57" s="92" t="s">
        <v>1281</v>
      </c>
      <c r="C57" s="90" t="s">
        <v>1279</v>
      </c>
    </row>
    <row r="58" spans="1:3" x14ac:dyDescent="0.25">
      <c r="A58" s="86" t="s">
        <v>1282</v>
      </c>
      <c r="B58" s="92" t="s">
        <v>1283</v>
      </c>
      <c r="C58" s="90" t="s">
        <v>1279</v>
      </c>
    </row>
    <row r="59" spans="1:3" x14ac:dyDescent="0.25">
      <c r="A59" s="86" t="s">
        <v>1284</v>
      </c>
      <c r="B59" s="92" t="s">
        <v>1285</v>
      </c>
    </row>
    <row r="60" spans="1:3" x14ac:dyDescent="0.25">
      <c r="A60" s="86" t="s">
        <v>1286</v>
      </c>
      <c r="B60" s="89" t="s">
        <v>1287</v>
      </c>
    </row>
    <row r="61" spans="1:3" x14ac:dyDescent="0.25">
      <c r="A61" s="86" t="s">
        <v>1288</v>
      </c>
      <c r="B61" s="92" t="s">
        <v>1289</v>
      </c>
    </row>
    <row r="62" spans="1:3" x14ac:dyDescent="0.25">
      <c r="A62" s="86" t="s">
        <v>1290</v>
      </c>
      <c r="B62" s="92" t="s">
        <v>1291</v>
      </c>
    </row>
    <row r="63" spans="1:3" x14ac:dyDescent="0.25">
      <c r="A63" s="86" t="s">
        <v>1292</v>
      </c>
      <c r="B63" s="89" t="s">
        <v>1293</v>
      </c>
    </row>
    <row r="64" spans="1:3" x14ac:dyDescent="0.25">
      <c r="A64" s="86" t="s">
        <v>1294</v>
      </c>
      <c r="B64" s="92" t="s">
        <v>1295</v>
      </c>
      <c r="C64" s="90" t="s">
        <v>1296</v>
      </c>
    </row>
    <row r="65" spans="1:2" x14ac:dyDescent="0.25">
      <c r="A65" s="86" t="s">
        <v>1297</v>
      </c>
      <c r="B65" s="92" t="s">
        <v>1298</v>
      </c>
    </row>
    <row r="66" spans="1:2" x14ac:dyDescent="0.25">
      <c r="A66" s="86" t="s">
        <v>1299</v>
      </c>
      <c r="B66" s="92" t="s">
        <v>1300</v>
      </c>
    </row>
    <row r="67" spans="1:2" x14ac:dyDescent="0.25">
      <c r="A67" s="86" t="s">
        <v>1301</v>
      </c>
      <c r="B67" s="92" t="s">
        <v>1302</v>
      </c>
    </row>
    <row r="68" spans="1:2" x14ac:dyDescent="0.25">
      <c r="A68" s="86" t="s">
        <v>1303</v>
      </c>
      <c r="B68" s="92" t="s">
        <v>1304</v>
      </c>
    </row>
    <row r="69" spans="1:2" x14ac:dyDescent="0.25">
      <c r="A69" s="86" t="s">
        <v>1305</v>
      </c>
      <c r="B69" s="92" t="s">
        <v>1306</v>
      </c>
    </row>
    <row r="70" spans="1:2" x14ac:dyDescent="0.25">
      <c r="A70" s="86" t="s">
        <v>1307</v>
      </c>
      <c r="B70" s="92" t="s">
        <v>1308</v>
      </c>
    </row>
    <row r="71" spans="1:2" x14ac:dyDescent="0.25">
      <c r="A71" s="86" t="s">
        <v>1309</v>
      </c>
      <c r="B71" s="92" t="s">
        <v>1310</v>
      </c>
    </row>
    <row r="72" spans="1:2" x14ac:dyDescent="0.25">
      <c r="A72" s="86" t="s">
        <v>1311</v>
      </c>
      <c r="B72" s="89" t="s">
        <v>1312</v>
      </c>
    </row>
    <row r="73" spans="1:2" x14ac:dyDescent="0.25">
      <c r="A73" s="86" t="s">
        <v>1313</v>
      </c>
      <c r="B73" s="92" t="s">
        <v>1314</v>
      </c>
    </row>
    <row r="74" spans="1:2" x14ac:dyDescent="0.25">
      <c r="A74" s="86" t="s">
        <v>1315</v>
      </c>
      <c r="B74" s="92" t="s">
        <v>1316</v>
      </c>
    </row>
    <row r="75" spans="1:2" x14ac:dyDescent="0.25">
      <c r="A75" s="86" t="s">
        <v>1317</v>
      </c>
      <c r="B75" s="92" t="s">
        <v>1318</v>
      </c>
    </row>
    <row r="76" spans="1:2" x14ac:dyDescent="0.25">
      <c r="A76" s="86" t="s">
        <v>1319</v>
      </c>
      <c r="B76" s="92" t="s">
        <v>1320</v>
      </c>
    </row>
    <row r="77" spans="1:2" x14ac:dyDescent="0.25">
      <c r="A77" s="86" t="s">
        <v>1321</v>
      </c>
      <c r="B77" s="92" t="s">
        <v>1322</v>
      </c>
    </row>
    <row r="78" spans="1:2" x14ac:dyDescent="0.25">
      <c r="A78" s="86" t="s">
        <v>1323</v>
      </c>
      <c r="B78" s="92" t="s">
        <v>1324</v>
      </c>
    </row>
    <row r="79" spans="1:2" x14ac:dyDescent="0.25">
      <c r="A79" s="86" t="s">
        <v>1325</v>
      </c>
      <c r="B79" s="92" t="s">
        <v>1326</v>
      </c>
    </row>
    <row r="80" spans="1:2" x14ac:dyDescent="0.25">
      <c r="A80" s="86" t="s">
        <v>1327</v>
      </c>
      <c r="B80" s="92" t="s">
        <v>1328</v>
      </c>
    </row>
    <row r="81" spans="1:2" x14ac:dyDescent="0.25">
      <c r="A81" s="86" t="s">
        <v>1329</v>
      </c>
      <c r="B81" s="89" t="s">
        <v>1330</v>
      </c>
    </row>
    <row r="82" spans="1:2" x14ac:dyDescent="0.25">
      <c r="A82" s="86" t="s">
        <v>1331</v>
      </c>
      <c r="B82" s="92" t="s">
        <v>1332</v>
      </c>
    </row>
    <row r="83" spans="1:2" x14ac:dyDescent="0.25">
      <c r="A83" s="86" t="s">
        <v>1333</v>
      </c>
      <c r="B83" s="92" t="s">
        <v>1334</v>
      </c>
    </row>
    <row r="84" spans="1:2" x14ac:dyDescent="0.25">
      <c r="A84" s="86" t="s">
        <v>1335</v>
      </c>
      <c r="B84" s="89" t="s">
        <v>1336</v>
      </c>
    </row>
    <row r="85" spans="1:2" x14ac:dyDescent="0.25">
      <c r="A85" s="86" t="s">
        <v>1337</v>
      </c>
      <c r="B85" s="92" t="s">
        <v>1338</v>
      </c>
    </row>
    <row r="86" spans="1:2" x14ac:dyDescent="0.25">
      <c r="A86" s="86" t="s">
        <v>1339</v>
      </c>
      <c r="B86" s="92" t="s">
        <v>1340</v>
      </c>
    </row>
    <row r="87" spans="1:2" x14ac:dyDescent="0.25">
      <c r="A87" s="86" t="s">
        <v>1341</v>
      </c>
      <c r="B87" s="92" t="s">
        <v>1342</v>
      </c>
    </row>
    <row r="88" spans="1:2" x14ac:dyDescent="0.25">
      <c r="A88" s="86" t="s">
        <v>1343</v>
      </c>
      <c r="B88" s="92" t="s">
        <v>1344</v>
      </c>
    </row>
    <row r="89" spans="1:2" x14ac:dyDescent="0.25">
      <c r="A89" s="86" t="s">
        <v>1345</v>
      </c>
      <c r="B89" s="89" t="s">
        <v>1346</v>
      </c>
    </row>
    <row r="90" spans="1:2" x14ac:dyDescent="0.25">
      <c r="A90" s="86" t="s">
        <v>1347</v>
      </c>
      <c r="B90" s="92" t="s">
        <v>1348</v>
      </c>
    </row>
    <row r="91" spans="1:2" x14ac:dyDescent="0.25">
      <c r="A91" s="86" t="s">
        <v>1349</v>
      </c>
      <c r="B91" s="92" t="s">
        <v>1350</v>
      </c>
    </row>
    <row r="92" spans="1:2" x14ac:dyDescent="0.25">
      <c r="A92" s="86" t="s">
        <v>1351</v>
      </c>
      <c r="B92" s="92" t="s">
        <v>1352</v>
      </c>
    </row>
    <row r="93" spans="1:2" x14ac:dyDescent="0.25">
      <c r="A93" s="86" t="s">
        <v>1353</v>
      </c>
      <c r="B93" s="92" t="s">
        <v>1354</v>
      </c>
    </row>
    <row r="94" spans="1:2" x14ac:dyDescent="0.25">
      <c r="A94" s="86" t="s">
        <v>1355</v>
      </c>
      <c r="B94" s="89" t="s">
        <v>1356</v>
      </c>
    </row>
    <row r="95" spans="1:2" x14ac:dyDescent="0.25">
      <c r="A95" s="86" t="s">
        <v>1357</v>
      </c>
      <c r="B95" s="92" t="s">
        <v>1358</v>
      </c>
    </row>
    <row r="96" spans="1:2" x14ac:dyDescent="0.25">
      <c r="A96" s="86" t="s">
        <v>1359</v>
      </c>
      <c r="B96" s="92" t="s">
        <v>1360</v>
      </c>
    </row>
    <row r="97" spans="1:3" x14ac:dyDescent="0.25">
      <c r="A97" s="86" t="s">
        <v>1361</v>
      </c>
      <c r="B97" s="88" t="s">
        <v>1362</v>
      </c>
    </row>
    <row r="98" spans="1:3" x14ac:dyDescent="0.25">
      <c r="A98" s="86" t="s">
        <v>1363</v>
      </c>
      <c r="B98" s="88" t="s">
        <v>1364</v>
      </c>
    </row>
    <row r="99" spans="1:3" x14ac:dyDescent="0.25">
      <c r="A99" s="86" t="s">
        <v>1365</v>
      </c>
      <c r="B99" s="92"/>
    </row>
    <row r="100" spans="1:3" x14ac:dyDescent="0.25">
      <c r="A100" s="86" t="s">
        <v>1366</v>
      </c>
      <c r="B100" s="89" t="s">
        <v>1367</v>
      </c>
    </row>
    <row r="101" spans="1:3" x14ac:dyDescent="0.25">
      <c r="A101" s="86" t="s">
        <v>1368</v>
      </c>
      <c r="B101" s="89" t="s">
        <v>1369</v>
      </c>
    </row>
    <row r="102" spans="1:3" x14ac:dyDescent="0.25">
      <c r="A102" s="86" t="s">
        <v>1370</v>
      </c>
      <c r="B102" s="89" t="s">
        <v>1367</v>
      </c>
    </row>
    <row r="103" spans="1:3" x14ac:dyDescent="0.25">
      <c r="A103" s="86" t="s">
        <v>1371</v>
      </c>
      <c r="B103" s="92"/>
    </row>
    <row r="104" spans="1:3" x14ac:dyDescent="0.25">
      <c r="A104" s="86" t="s">
        <v>1372</v>
      </c>
      <c r="B104" s="88" t="s">
        <v>1177</v>
      </c>
    </row>
    <row r="105" spans="1:3" x14ac:dyDescent="0.25">
      <c r="A105" s="86" t="s">
        <v>1373</v>
      </c>
      <c r="B105" s="92" t="s">
        <v>1374</v>
      </c>
      <c r="C105" s="90" t="s">
        <v>1375</v>
      </c>
    </row>
    <row r="106" spans="1:3" x14ac:dyDescent="0.25">
      <c r="A106" s="86" t="s">
        <v>1376</v>
      </c>
      <c r="B106" s="92" t="s">
        <v>1377</v>
      </c>
    </row>
    <row r="107" spans="1:3" x14ac:dyDescent="0.25">
      <c r="A107" s="86" t="s">
        <v>1378</v>
      </c>
      <c r="B107" s="92" t="s">
        <v>1379</v>
      </c>
    </row>
    <row r="108" spans="1:3" x14ac:dyDescent="0.25">
      <c r="A108" s="86" t="s">
        <v>1380</v>
      </c>
      <c r="B108" s="92" t="s">
        <v>1381</v>
      </c>
    </row>
    <row r="109" spans="1:3" x14ac:dyDescent="0.25">
      <c r="A109" s="86" t="s">
        <v>1382</v>
      </c>
      <c r="B109" s="92" t="s">
        <v>1383</v>
      </c>
    </row>
    <row r="110" spans="1:3" x14ac:dyDescent="0.25">
      <c r="A110" s="86" t="s">
        <v>1384</v>
      </c>
      <c r="B110" s="92" t="s">
        <v>1385</v>
      </c>
    </row>
    <row r="111" spans="1:3" x14ac:dyDescent="0.25">
      <c r="A111" s="86" t="s">
        <v>1386</v>
      </c>
      <c r="B111" s="92" t="s">
        <v>1387</v>
      </c>
    </row>
    <row r="112" spans="1:3" x14ac:dyDescent="0.25">
      <c r="A112" s="86" t="s">
        <v>1388</v>
      </c>
      <c r="B112" s="92" t="s">
        <v>1389</v>
      </c>
    </row>
    <row r="113" spans="1:3" x14ac:dyDescent="0.25">
      <c r="A113" s="86" t="s">
        <v>1390</v>
      </c>
      <c r="B113" s="88" t="s">
        <v>1362</v>
      </c>
    </row>
    <row r="114" spans="1:3" x14ac:dyDescent="0.25">
      <c r="A114" s="86" t="s">
        <v>1391</v>
      </c>
      <c r="B114" s="88" t="s">
        <v>1392</v>
      </c>
    </row>
    <row r="115" spans="1:3" x14ac:dyDescent="0.25">
      <c r="A115" s="86" t="s">
        <v>1393</v>
      </c>
      <c r="B115" s="92"/>
    </row>
    <row r="116" spans="1:3" x14ac:dyDescent="0.25">
      <c r="A116" s="86" t="s">
        <v>1394</v>
      </c>
      <c r="B116" s="89" t="s">
        <v>1367</v>
      </c>
    </row>
    <row r="117" spans="1:3" x14ac:dyDescent="0.25">
      <c r="A117" s="86" t="s">
        <v>1395</v>
      </c>
      <c r="B117" s="89" t="s">
        <v>1396</v>
      </c>
    </row>
    <row r="118" spans="1:3" x14ac:dyDescent="0.25">
      <c r="A118" s="86" t="s">
        <v>1397</v>
      </c>
      <c r="B118" s="89" t="s">
        <v>1367</v>
      </c>
    </row>
    <row r="119" spans="1:3" x14ac:dyDescent="0.25">
      <c r="A119" s="86" t="s">
        <v>1398</v>
      </c>
      <c r="B119" s="92"/>
    </row>
    <row r="120" spans="1:3" x14ac:dyDescent="0.25">
      <c r="A120" s="86" t="s">
        <v>1399</v>
      </c>
      <c r="B120" s="88" t="s">
        <v>1177</v>
      </c>
    </row>
    <row r="121" spans="1:3" x14ac:dyDescent="0.25">
      <c r="A121" s="86" t="s">
        <v>1400</v>
      </c>
      <c r="B121" s="92" t="s">
        <v>1401</v>
      </c>
      <c r="C121" s="90" t="s">
        <v>1402</v>
      </c>
    </row>
    <row r="122" spans="1:3" x14ac:dyDescent="0.25">
      <c r="A122" s="86" t="s">
        <v>1403</v>
      </c>
      <c r="B122" s="92" t="s">
        <v>1404</v>
      </c>
      <c r="C122" s="90" t="s">
        <v>1405</v>
      </c>
    </row>
    <row r="123" spans="1:3" x14ac:dyDescent="0.25">
      <c r="A123" s="86" t="s">
        <v>1406</v>
      </c>
      <c r="B123" s="92" t="s">
        <v>1407</v>
      </c>
    </row>
    <row r="124" spans="1:3" x14ac:dyDescent="0.25">
      <c r="A124" s="86" t="s">
        <v>1408</v>
      </c>
      <c r="B124" s="92" t="s">
        <v>1409</v>
      </c>
    </row>
    <row r="125" spans="1:3" x14ac:dyDescent="0.25">
      <c r="A125" s="86" t="s">
        <v>1410</v>
      </c>
      <c r="B125" s="92" t="s">
        <v>1411</v>
      </c>
    </row>
    <row r="126" spans="1:3" x14ac:dyDescent="0.25">
      <c r="A126" s="86" t="s">
        <v>1412</v>
      </c>
      <c r="B126" s="92" t="s">
        <v>1413</v>
      </c>
    </row>
    <row r="127" spans="1:3" x14ac:dyDescent="0.25">
      <c r="A127" s="86" t="s">
        <v>1414</v>
      </c>
      <c r="B127" s="88" t="s">
        <v>1362</v>
      </c>
    </row>
    <row r="128" spans="1:3" x14ac:dyDescent="0.25">
      <c r="A128" s="86" t="s">
        <v>1415</v>
      </c>
      <c r="B128" s="88" t="s">
        <v>1416</v>
      </c>
    </row>
  </sheetData>
  <mergeCells count="19">
    <mergeCell ref="E9:K9"/>
    <mergeCell ref="A1:C1"/>
    <mergeCell ref="A2:C2"/>
    <mergeCell ref="A3:C3"/>
    <mergeCell ref="E1:K1"/>
    <mergeCell ref="E2:K2"/>
    <mergeCell ref="E3:K3"/>
    <mergeCell ref="E4:K4"/>
    <mergeCell ref="E5:K5"/>
    <mergeCell ref="E6:K6"/>
    <mergeCell ref="E7:K7"/>
    <mergeCell ref="E8:K8"/>
    <mergeCell ref="E16:K16"/>
    <mergeCell ref="E10:K10"/>
    <mergeCell ref="E11:K11"/>
    <mergeCell ref="E12:K12"/>
    <mergeCell ref="E13:K13"/>
    <mergeCell ref="E14:K14"/>
    <mergeCell ref="E15:K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8B4B-28FC-4F48-B16F-C5B60FEDB9DD}">
  <sheetPr>
    <tabColor rgb="FF2980B9"/>
  </sheetPr>
  <dimension ref="A1:S64"/>
  <sheetViews>
    <sheetView workbookViewId="0">
      <selection sqref="A1:Q1"/>
    </sheetView>
  </sheetViews>
  <sheetFormatPr baseColWidth="10" defaultRowHeight="15" x14ac:dyDescent="0.25"/>
  <cols>
    <col min="1" max="1" width="13.28515625" customWidth="1"/>
    <col min="2" max="2" width="16" customWidth="1"/>
    <col min="3" max="3" width="9.28515625" customWidth="1"/>
    <col min="4" max="4" width="24" customWidth="1"/>
    <col min="5" max="5" width="13.28515625" customWidth="1"/>
    <col min="6" max="6" width="50.7109375" customWidth="1"/>
    <col min="7" max="7" width="10.7109375" customWidth="1"/>
    <col min="8" max="8" width="29.28515625" customWidth="1"/>
    <col min="9" max="9" width="42.7109375" customWidth="1"/>
    <col min="10" max="10" width="37.28515625" customWidth="1"/>
    <col min="11" max="11" width="18.7109375" customWidth="1"/>
    <col min="12" max="13" width="10.7109375" customWidth="1"/>
    <col min="14" max="14" width="13.28515625" customWidth="1"/>
    <col min="15" max="17" width="24" customWidth="1"/>
  </cols>
  <sheetData>
    <row r="1" spans="1:19" ht="17.25" x14ac:dyDescent="0.3">
      <c r="A1" s="532" t="s">
        <v>1417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16"/>
      <c r="S1" s="16"/>
    </row>
    <row r="2" spans="1:19" x14ac:dyDescent="0.25">
      <c r="A2" s="530" t="s">
        <v>1418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16"/>
      <c r="S2" s="16"/>
    </row>
    <row r="3" spans="1:19" x14ac:dyDescent="0.25">
      <c r="A3" s="14" t="s">
        <v>1419</v>
      </c>
      <c r="B3" s="14" t="s">
        <v>1420</v>
      </c>
      <c r="C3" s="14" t="s">
        <v>866</v>
      </c>
      <c r="D3" s="14" t="s">
        <v>1421</v>
      </c>
      <c r="E3" s="14" t="s">
        <v>863</v>
      </c>
      <c r="F3" s="14" t="s">
        <v>864</v>
      </c>
      <c r="G3" s="14" t="s">
        <v>867</v>
      </c>
      <c r="H3" s="14" t="s">
        <v>1422</v>
      </c>
      <c r="I3" s="14" t="s">
        <v>981</v>
      </c>
      <c r="J3" s="14" t="s">
        <v>982</v>
      </c>
      <c r="K3" s="14" t="s">
        <v>986</v>
      </c>
      <c r="L3" s="14" t="s">
        <v>1423</v>
      </c>
      <c r="M3" s="14" t="s">
        <v>72</v>
      </c>
      <c r="N3" s="14" t="s">
        <v>1424</v>
      </c>
      <c r="O3" s="14" t="s">
        <v>865</v>
      </c>
      <c r="P3" s="14" t="s">
        <v>1425</v>
      </c>
      <c r="Q3" s="14" t="s">
        <v>1426</v>
      </c>
      <c r="R3" s="16"/>
      <c r="S3" s="16"/>
    </row>
    <row r="4" spans="1:19" x14ac:dyDescent="0.25">
      <c r="A4" s="82">
        <v>2025</v>
      </c>
      <c r="B4" s="82" t="s">
        <v>1427</v>
      </c>
      <c r="C4" s="82">
        <v>1</v>
      </c>
      <c r="D4" s="82" t="s">
        <v>26</v>
      </c>
      <c r="E4" s="82">
        <v>701000</v>
      </c>
      <c r="F4" s="82" t="s">
        <v>869</v>
      </c>
      <c r="G4" s="82" t="s">
        <v>870</v>
      </c>
      <c r="H4" s="82" t="s">
        <v>1428</v>
      </c>
      <c r="I4" s="82" t="s">
        <v>328</v>
      </c>
      <c r="J4" s="82" t="s">
        <v>989</v>
      </c>
      <c r="K4" s="82" t="s">
        <v>274</v>
      </c>
      <c r="L4" s="82" t="b">
        <v>0</v>
      </c>
      <c r="M4" s="82" t="s">
        <v>77</v>
      </c>
      <c r="N4" s="82">
        <v>1</v>
      </c>
      <c r="O4" s="82">
        <v>12800000</v>
      </c>
      <c r="P4" s="82">
        <v>12800000</v>
      </c>
      <c r="Q4" s="82" t="s">
        <v>1429</v>
      </c>
      <c r="R4" s="16"/>
      <c r="S4" s="16"/>
    </row>
    <row r="5" spans="1:19" x14ac:dyDescent="0.25">
      <c r="A5" s="82">
        <v>2025</v>
      </c>
      <c r="B5" s="82" t="s">
        <v>1427</v>
      </c>
      <c r="C5" s="82">
        <v>2</v>
      </c>
      <c r="D5" s="82" t="s">
        <v>26</v>
      </c>
      <c r="E5" s="82">
        <v>701000</v>
      </c>
      <c r="F5" s="82" t="s">
        <v>869</v>
      </c>
      <c r="G5" s="82" t="s">
        <v>870</v>
      </c>
      <c r="H5" s="82" t="s">
        <v>1428</v>
      </c>
      <c r="I5" s="82" t="s">
        <v>328</v>
      </c>
      <c r="J5" s="82" t="s">
        <v>989</v>
      </c>
      <c r="K5" s="82" t="s">
        <v>274</v>
      </c>
      <c r="L5" s="82" t="b">
        <v>0</v>
      </c>
      <c r="M5" s="82" t="s">
        <v>77</v>
      </c>
      <c r="N5" s="82">
        <v>1</v>
      </c>
      <c r="O5" s="82">
        <v>14200000</v>
      </c>
      <c r="P5" s="82">
        <v>14200000</v>
      </c>
      <c r="Q5" s="82" t="s">
        <v>1429</v>
      </c>
      <c r="R5" s="16"/>
      <c r="S5" s="16"/>
    </row>
    <row r="6" spans="1:19" x14ac:dyDescent="0.25">
      <c r="A6" s="82">
        <v>2025</v>
      </c>
      <c r="B6" s="82" t="s">
        <v>1427</v>
      </c>
      <c r="C6" s="82">
        <v>3</v>
      </c>
      <c r="D6" s="82" t="s">
        <v>26</v>
      </c>
      <c r="E6" s="82">
        <v>701000</v>
      </c>
      <c r="F6" s="82" t="s">
        <v>869</v>
      </c>
      <c r="G6" s="82" t="s">
        <v>870</v>
      </c>
      <c r="H6" s="82" t="s">
        <v>1428</v>
      </c>
      <c r="I6" s="82" t="s">
        <v>328</v>
      </c>
      <c r="J6" s="82" t="s">
        <v>989</v>
      </c>
      <c r="K6" s="82" t="s">
        <v>274</v>
      </c>
      <c r="L6" s="82" t="b">
        <v>0</v>
      </c>
      <c r="M6" s="82" t="s">
        <v>77</v>
      </c>
      <c r="N6" s="82">
        <v>1</v>
      </c>
      <c r="O6" s="82">
        <v>18500000</v>
      </c>
      <c r="P6" s="82">
        <v>18500000</v>
      </c>
      <c r="Q6" s="82" t="s">
        <v>1429</v>
      </c>
    </row>
    <row r="7" spans="1:19" x14ac:dyDescent="0.25">
      <c r="A7" s="82">
        <v>2025</v>
      </c>
      <c r="B7" s="82" t="s">
        <v>1430</v>
      </c>
      <c r="C7" s="82">
        <v>4</v>
      </c>
      <c r="D7" s="82" t="s">
        <v>26</v>
      </c>
      <c r="E7" s="82">
        <v>701000</v>
      </c>
      <c r="F7" s="82" t="s">
        <v>869</v>
      </c>
      <c r="G7" s="82" t="s">
        <v>870</v>
      </c>
      <c r="H7" s="82" t="s">
        <v>1428</v>
      </c>
      <c r="I7" s="82" t="s">
        <v>328</v>
      </c>
      <c r="J7" s="82" t="s">
        <v>989</v>
      </c>
      <c r="K7" s="82" t="s">
        <v>274</v>
      </c>
      <c r="L7" s="82" t="b">
        <v>0</v>
      </c>
      <c r="M7" s="82" t="s">
        <v>77</v>
      </c>
      <c r="N7" s="82">
        <v>1</v>
      </c>
      <c r="O7" s="82">
        <v>21000000</v>
      </c>
      <c r="P7" s="82">
        <v>21000000</v>
      </c>
      <c r="Q7" s="82" t="s">
        <v>1429</v>
      </c>
    </row>
    <row r="8" spans="1:19" x14ac:dyDescent="0.25">
      <c r="A8" s="82">
        <v>2025</v>
      </c>
      <c r="B8" s="82" t="s">
        <v>1430</v>
      </c>
      <c r="C8" s="82">
        <v>5</v>
      </c>
      <c r="D8" s="82" t="s">
        <v>26</v>
      </c>
      <c r="E8" s="82">
        <v>701000</v>
      </c>
      <c r="F8" s="82" t="s">
        <v>869</v>
      </c>
      <c r="G8" s="82" t="s">
        <v>870</v>
      </c>
      <c r="H8" s="82" t="s">
        <v>1428</v>
      </c>
      <c r="I8" s="82" t="s">
        <v>328</v>
      </c>
      <c r="J8" s="82" t="s">
        <v>989</v>
      </c>
      <c r="K8" s="82" t="s">
        <v>274</v>
      </c>
      <c r="L8" s="82" t="b">
        <v>0</v>
      </c>
      <c r="M8" s="82" t="s">
        <v>77</v>
      </c>
      <c r="N8" s="82">
        <v>1</v>
      </c>
      <c r="O8" s="82">
        <v>19800000</v>
      </c>
      <c r="P8" s="82">
        <v>19800000</v>
      </c>
      <c r="Q8" s="82" t="s">
        <v>1429</v>
      </c>
    </row>
    <row r="9" spans="1:19" x14ac:dyDescent="0.25">
      <c r="A9" s="82">
        <v>2025</v>
      </c>
      <c r="B9" s="82" t="s">
        <v>1430</v>
      </c>
      <c r="C9" s="82">
        <v>6</v>
      </c>
      <c r="D9" s="82" t="s">
        <v>26</v>
      </c>
      <c r="E9" s="82">
        <v>701000</v>
      </c>
      <c r="F9" s="82" t="s">
        <v>869</v>
      </c>
      <c r="G9" s="82" t="s">
        <v>870</v>
      </c>
      <c r="H9" s="82" t="s">
        <v>1428</v>
      </c>
      <c r="I9" s="82" t="s">
        <v>328</v>
      </c>
      <c r="J9" s="82" t="s">
        <v>989</v>
      </c>
      <c r="K9" s="82" t="s">
        <v>274</v>
      </c>
      <c r="L9" s="82" t="b">
        <v>0</v>
      </c>
      <c r="M9" s="82" t="s">
        <v>77</v>
      </c>
      <c r="N9" s="82">
        <v>1</v>
      </c>
      <c r="O9" s="82">
        <v>22500000</v>
      </c>
      <c r="P9" s="82">
        <v>22500000</v>
      </c>
      <c r="Q9" s="82" t="s">
        <v>1429</v>
      </c>
    </row>
    <row r="10" spans="1:19" x14ac:dyDescent="0.25">
      <c r="A10" s="82">
        <v>2025</v>
      </c>
      <c r="B10" s="82" t="s">
        <v>1431</v>
      </c>
      <c r="C10" s="82">
        <v>7</v>
      </c>
      <c r="D10" s="82" t="s">
        <v>26</v>
      </c>
      <c r="E10" s="82">
        <v>701000</v>
      </c>
      <c r="F10" s="82" t="s">
        <v>869</v>
      </c>
      <c r="G10" s="82" t="s">
        <v>870</v>
      </c>
      <c r="H10" s="82" t="s">
        <v>1428</v>
      </c>
      <c r="I10" s="82" t="s">
        <v>328</v>
      </c>
      <c r="J10" s="82" t="s">
        <v>989</v>
      </c>
      <c r="K10" s="82" t="s">
        <v>274</v>
      </c>
      <c r="L10" s="82" t="b">
        <v>0</v>
      </c>
      <c r="M10" s="82" t="s">
        <v>77</v>
      </c>
      <c r="N10" s="82">
        <v>1</v>
      </c>
      <c r="O10" s="82">
        <v>24200000</v>
      </c>
      <c r="P10" s="82">
        <v>24200000</v>
      </c>
      <c r="Q10" s="82" t="s">
        <v>1429</v>
      </c>
    </row>
    <row r="11" spans="1:19" x14ac:dyDescent="0.25">
      <c r="A11" s="82">
        <v>2025</v>
      </c>
      <c r="B11" s="82" t="s">
        <v>1431</v>
      </c>
      <c r="C11" s="82">
        <v>8</v>
      </c>
      <c r="D11" s="82" t="s">
        <v>26</v>
      </c>
      <c r="E11" s="82">
        <v>701000</v>
      </c>
      <c r="F11" s="82" t="s">
        <v>869</v>
      </c>
      <c r="G11" s="82" t="s">
        <v>870</v>
      </c>
      <c r="H11" s="82" t="s">
        <v>1428</v>
      </c>
      <c r="I11" s="82" t="s">
        <v>328</v>
      </c>
      <c r="J11" s="82" t="s">
        <v>989</v>
      </c>
      <c r="K11" s="82" t="s">
        <v>274</v>
      </c>
      <c r="L11" s="82" t="b">
        <v>0</v>
      </c>
      <c r="M11" s="82" t="s">
        <v>77</v>
      </c>
      <c r="N11" s="82">
        <v>1</v>
      </c>
      <c r="O11" s="82">
        <v>28000000</v>
      </c>
      <c r="P11" s="82">
        <v>28000000</v>
      </c>
      <c r="Q11" s="82" t="s">
        <v>1429</v>
      </c>
    </row>
    <row r="12" spans="1:19" x14ac:dyDescent="0.25">
      <c r="A12" s="82">
        <v>2025</v>
      </c>
      <c r="B12" s="82" t="s">
        <v>1431</v>
      </c>
      <c r="C12" s="82">
        <v>9</v>
      </c>
      <c r="D12" s="82" t="s">
        <v>26</v>
      </c>
      <c r="E12" s="82">
        <v>701000</v>
      </c>
      <c r="F12" s="82" t="s">
        <v>869</v>
      </c>
      <c r="G12" s="82" t="s">
        <v>870</v>
      </c>
      <c r="H12" s="82" t="s">
        <v>1428</v>
      </c>
      <c r="I12" s="82" t="s">
        <v>328</v>
      </c>
      <c r="J12" s="82" t="s">
        <v>989</v>
      </c>
      <c r="K12" s="82" t="s">
        <v>274</v>
      </c>
      <c r="L12" s="82" t="b">
        <v>0</v>
      </c>
      <c r="M12" s="82" t="s">
        <v>77</v>
      </c>
      <c r="N12" s="82">
        <v>1</v>
      </c>
      <c r="O12" s="82">
        <v>26500000</v>
      </c>
      <c r="P12" s="82">
        <v>26500000</v>
      </c>
      <c r="Q12" s="82" t="s">
        <v>1429</v>
      </c>
    </row>
    <row r="13" spans="1:19" x14ac:dyDescent="0.25">
      <c r="A13" s="82">
        <v>2025</v>
      </c>
      <c r="B13" s="82" t="s">
        <v>1432</v>
      </c>
      <c r="C13" s="82">
        <v>10</v>
      </c>
      <c r="D13" s="82" t="s">
        <v>26</v>
      </c>
      <c r="E13" s="82">
        <v>701000</v>
      </c>
      <c r="F13" s="82" t="s">
        <v>869</v>
      </c>
      <c r="G13" s="82" t="s">
        <v>870</v>
      </c>
      <c r="H13" s="82" t="s">
        <v>1428</v>
      </c>
      <c r="I13" s="82" t="s">
        <v>328</v>
      </c>
      <c r="J13" s="82" t="s">
        <v>989</v>
      </c>
      <c r="K13" s="82" t="s">
        <v>274</v>
      </c>
      <c r="L13" s="82" t="b">
        <v>0</v>
      </c>
      <c r="M13" s="82" t="s">
        <v>77</v>
      </c>
      <c r="N13" s="82">
        <v>1</v>
      </c>
      <c r="O13" s="82">
        <v>30500000</v>
      </c>
      <c r="P13" s="82">
        <v>30500000</v>
      </c>
      <c r="Q13" s="82" t="s">
        <v>1429</v>
      </c>
    </row>
    <row r="14" spans="1:19" x14ac:dyDescent="0.25">
      <c r="A14" s="82">
        <v>2025</v>
      </c>
      <c r="B14" s="82" t="s">
        <v>1432</v>
      </c>
      <c r="C14" s="82">
        <v>11</v>
      </c>
      <c r="D14" s="82" t="s">
        <v>26</v>
      </c>
      <c r="E14" s="82">
        <v>701000</v>
      </c>
      <c r="F14" s="82" t="s">
        <v>869</v>
      </c>
      <c r="G14" s="82" t="s">
        <v>870</v>
      </c>
      <c r="H14" s="82" t="s">
        <v>1428</v>
      </c>
      <c r="I14" s="82" t="s">
        <v>328</v>
      </c>
      <c r="J14" s="82" t="s">
        <v>989</v>
      </c>
      <c r="K14" s="82" t="s">
        <v>274</v>
      </c>
      <c r="L14" s="82" t="b">
        <v>0</v>
      </c>
      <c r="M14" s="82" t="s">
        <v>77</v>
      </c>
      <c r="N14" s="82">
        <v>1</v>
      </c>
      <c r="O14" s="82">
        <v>34000000</v>
      </c>
      <c r="P14" s="82">
        <v>34000000</v>
      </c>
      <c r="Q14" s="82" t="s">
        <v>1429</v>
      </c>
    </row>
    <row r="15" spans="1:19" x14ac:dyDescent="0.25">
      <c r="A15" s="82">
        <v>2025</v>
      </c>
      <c r="B15" s="82" t="s">
        <v>1432</v>
      </c>
      <c r="C15" s="82">
        <v>12</v>
      </c>
      <c r="D15" s="82" t="s">
        <v>26</v>
      </c>
      <c r="E15" s="82">
        <v>701000</v>
      </c>
      <c r="F15" s="82" t="s">
        <v>869</v>
      </c>
      <c r="G15" s="82" t="s">
        <v>870</v>
      </c>
      <c r="H15" s="82" t="s">
        <v>1428</v>
      </c>
      <c r="I15" s="82" t="s">
        <v>328</v>
      </c>
      <c r="J15" s="82" t="s">
        <v>989</v>
      </c>
      <c r="K15" s="82" t="s">
        <v>274</v>
      </c>
      <c r="L15" s="82" t="b">
        <v>0</v>
      </c>
      <c r="M15" s="82" t="s">
        <v>77</v>
      </c>
      <c r="N15" s="82">
        <v>1</v>
      </c>
      <c r="O15" s="82">
        <v>33000000</v>
      </c>
      <c r="P15" s="82">
        <v>33000000</v>
      </c>
      <c r="Q15" s="82" t="s">
        <v>1429</v>
      </c>
    </row>
    <row r="16" spans="1:19" x14ac:dyDescent="0.25">
      <c r="A16" s="26">
        <v>2025</v>
      </c>
      <c r="B16" s="26" t="s">
        <v>1427</v>
      </c>
      <c r="C16" s="26">
        <v>3</v>
      </c>
      <c r="D16" s="26" t="s">
        <v>26</v>
      </c>
      <c r="E16" s="26">
        <v>708500</v>
      </c>
      <c r="F16" s="26" t="s">
        <v>1433</v>
      </c>
      <c r="G16" s="26" t="s">
        <v>870</v>
      </c>
      <c r="H16" s="26" t="s">
        <v>1434</v>
      </c>
      <c r="I16" s="26" t="s">
        <v>1002</v>
      </c>
      <c r="J16" s="26" t="s">
        <v>1003</v>
      </c>
      <c r="K16" s="26" t="s">
        <v>244</v>
      </c>
      <c r="L16" s="93" t="b">
        <v>1</v>
      </c>
      <c r="M16" s="26" t="s">
        <v>77</v>
      </c>
      <c r="N16" s="26">
        <v>1</v>
      </c>
      <c r="O16" s="26">
        <v>4200000</v>
      </c>
      <c r="P16" s="26">
        <v>4200000</v>
      </c>
      <c r="Q16" s="26" t="s">
        <v>1429</v>
      </c>
    </row>
    <row r="17" spans="1:17" x14ac:dyDescent="0.25">
      <c r="A17" s="26">
        <v>2025</v>
      </c>
      <c r="B17" s="26" t="s">
        <v>1430</v>
      </c>
      <c r="C17" s="26">
        <v>6</v>
      </c>
      <c r="D17" s="26" t="s">
        <v>26</v>
      </c>
      <c r="E17" s="26">
        <v>708500</v>
      </c>
      <c r="F17" s="26" t="s">
        <v>1433</v>
      </c>
      <c r="G17" s="26" t="s">
        <v>870</v>
      </c>
      <c r="H17" s="26" t="s">
        <v>1434</v>
      </c>
      <c r="I17" s="26" t="s">
        <v>1002</v>
      </c>
      <c r="J17" s="26" t="s">
        <v>1003</v>
      </c>
      <c r="K17" s="26" t="s">
        <v>244</v>
      </c>
      <c r="L17" s="93" t="b">
        <v>1</v>
      </c>
      <c r="M17" s="26" t="s">
        <v>77</v>
      </c>
      <c r="N17" s="26">
        <v>1</v>
      </c>
      <c r="O17" s="26">
        <v>4500000</v>
      </c>
      <c r="P17" s="26">
        <v>4500000</v>
      </c>
      <c r="Q17" s="26" t="s">
        <v>1429</v>
      </c>
    </row>
    <row r="18" spans="1:17" x14ac:dyDescent="0.25">
      <c r="A18" s="26">
        <v>2025</v>
      </c>
      <c r="B18" s="26" t="s">
        <v>1431</v>
      </c>
      <c r="C18" s="26">
        <v>9</v>
      </c>
      <c r="D18" s="26" t="s">
        <v>26</v>
      </c>
      <c r="E18" s="26">
        <v>708500</v>
      </c>
      <c r="F18" s="26" t="s">
        <v>1433</v>
      </c>
      <c r="G18" s="26" t="s">
        <v>870</v>
      </c>
      <c r="H18" s="26" t="s">
        <v>1434</v>
      </c>
      <c r="I18" s="26" t="s">
        <v>1002</v>
      </c>
      <c r="J18" s="26" t="s">
        <v>1003</v>
      </c>
      <c r="K18" s="26" t="s">
        <v>244</v>
      </c>
      <c r="L18" s="93" t="b">
        <v>1</v>
      </c>
      <c r="M18" s="26" t="s">
        <v>77</v>
      </c>
      <c r="N18" s="26">
        <v>1</v>
      </c>
      <c r="O18" s="26">
        <v>5000000</v>
      </c>
      <c r="P18" s="26">
        <v>5000000</v>
      </c>
      <c r="Q18" s="26" t="s">
        <v>1429</v>
      </c>
    </row>
    <row r="19" spans="1:17" x14ac:dyDescent="0.25">
      <c r="A19" s="26">
        <v>2025</v>
      </c>
      <c r="B19" s="26" t="s">
        <v>1432</v>
      </c>
      <c r="C19" s="26">
        <v>12</v>
      </c>
      <c r="D19" s="26" t="s">
        <v>26</v>
      </c>
      <c r="E19" s="26">
        <v>708500</v>
      </c>
      <c r="F19" s="26" t="s">
        <v>1433</v>
      </c>
      <c r="G19" s="26" t="s">
        <v>870</v>
      </c>
      <c r="H19" s="26" t="s">
        <v>1434</v>
      </c>
      <c r="I19" s="26" t="s">
        <v>1002</v>
      </c>
      <c r="J19" s="26" t="s">
        <v>1003</v>
      </c>
      <c r="K19" s="26" t="s">
        <v>244</v>
      </c>
      <c r="L19" s="93" t="b">
        <v>1</v>
      </c>
      <c r="M19" s="26" t="s">
        <v>77</v>
      </c>
      <c r="N19" s="26">
        <v>1</v>
      </c>
      <c r="O19" s="26">
        <v>4800000</v>
      </c>
      <c r="P19" s="26">
        <v>4800000</v>
      </c>
      <c r="Q19" s="26" t="s">
        <v>1429</v>
      </c>
    </row>
    <row r="20" spans="1:17" x14ac:dyDescent="0.25">
      <c r="A20" s="82">
        <v>2025</v>
      </c>
      <c r="B20" s="82" t="s">
        <v>1430</v>
      </c>
      <c r="C20" s="82">
        <v>6</v>
      </c>
      <c r="D20" s="82" t="s">
        <v>26</v>
      </c>
      <c r="E20" s="82">
        <v>601000</v>
      </c>
      <c r="F20" s="82" t="s">
        <v>874</v>
      </c>
      <c r="G20" s="82" t="s">
        <v>875</v>
      </c>
      <c r="H20" s="82" t="s">
        <v>1428</v>
      </c>
      <c r="I20" s="82" t="s">
        <v>1018</v>
      </c>
      <c r="J20" s="82" t="s">
        <v>1019</v>
      </c>
      <c r="K20" s="82" t="s">
        <v>216</v>
      </c>
      <c r="L20" s="82" t="b">
        <v>0</v>
      </c>
      <c r="M20" s="82" t="s">
        <v>77</v>
      </c>
      <c r="N20" s="82">
        <v>1</v>
      </c>
      <c r="O20" s="82">
        <v>-38500000</v>
      </c>
      <c r="P20" s="82">
        <v>-38500000</v>
      </c>
      <c r="Q20" s="82" t="s">
        <v>1429</v>
      </c>
    </row>
    <row r="21" spans="1:17" x14ac:dyDescent="0.25">
      <c r="A21" s="82">
        <v>2025</v>
      </c>
      <c r="B21" s="82" t="s">
        <v>1432</v>
      </c>
      <c r="C21" s="82">
        <v>12</v>
      </c>
      <c r="D21" s="82" t="s">
        <v>26</v>
      </c>
      <c r="E21" s="82">
        <v>601000</v>
      </c>
      <c r="F21" s="82" t="s">
        <v>874</v>
      </c>
      <c r="G21" s="82" t="s">
        <v>875</v>
      </c>
      <c r="H21" s="82" t="s">
        <v>1428</v>
      </c>
      <c r="I21" s="82" t="s">
        <v>1018</v>
      </c>
      <c r="J21" s="82" t="s">
        <v>1019</v>
      </c>
      <c r="K21" s="82" t="s">
        <v>216</v>
      </c>
      <c r="L21" s="82" t="b">
        <v>0</v>
      </c>
      <c r="M21" s="82" t="s">
        <v>77</v>
      </c>
      <c r="N21" s="82">
        <v>1</v>
      </c>
      <c r="O21" s="82">
        <v>-40200000</v>
      </c>
      <c r="P21" s="82">
        <v>-40200000</v>
      </c>
      <c r="Q21" s="82" t="s">
        <v>1429</v>
      </c>
    </row>
    <row r="22" spans="1:17" x14ac:dyDescent="0.25">
      <c r="A22" s="82">
        <v>2025</v>
      </c>
      <c r="B22" s="82" t="s">
        <v>1430</v>
      </c>
      <c r="C22" s="82">
        <v>6</v>
      </c>
      <c r="D22" s="82" t="s">
        <v>26</v>
      </c>
      <c r="E22" s="82">
        <v>631000</v>
      </c>
      <c r="F22" s="82" t="s">
        <v>278</v>
      </c>
      <c r="G22" s="82" t="s">
        <v>875</v>
      </c>
      <c r="H22" s="82" t="s">
        <v>1428</v>
      </c>
      <c r="I22" s="82" t="s">
        <v>278</v>
      </c>
      <c r="J22" s="82" t="s">
        <v>1044</v>
      </c>
      <c r="K22" s="82" t="s">
        <v>242</v>
      </c>
      <c r="L22" s="82" t="b">
        <v>0</v>
      </c>
      <c r="M22" s="82" t="s">
        <v>77</v>
      </c>
      <c r="N22" s="82">
        <v>1</v>
      </c>
      <c r="O22" s="82">
        <v>-32500000</v>
      </c>
      <c r="P22" s="82">
        <v>-32500000</v>
      </c>
      <c r="Q22" s="82" t="s">
        <v>1429</v>
      </c>
    </row>
    <row r="23" spans="1:17" x14ac:dyDescent="0.25">
      <c r="A23" s="82">
        <v>2025</v>
      </c>
      <c r="B23" s="82" t="s">
        <v>1432</v>
      </c>
      <c r="C23" s="82">
        <v>12</v>
      </c>
      <c r="D23" s="82" t="s">
        <v>26</v>
      </c>
      <c r="E23" s="82">
        <v>631000</v>
      </c>
      <c r="F23" s="82" t="s">
        <v>278</v>
      </c>
      <c r="G23" s="82" t="s">
        <v>875</v>
      </c>
      <c r="H23" s="82" t="s">
        <v>1428</v>
      </c>
      <c r="I23" s="82" t="s">
        <v>278</v>
      </c>
      <c r="J23" s="82" t="s">
        <v>1044</v>
      </c>
      <c r="K23" s="82" t="s">
        <v>242</v>
      </c>
      <c r="L23" s="82" t="b">
        <v>0</v>
      </c>
      <c r="M23" s="82" t="s">
        <v>77</v>
      </c>
      <c r="N23" s="82">
        <v>1</v>
      </c>
      <c r="O23" s="82">
        <v>-34200000</v>
      </c>
      <c r="P23" s="82">
        <v>-34200000</v>
      </c>
      <c r="Q23" s="82" t="s">
        <v>1429</v>
      </c>
    </row>
    <row r="24" spans="1:17" x14ac:dyDescent="0.25">
      <c r="A24" s="82">
        <v>2025</v>
      </c>
      <c r="B24" s="82" t="s">
        <v>1430</v>
      </c>
      <c r="C24" s="82">
        <v>6</v>
      </c>
      <c r="D24" s="82" t="s">
        <v>26</v>
      </c>
      <c r="E24" s="82">
        <v>681100</v>
      </c>
      <c r="F24" s="82" t="s">
        <v>1435</v>
      </c>
      <c r="G24" s="82" t="s">
        <v>875</v>
      </c>
      <c r="H24" s="82" t="s">
        <v>1428</v>
      </c>
      <c r="I24" s="82" t="s">
        <v>509</v>
      </c>
      <c r="J24" s="82" t="s">
        <v>1054</v>
      </c>
      <c r="K24" s="82" t="s">
        <v>1027</v>
      </c>
      <c r="L24" s="82" t="b">
        <v>0</v>
      </c>
      <c r="M24" s="82" t="s">
        <v>77</v>
      </c>
      <c r="N24" s="82">
        <v>1</v>
      </c>
      <c r="O24" s="82">
        <v>-10200000</v>
      </c>
      <c r="P24" s="82">
        <v>-10200000</v>
      </c>
      <c r="Q24" s="82" t="s">
        <v>1429</v>
      </c>
    </row>
    <row r="25" spans="1:17" x14ac:dyDescent="0.25">
      <c r="A25" s="82">
        <v>2025</v>
      </c>
      <c r="B25" s="82" t="s">
        <v>1432</v>
      </c>
      <c r="C25" s="82">
        <v>12</v>
      </c>
      <c r="D25" s="82" t="s">
        <v>26</v>
      </c>
      <c r="E25" s="82">
        <v>681100</v>
      </c>
      <c r="F25" s="82" t="s">
        <v>1435</v>
      </c>
      <c r="G25" s="82" t="s">
        <v>875</v>
      </c>
      <c r="H25" s="82" t="s">
        <v>1428</v>
      </c>
      <c r="I25" s="82" t="s">
        <v>509</v>
      </c>
      <c r="J25" s="82" t="s">
        <v>1054</v>
      </c>
      <c r="K25" s="82" t="s">
        <v>1027</v>
      </c>
      <c r="L25" s="82" t="b">
        <v>0</v>
      </c>
      <c r="M25" s="82" t="s">
        <v>77</v>
      </c>
      <c r="N25" s="82">
        <v>1</v>
      </c>
      <c r="O25" s="82">
        <v>-11800000</v>
      </c>
      <c r="P25" s="82">
        <v>-11800000</v>
      </c>
      <c r="Q25" s="82" t="s">
        <v>1429</v>
      </c>
    </row>
    <row r="26" spans="1:17" x14ac:dyDescent="0.25">
      <c r="A26" s="52">
        <v>2025</v>
      </c>
      <c r="B26" s="52" t="s">
        <v>1432</v>
      </c>
      <c r="C26" s="52">
        <v>12</v>
      </c>
      <c r="D26" s="52" t="s">
        <v>26</v>
      </c>
      <c r="E26" s="52">
        <v>761000</v>
      </c>
      <c r="F26" s="52" t="s">
        <v>1436</v>
      </c>
      <c r="G26" s="52" t="s">
        <v>870</v>
      </c>
      <c r="H26" s="52" t="s">
        <v>1437</v>
      </c>
      <c r="I26" s="52" t="s">
        <v>1072</v>
      </c>
      <c r="J26" s="52" t="s">
        <v>1073</v>
      </c>
      <c r="K26" s="52" t="s">
        <v>287</v>
      </c>
      <c r="L26" s="93" t="b">
        <v>1</v>
      </c>
      <c r="M26" s="52" t="s">
        <v>77</v>
      </c>
      <c r="N26" s="52">
        <v>1</v>
      </c>
      <c r="O26" s="52">
        <v>4200000</v>
      </c>
      <c r="P26" s="52">
        <v>4200000</v>
      </c>
      <c r="Q26" s="52" t="s">
        <v>1429</v>
      </c>
    </row>
    <row r="27" spans="1:17" x14ac:dyDescent="0.25">
      <c r="A27" s="52">
        <v>2025</v>
      </c>
      <c r="B27" s="52" t="s">
        <v>1431</v>
      </c>
      <c r="C27" s="52">
        <v>9</v>
      </c>
      <c r="D27" s="52" t="s">
        <v>26</v>
      </c>
      <c r="E27" s="52">
        <v>762000</v>
      </c>
      <c r="F27" s="52" t="s">
        <v>1438</v>
      </c>
      <c r="G27" s="52" t="s">
        <v>870</v>
      </c>
      <c r="H27" s="52" t="s">
        <v>1437</v>
      </c>
      <c r="I27" s="52" t="s">
        <v>1072</v>
      </c>
      <c r="J27" s="52" t="s">
        <v>1076</v>
      </c>
      <c r="K27" s="52" t="s">
        <v>287</v>
      </c>
      <c r="L27" s="52" t="b">
        <v>0</v>
      </c>
      <c r="M27" s="52" t="s">
        <v>77</v>
      </c>
      <c r="N27" s="52">
        <v>1</v>
      </c>
      <c r="O27" s="52">
        <v>1500000</v>
      </c>
      <c r="P27" s="52">
        <v>1500000</v>
      </c>
      <c r="Q27" s="52" t="s">
        <v>1429</v>
      </c>
    </row>
    <row r="28" spans="1:17" x14ac:dyDescent="0.25">
      <c r="A28" s="52">
        <v>2025</v>
      </c>
      <c r="B28" s="52" t="s">
        <v>1432</v>
      </c>
      <c r="C28" s="52">
        <v>12</v>
      </c>
      <c r="D28" s="52" t="s">
        <v>26</v>
      </c>
      <c r="E28" s="52">
        <v>764000</v>
      </c>
      <c r="F28" s="52" t="s">
        <v>1439</v>
      </c>
      <c r="G28" s="52" t="s">
        <v>870</v>
      </c>
      <c r="H28" s="52" t="s">
        <v>1437</v>
      </c>
      <c r="I28" s="52" t="s">
        <v>1072</v>
      </c>
      <c r="J28" s="52" t="s">
        <v>332</v>
      </c>
      <c r="K28" s="52" t="s">
        <v>287</v>
      </c>
      <c r="L28" s="52" t="b">
        <v>0</v>
      </c>
      <c r="M28" s="52" t="s">
        <v>77</v>
      </c>
      <c r="N28" s="52">
        <v>1</v>
      </c>
      <c r="O28" s="52">
        <v>890000</v>
      </c>
      <c r="P28" s="52">
        <v>890000</v>
      </c>
      <c r="Q28" s="52" t="s">
        <v>1429</v>
      </c>
    </row>
    <row r="29" spans="1:17" x14ac:dyDescent="0.25">
      <c r="A29" s="83">
        <v>2025</v>
      </c>
      <c r="B29" s="83" t="s">
        <v>1430</v>
      </c>
      <c r="C29" s="83">
        <v>6</v>
      </c>
      <c r="D29" s="83" t="s">
        <v>26</v>
      </c>
      <c r="E29" s="83">
        <v>661100</v>
      </c>
      <c r="F29" s="83" t="s">
        <v>884</v>
      </c>
      <c r="G29" s="83" t="s">
        <v>875</v>
      </c>
      <c r="H29" s="83" t="s">
        <v>1440</v>
      </c>
      <c r="I29" s="83" t="s">
        <v>1084</v>
      </c>
      <c r="J29" s="83" t="s">
        <v>334</v>
      </c>
      <c r="K29" s="83" t="s">
        <v>294</v>
      </c>
      <c r="L29" s="83" t="b">
        <v>0</v>
      </c>
      <c r="M29" s="83" t="s">
        <v>77</v>
      </c>
      <c r="N29" s="83">
        <v>1</v>
      </c>
      <c r="O29" s="83">
        <v>-4200000</v>
      </c>
      <c r="P29" s="83">
        <v>-4200000</v>
      </c>
      <c r="Q29" s="83" t="s">
        <v>1429</v>
      </c>
    </row>
    <row r="30" spans="1:17" x14ac:dyDescent="0.25">
      <c r="A30" s="83">
        <v>2025</v>
      </c>
      <c r="B30" s="83" t="s">
        <v>1432</v>
      </c>
      <c r="C30" s="83">
        <v>12</v>
      </c>
      <c r="D30" s="83" t="s">
        <v>26</v>
      </c>
      <c r="E30" s="83">
        <v>661100</v>
      </c>
      <c r="F30" s="83" t="s">
        <v>884</v>
      </c>
      <c r="G30" s="83" t="s">
        <v>875</v>
      </c>
      <c r="H30" s="83" t="s">
        <v>1440</v>
      </c>
      <c r="I30" s="83" t="s">
        <v>1084</v>
      </c>
      <c r="J30" s="83" t="s">
        <v>334</v>
      </c>
      <c r="K30" s="83" t="s">
        <v>294</v>
      </c>
      <c r="L30" s="83" t="b">
        <v>0</v>
      </c>
      <c r="M30" s="83" t="s">
        <v>77</v>
      </c>
      <c r="N30" s="83">
        <v>1</v>
      </c>
      <c r="O30" s="83">
        <v>-4000000</v>
      </c>
      <c r="P30" s="83">
        <v>-4000000</v>
      </c>
      <c r="Q30" s="83" t="s">
        <v>1429</v>
      </c>
    </row>
    <row r="31" spans="1:17" x14ac:dyDescent="0.25">
      <c r="A31" s="84">
        <v>2025</v>
      </c>
      <c r="B31" s="84" t="s">
        <v>1432</v>
      </c>
      <c r="C31" s="84">
        <v>12</v>
      </c>
      <c r="D31" s="84" t="s">
        <v>26</v>
      </c>
      <c r="E31" s="84">
        <v>695000</v>
      </c>
      <c r="F31" s="84" t="s">
        <v>586</v>
      </c>
      <c r="G31" s="84" t="s">
        <v>875</v>
      </c>
      <c r="H31" s="84" t="s">
        <v>1441</v>
      </c>
      <c r="I31" s="84" t="s">
        <v>1095</v>
      </c>
      <c r="J31" s="84" t="s">
        <v>1096</v>
      </c>
      <c r="K31" s="84" t="s">
        <v>209</v>
      </c>
      <c r="L31" s="84" t="b">
        <v>0</v>
      </c>
      <c r="M31" s="84" t="s">
        <v>77</v>
      </c>
      <c r="N31" s="84">
        <v>1</v>
      </c>
      <c r="O31" s="84">
        <v>-12400000</v>
      </c>
      <c r="P31" s="84">
        <v>-12400000</v>
      </c>
      <c r="Q31" s="84" t="s">
        <v>1429</v>
      </c>
    </row>
    <row r="32" spans="1:17" x14ac:dyDescent="0.25">
      <c r="A32" s="82">
        <v>2025</v>
      </c>
      <c r="B32" s="82" t="s">
        <v>1430</v>
      </c>
      <c r="C32" s="82">
        <v>6</v>
      </c>
      <c r="D32" s="82" t="s">
        <v>31</v>
      </c>
      <c r="E32" s="82">
        <v>701000</v>
      </c>
      <c r="F32" s="82" t="s">
        <v>1442</v>
      </c>
      <c r="G32" s="82" t="s">
        <v>870</v>
      </c>
      <c r="H32" s="82" t="s">
        <v>1428</v>
      </c>
      <c r="I32" s="82" t="s">
        <v>328</v>
      </c>
      <c r="J32" s="82" t="s">
        <v>989</v>
      </c>
      <c r="K32" s="82" t="s">
        <v>274</v>
      </c>
      <c r="L32" s="82" t="b">
        <v>0</v>
      </c>
      <c r="M32" s="82" t="s">
        <v>77</v>
      </c>
      <c r="N32" s="82">
        <v>1</v>
      </c>
      <c r="O32" s="82">
        <v>42000000</v>
      </c>
      <c r="P32" s="82">
        <v>42000000</v>
      </c>
      <c r="Q32" s="82" t="s">
        <v>1443</v>
      </c>
    </row>
    <row r="33" spans="1:17" x14ac:dyDescent="0.25">
      <c r="A33" s="82">
        <v>2025</v>
      </c>
      <c r="B33" s="82" t="s">
        <v>1432</v>
      </c>
      <c r="C33" s="82">
        <v>12</v>
      </c>
      <c r="D33" s="82" t="s">
        <v>31</v>
      </c>
      <c r="E33" s="82">
        <v>701000</v>
      </c>
      <c r="F33" s="82" t="s">
        <v>1442</v>
      </c>
      <c r="G33" s="82" t="s">
        <v>870</v>
      </c>
      <c r="H33" s="82" t="s">
        <v>1428</v>
      </c>
      <c r="I33" s="82" t="s">
        <v>328</v>
      </c>
      <c r="J33" s="82" t="s">
        <v>989</v>
      </c>
      <c r="K33" s="82" t="s">
        <v>274</v>
      </c>
      <c r="L33" s="82" t="b">
        <v>0</v>
      </c>
      <c r="M33" s="82" t="s">
        <v>77</v>
      </c>
      <c r="N33" s="82">
        <v>1</v>
      </c>
      <c r="O33" s="82">
        <v>51200000</v>
      </c>
      <c r="P33" s="82">
        <v>51200000</v>
      </c>
      <c r="Q33" s="82" t="s">
        <v>1443</v>
      </c>
    </row>
    <row r="34" spans="1:17" x14ac:dyDescent="0.25">
      <c r="A34" s="82">
        <v>2025</v>
      </c>
      <c r="B34" s="82" t="s">
        <v>1430</v>
      </c>
      <c r="C34" s="82">
        <v>6</v>
      </c>
      <c r="D34" s="82" t="s">
        <v>31</v>
      </c>
      <c r="E34" s="82">
        <v>601000</v>
      </c>
      <c r="F34" s="82" t="s">
        <v>1444</v>
      </c>
      <c r="G34" s="82" t="s">
        <v>875</v>
      </c>
      <c r="H34" s="82" t="s">
        <v>1428</v>
      </c>
      <c r="I34" s="82" t="s">
        <v>1018</v>
      </c>
      <c r="J34" s="82" t="s">
        <v>1019</v>
      </c>
      <c r="K34" s="82" t="s">
        <v>216</v>
      </c>
      <c r="L34" s="82" t="b">
        <v>0</v>
      </c>
      <c r="M34" s="82" t="s">
        <v>77</v>
      </c>
      <c r="N34" s="82">
        <v>1</v>
      </c>
      <c r="O34" s="82">
        <v>-36800000</v>
      </c>
      <c r="P34" s="82">
        <v>-36800000</v>
      </c>
      <c r="Q34" s="82" t="s">
        <v>1443</v>
      </c>
    </row>
    <row r="35" spans="1:17" x14ac:dyDescent="0.25">
      <c r="A35" s="82">
        <v>2025</v>
      </c>
      <c r="B35" s="82" t="s">
        <v>1432</v>
      </c>
      <c r="C35" s="82">
        <v>12</v>
      </c>
      <c r="D35" s="82" t="s">
        <v>31</v>
      </c>
      <c r="E35" s="82">
        <v>601000</v>
      </c>
      <c r="F35" s="82" t="s">
        <v>1444</v>
      </c>
      <c r="G35" s="82" t="s">
        <v>875</v>
      </c>
      <c r="H35" s="82" t="s">
        <v>1428</v>
      </c>
      <c r="I35" s="82" t="s">
        <v>1018</v>
      </c>
      <c r="J35" s="82" t="s">
        <v>1019</v>
      </c>
      <c r="K35" s="82" t="s">
        <v>216</v>
      </c>
      <c r="L35" s="82" t="b">
        <v>0</v>
      </c>
      <c r="M35" s="82" t="s">
        <v>77</v>
      </c>
      <c r="N35" s="82">
        <v>1</v>
      </c>
      <c r="O35" s="82">
        <v>-43500000</v>
      </c>
      <c r="P35" s="82">
        <v>-43500000</v>
      </c>
      <c r="Q35" s="82" t="s">
        <v>1443</v>
      </c>
    </row>
    <row r="36" spans="1:17" x14ac:dyDescent="0.25">
      <c r="A36" s="82">
        <v>2025</v>
      </c>
      <c r="B36" s="82" t="s">
        <v>1430</v>
      </c>
      <c r="C36" s="82">
        <v>6</v>
      </c>
      <c r="D36" s="82" t="s">
        <v>31</v>
      </c>
      <c r="E36" s="82">
        <v>631000</v>
      </c>
      <c r="F36" s="82" t="s">
        <v>1445</v>
      </c>
      <c r="G36" s="82" t="s">
        <v>875</v>
      </c>
      <c r="H36" s="82" t="s">
        <v>1428</v>
      </c>
      <c r="I36" s="82" t="s">
        <v>278</v>
      </c>
      <c r="J36" s="82" t="s">
        <v>1044</v>
      </c>
      <c r="K36" s="82" t="s">
        <v>242</v>
      </c>
      <c r="L36" s="82" t="b">
        <v>0</v>
      </c>
      <c r="M36" s="82" t="s">
        <v>77</v>
      </c>
      <c r="N36" s="82">
        <v>1</v>
      </c>
      <c r="O36" s="82">
        <v>-21500000</v>
      </c>
      <c r="P36" s="82">
        <v>-21500000</v>
      </c>
      <c r="Q36" s="82" t="s">
        <v>1443</v>
      </c>
    </row>
    <row r="37" spans="1:17" x14ac:dyDescent="0.25">
      <c r="A37" s="82">
        <v>2025</v>
      </c>
      <c r="B37" s="82" t="s">
        <v>1432</v>
      </c>
      <c r="C37" s="82">
        <v>12</v>
      </c>
      <c r="D37" s="82" t="s">
        <v>31</v>
      </c>
      <c r="E37" s="82">
        <v>631000</v>
      </c>
      <c r="F37" s="82" t="s">
        <v>1445</v>
      </c>
      <c r="G37" s="82" t="s">
        <v>875</v>
      </c>
      <c r="H37" s="82" t="s">
        <v>1428</v>
      </c>
      <c r="I37" s="82" t="s">
        <v>278</v>
      </c>
      <c r="J37" s="82" t="s">
        <v>1044</v>
      </c>
      <c r="K37" s="82" t="s">
        <v>242</v>
      </c>
      <c r="L37" s="82" t="b">
        <v>0</v>
      </c>
      <c r="M37" s="82" t="s">
        <v>77</v>
      </c>
      <c r="N37" s="82">
        <v>1</v>
      </c>
      <c r="O37" s="82">
        <v>-24800000</v>
      </c>
      <c r="P37" s="82">
        <v>-24800000</v>
      </c>
      <c r="Q37" s="82" t="s">
        <v>1443</v>
      </c>
    </row>
    <row r="38" spans="1:17" x14ac:dyDescent="0.25">
      <c r="A38" s="52">
        <v>2025</v>
      </c>
      <c r="B38" s="52" t="s">
        <v>1432</v>
      </c>
      <c r="C38" s="52">
        <v>9</v>
      </c>
      <c r="D38" s="52" t="s">
        <v>31</v>
      </c>
      <c r="E38" s="52">
        <v>762000</v>
      </c>
      <c r="F38" s="52" t="s">
        <v>1446</v>
      </c>
      <c r="G38" s="52" t="s">
        <v>870</v>
      </c>
      <c r="H38" s="52" t="s">
        <v>1437</v>
      </c>
      <c r="I38" s="52" t="s">
        <v>1072</v>
      </c>
      <c r="J38" s="52" t="s">
        <v>1076</v>
      </c>
      <c r="K38" s="52" t="s">
        <v>287</v>
      </c>
      <c r="L38" s="52" t="b">
        <v>0</v>
      </c>
      <c r="M38" s="52" t="s">
        <v>77</v>
      </c>
      <c r="N38" s="52">
        <v>1</v>
      </c>
      <c r="O38" s="52">
        <v>800000</v>
      </c>
      <c r="P38" s="52">
        <v>800000</v>
      </c>
      <c r="Q38" s="52" t="s">
        <v>1443</v>
      </c>
    </row>
    <row r="39" spans="1:17" x14ac:dyDescent="0.25">
      <c r="A39" s="83">
        <v>2025</v>
      </c>
      <c r="B39" s="83" t="s">
        <v>1432</v>
      </c>
      <c r="C39" s="83">
        <v>12</v>
      </c>
      <c r="D39" s="83" t="s">
        <v>31</v>
      </c>
      <c r="E39" s="83">
        <v>661100</v>
      </c>
      <c r="F39" s="83" t="s">
        <v>1447</v>
      </c>
      <c r="G39" s="83" t="s">
        <v>875</v>
      </c>
      <c r="H39" s="83" t="s">
        <v>1440</v>
      </c>
      <c r="I39" s="83" t="s">
        <v>1084</v>
      </c>
      <c r="J39" s="83" t="s">
        <v>334</v>
      </c>
      <c r="K39" s="83" t="s">
        <v>294</v>
      </c>
      <c r="L39" s="83" t="b">
        <v>0</v>
      </c>
      <c r="M39" s="83" t="s">
        <v>77</v>
      </c>
      <c r="N39" s="83">
        <v>1</v>
      </c>
      <c r="O39" s="83">
        <v>-4500000</v>
      </c>
      <c r="P39" s="83">
        <v>-4500000</v>
      </c>
      <c r="Q39" s="83" t="s">
        <v>1443</v>
      </c>
    </row>
    <row r="40" spans="1:17" x14ac:dyDescent="0.25">
      <c r="A40" s="84">
        <v>2025</v>
      </c>
      <c r="B40" s="84" t="s">
        <v>1432</v>
      </c>
      <c r="C40" s="84">
        <v>12</v>
      </c>
      <c r="D40" s="84" t="s">
        <v>31</v>
      </c>
      <c r="E40" s="84">
        <v>695000</v>
      </c>
      <c r="F40" s="84" t="s">
        <v>1448</v>
      </c>
      <c r="G40" s="84" t="s">
        <v>875</v>
      </c>
      <c r="H40" s="84" t="s">
        <v>1441</v>
      </c>
      <c r="I40" s="84" t="s">
        <v>1095</v>
      </c>
      <c r="J40" s="84" t="s">
        <v>1096</v>
      </c>
      <c r="K40" s="84" t="s">
        <v>209</v>
      </c>
      <c r="L40" s="84" t="b">
        <v>0</v>
      </c>
      <c r="M40" s="84" t="s">
        <v>77</v>
      </c>
      <c r="N40" s="84">
        <v>1</v>
      </c>
      <c r="O40" s="84">
        <v>-8200000</v>
      </c>
      <c r="P40" s="84">
        <v>-8200000</v>
      </c>
      <c r="Q40" s="84" t="s">
        <v>1443</v>
      </c>
    </row>
    <row r="41" spans="1:17" x14ac:dyDescent="0.25">
      <c r="A41" s="82">
        <v>2025</v>
      </c>
      <c r="B41" s="82" t="s">
        <v>1430</v>
      </c>
      <c r="C41" s="82">
        <v>6</v>
      </c>
      <c r="D41" s="82" t="s">
        <v>33</v>
      </c>
      <c r="E41" s="82">
        <v>701000</v>
      </c>
      <c r="F41" s="82" t="s">
        <v>1449</v>
      </c>
      <c r="G41" s="82" t="s">
        <v>870</v>
      </c>
      <c r="H41" s="82" t="s">
        <v>1428</v>
      </c>
      <c r="I41" s="82" t="s">
        <v>328</v>
      </c>
      <c r="J41" s="82" t="s">
        <v>989</v>
      </c>
      <c r="K41" s="82" t="s">
        <v>274</v>
      </c>
      <c r="L41" s="82" t="b">
        <v>0</v>
      </c>
      <c r="M41" s="82" t="s">
        <v>82</v>
      </c>
      <c r="N41" s="82">
        <v>1.165</v>
      </c>
      <c r="O41" s="82">
        <v>36500000</v>
      </c>
      <c r="P41" s="82">
        <v>42522500</v>
      </c>
      <c r="Q41" s="82" t="s">
        <v>1450</v>
      </c>
    </row>
    <row r="42" spans="1:17" x14ac:dyDescent="0.25">
      <c r="A42" s="82">
        <v>2025</v>
      </c>
      <c r="B42" s="82" t="s">
        <v>1432</v>
      </c>
      <c r="C42" s="82">
        <v>12</v>
      </c>
      <c r="D42" s="82" t="s">
        <v>33</v>
      </c>
      <c r="E42" s="82">
        <v>701000</v>
      </c>
      <c r="F42" s="82" t="s">
        <v>1449</v>
      </c>
      <c r="G42" s="82" t="s">
        <v>870</v>
      </c>
      <c r="H42" s="82" t="s">
        <v>1428</v>
      </c>
      <c r="I42" s="82" t="s">
        <v>328</v>
      </c>
      <c r="J42" s="82" t="s">
        <v>989</v>
      </c>
      <c r="K42" s="82" t="s">
        <v>274</v>
      </c>
      <c r="L42" s="82" t="b">
        <v>0</v>
      </c>
      <c r="M42" s="82" t="s">
        <v>82</v>
      </c>
      <c r="N42" s="82">
        <v>1.165</v>
      </c>
      <c r="O42" s="82">
        <v>44200000</v>
      </c>
      <c r="P42" s="82">
        <v>51493000</v>
      </c>
      <c r="Q42" s="82" t="s">
        <v>1450</v>
      </c>
    </row>
    <row r="43" spans="1:17" x14ac:dyDescent="0.25">
      <c r="A43" s="82">
        <v>2025</v>
      </c>
      <c r="B43" s="82" t="s">
        <v>1430</v>
      </c>
      <c r="C43" s="82">
        <v>6</v>
      </c>
      <c r="D43" s="82" t="s">
        <v>33</v>
      </c>
      <c r="E43" s="82">
        <v>706000</v>
      </c>
      <c r="F43" s="82" t="s">
        <v>921</v>
      </c>
      <c r="G43" s="82" t="s">
        <v>870</v>
      </c>
      <c r="H43" s="82" t="s">
        <v>1428</v>
      </c>
      <c r="I43" s="82" t="s">
        <v>328</v>
      </c>
      <c r="J43" s="82" t="s">
        <v>994</v>
      </c>
      <c r="K43" s="82" t="s">
        <v>274</v>
      </c>
      <c r="L43" s="82" t="b">
        <v>0</v>
      </c>
      <c r="M43" s="82" t="s">
        <v>82</v>
      </c>
      <c r="N43" s="82">
        <v>1.165</v>
      </c>
      <c r="O43" s="82">
        <v>18500000</v>
      </c>
      <c r="P43" s="82">
        <v>21552500</v>
      </c>
      <c r="Q43" s="82" t="s">
        <v>1450</v>
      </c>
    </row>
    <row r="44" spans="1:17" x14ac:dyDescent="0.25">
      <c r="A44" s="82">
        <v>2025</v>
      </c>
      <c r="B44" s="82" t="s">
        <v>1432</v>
      </c>
      <c r="C44" s="82">
        <v>12</v>
      </c>
      <c r="D44" s="82" t="s">
        <v>33</v>
      </c>
      <c r="E44" s="82">
        <v>706000</v>
      </c>
      <c r="F44" s="82" t="s">
        <v>921</v>
      </c>
      <c r="G44" s="82" t="s">
        <v>870</v>
      </c>
      <c r="H44" s="82" t="s">
        <v>1428</v>
      </c>
      <c r="I44" s="82" t="s">
        <v>328</v>
      </c>
      <c r="J44" s="82" t="s">
        <v>994</v>
      </c>
      <c r="K44" s="82" t="s">
        <v>274</v>
      </c>
      <c r="L44" s="82" t="b">
        <v>0</v>
      </c>
      <c r="M44" s="82" t="s">
        <v>82</v>
      </c>
      <c r="N44" s="82">
        <v>1.165</v>
      </c>
      <c r="O44" s="82">
        <v>22800000</v>
      </c>
      <c r="P44" s="82">
        <v>26562000</v>
      </c>
      <c r="Q44" s="82" t="s">
        <v>1450</v>
      </c>
    </row>
    <row r="45" spans="1:17" x14ac:dyDescent="0.25">
      <c r="A45" s="26">
        <v>2025</v>
      </c>
      <c r="B45" s="26" t="s">
        <v>1432</v>
      </c>
      <c r="C45" s="26">
        <v>6</v>
      </c>
      <c r="D45" s="26" t="s">
        <v>33</v>
      </c>
      <c r="E45" s="26">
        <v>708500</v>
      </c>
      <c r="F45" s="26" t="s">
        <v>1451</v>
      </c>
      <c r="G45" s="26" t="s">
        <v>870</v>
      </c>
      <c r="H45" s="26" t="s">
        <v>1434</v>
      </c>
      <c r="I45" s="26" t="s">
        <v>1002</v>
      </c>
      <c r="J45" s="26" t="s">
        <v>1003</v>
      </c>
      <c r="K45" s="26" t="s">
        <v>244</v>
      </c>
      <c r="L45" s="93" t="b">
        <v>1</v>
      </c>
      <c r="M45" s="26" t="s">
        <v>82</v>
      </c>
      <c r="N45" s="26">
        <v>1.165</v>
      </c>
      <c r="O45" s="26">
        <v>5200000</v>
      </c>
      <c r="P45" s="26">
        <v>6058000</v>
      </c>
      <c r="Q45" s="26" t="s">
        <v>1450</v>
      </c>
    </row>
    <row r="46" spans="1:17" x14ac:dyDescent="0.25">
      <c r="A46" s="26">
        <v>2025</v>
      </c>
      <c r="B46" s="26" t="s">
        <v>1432</v>
      </c>
      <c r="C46" s="26">
        <v>12</v>
      </c>
      <c r="D46" s="26" t="s">
        <v>33</v>
      </c>
      <c r="E46" s="26">
        <v>708500</v>
      </c>
      <c r="F46" s="26" t="s">
        <v>1451</v>
      </c>
      <c r="G46" s="26" t="s">
        <v>870</v>
      </c>
      <c r="H46" s="26" t="s">
        <v>1434</v>
      </c>
      <c r="I46" s="26" t="s">
        <v>1002</v>
      </c>
      <c r="J46" s="26" t="s">
        <v>1003</v>
      </c>
      <c r="K46" s="26" t="s">
        <v>244</v>
      </c>
      <c r="L46" s="93" t="b">
        <v>1</v>
      </c>
      <c r="M46" s="26" t="s">
        <v>82</v>
      </c>
      <c r="N46" s="26">
        <v>1.165</v>
      </c>
      <c r="O46" s="26">
        <v>5800000</v>
      </c>
      <c r="P46" s="26">
        <v>6757000</v>
      </c>
      <c r="Q46" s="26" t="s">
        <v>1450</v>
      </c>
    </row>
    <row r="47" spans="1:17" x14ac:dyDescent="0.25">
      <c r="A47" s="82">
        <v>2025</v>
      </c>
      <c r="B47" s="82" t="s">
        <v>1430</v>
      </c>
      <c r="C47" s="82">
        <v>6</v>
      </c>
      <c r="D47" s="82" t="s">
        <v>33</v>
      </c>
      <c r="E47" s="82">
        <v>631000</v>
      </c>
      <c r="F47" s="82" t="s">
        <v>1452</v>
      </c>
      <c r="G47" s="82" t="s">
        <v>875</v>
      </c>
      <c r="H47" s="82" t="s">
        <v>1428</v>
      </c>
      <c r="I47" s="82" t="s">
        <v>278</v>
      </c>
      <c r="J47" s="82" t="s">
        <v>1044</v>
      </c>
      <c r="K47" s="82" t="s">
        <v>242</v>
      </c>
      <c r="L47" s="82" t="b">
        <v>0</v>
      </c>
      <c r="M47" s="82" t="s">
        <v>82</v>
      </c>
      <c r="N47" s="82">
        <v>1.165</v>
      </c>
      <c r="O47" s="82">
        <v>-18500000</v>
      </c>
      <c r="P47" s="82">
        <v>-21552500</v>
      </c>
      <c r="Q47" s="82" t="s">
        <v>1450</v>
      </c>
    </row>
    <row r="48" spans="1:17" x14ac:dyDescent="0.25">
      <c r="A48" s="82">
        <v>2025</v>
      </c>
      <c r="B48" s="82" t="s">
        <v>1432</v>
      </c>
      <c r="C48" s="82">
        <v>12</v>
      </c>
      <c r="D48" s="82" t="s">
        <v>33</v>
      </c>
      <c r="E48" s="82">
        <v>631000</v>
      </c>
      <c r="F48" s="82" t="s">
        <v>1452</v>
      </c>
      <c r="G48" s="82" t="s">
        <v>875</v>
      </c>
      <c r="H48" s="82" t="s">
        <v>1428</v>
      </c>
      <c r="I48" s="82" t="s">
        <v>278</v>
      </c>
      <c r="J48" s="82" t="s">
        <v>1044</v>
      </c>
      <c r="K48" s="82" t="s">
        <v>242</v>
      </c>
      <c r="L48" s="82" t="b">
        <v>0</v>
      </c>
      <c r="M48" s="82" t="s">
        <v>82</v>
      </c>
      <c r="N48" s="82">
        <v>1.165</v>
      </c>
      <c r="O48" s="82">
        <v>-20800000</v>
      </c>
      <c r="P48" s="82">
        <v>-24232000</v>
      </c>
      <c r="Q48" s="82" t="s">
        <v>1450</v>
      </c>
    </row>
    <row r="49" spans="1:17" x14ac:dyDescent="0.25">
      <c r="A49" s="83">
        <v>2025</v>
      </c>
      <c r="B49" s="83" t="s">
        <v>1432</v>
      </c>
      <c r="C49" s="83">
        <v>12</v>
      </c>
      <c r="D49" s="83" t="s">
        <v>33</v>
      </c>
      <c r="E49" s="83">
        <v>661100</v>
      </c>
      <c r="F49" s="83" t="s">
        <v>949</v>
      </c>
      <c r="G49" s="83" t="s">
        <v>875</v>
      </c>
      <c r="H49" s="83" t="s">
        <v>1440</v>
      </c>
      <c r="I49" s="83" t="s">
        <v>1084</v>
      </c>
      <c r="J49" s="83" t="s">
        <v>334</v>
      </c>
      <c r="K49" s="83" t="s">
        <v>294</v>
      </c>
      <c r="L49" s="83" t="b">
        <v>0</v>
      </c>
      <c r="M49" s="83" t="s">
        <v>82</v>
      </c>
      <c r="N49" s="83">
        <v>1.165</v>
      </c>
      <c r="O49" s="83">
        <v>-5200000</v>
      </c>
      <c r="P49" s="83">
        <v>-6058000</v>
      </c>
      <c r="Q49" s="83" t="s">
        <v>1450</v>
      </c>
    </row>
    <row r="50" spans="1:17" x14ac:dyDescent="0.25">
      <c r="A50" s="84">
        <v>2025</v>
      </c>
      <c r="B50" s="84" t="s">
        <v>1432</v>
      </c>
      <c r="C50" s="84">
        <v>12</v>
      </c>
      <c r="D50" s="84" t="s">
        <v>33</v>
      </c>
      <c r="E50" s="84">
        <v>695000</v>
      </c>
      <c r="F50" s="84" t="s">
        <v>1453</v>
      </c>
      <c r="G50" s="84" t="s">
        <v>875</v>
      </c>
      <c r="H50" s="84" t="s">
        <v>1441</v>
      </c>
      <c r="I50" s="84" t="s">
        <v>1095</v>
      </c>
      <c r="J50" s="84" t="s">
        <v>1096</v>
      </c>
      <c r="K50" s="84" t="s">
        <v>209</v>
      </c>
      <c r="L50" s="84" t="b">
        <v>0</v>
      </c>
      <c r="M50" s="84" t="s">
        <v>82</v>
      </c>
      <c r="N50" s="84">
        <v>1.165</v>
      </c>
      <c r="O50" s="84">
        <v>-9800000</v>
      </c>
      <c r="P50" s="84">
        <v>-11417000</v>
      </c>
      <c r="Q50" s="84" t="s">
        <v>1450</v>
      </c>
    </row>
    <row r="51" spans="1:17" x14ac:dyDescent="0.25">
      <c r="A51" s="82">
        <v>2025</v>
      </c>
      <c r="B51" s="82" t="s">
        <v>1430</v>
      </c>
      <c r="C51" s="82">
        <v>6</v>
      </c>
      <c r="D51" s="82" t="s">
        <v>35</v>
      </c>
      <c r="E51" s="82">
        <v>701000</v>
      </c>
      <c r="F51" s="82" t="s">
        <v>1454</v>
      </c>
      <c r="G51" s="82" t="s">
        <v>870</v>
      </c>
      <c r="H51" s="82" t="s">
        <v>1428</v>
      </c>
      <c r="I51" s="82" t="s">
        <v>328</v>
      </c>
      <c r="J51" s="82" t="s">
        <v>989</v>
      </c>
      <c r="K51" s="82" t="s">
        <v>274</v>
      </c>
      <c r="L51" s="82" t="b">
        <v>0</v>
      </c>
      <c r="M51" s="82" t="s">
        <v>84</v>
      </c>
      <c r="N51" s="82">
        <v>0.91800000000000004</v>
      </c>
      <c r="O51" s="82">
        <v>48500000</v>
      </c>
      <c r="P51" s="82">
        <v>44523000</v>
      </c>
      <c r="Q51" s="82" t="s">
        <v>1455</v>
      </c>
    </row>
    <row r="52" spans="1:17" x14ac:dyDescent="0.25">
      <c r="A52" s="82">
        <v>2025</v>
      </c>
      <c r="B52" s="82" t="s">
        <v>1432</v>
      </c>
      <c r="C52" s="82">
        <v>12</v>
      </c>
      <c r="D52" s="82" t="s">
        <v>35</v>
      </c>
      <c r="E52" s="82">
        <v>701000</v>
      </c>
      <c r="F52" s="82" t="s">
        <v>1454</v>
      </c>
      <c r="G52" s="82" t="s">
        <v>870</v>
      </c>
      <c r="H52" s="82" t="s">
        <v>1428</v>
      </c>
      <c r="I52" s="82" t="s">
        <v>328</v>
      </c>
      <c r="J52" s="82" t="s">
        <v>989</v>
      </c>
      <c r="K52" s="82" t="s">
        <v>274</v>
      </c>
      <c r="L52" s="82" t="b">
        <v>0</v>
      </c>
      <c r="M52" s="82" t="s">
        <v>84</v>
      </c>
      <c r="N52" s="82">
        <v>0.91800000000000004</v>
      </c>
      <c r="O52" s="82">
        <v>62800000</v>
      </c>
      <c r="P52" s="82">
        <v>57650400</v>
      </c>
      <c r="Q52" s="82" t="s">
        <v>1455</v>
      </c>
    </row>
    <row r="53" spans="1:17" x14ac:dyDescent="0.25">
      <c r="A53" s="82">
        <v>2025</v>
      </c>
      <c r="B53" s="82" t="s">
        <v>1430</v>
      </c>
      <c r="C53" s="82">
        <v>6</v>
      </c>
      <c r="D53" s="82" t="s">
        <v>35</v>
      </c>
      <c r="E53" s="82">
        <v>631000</v>
      </c>
      <c r="F53" s="82" t="s">
        <v>945</v>
      </c>
      <c r="G53" s="82" t="s">
        <v>875</v>
      </c>
      <c r="H53" s="82" t="s">
        <v>1428</v>
      </c>
      <c r="I53" s="82" t="s">
        <v>278</v>
      </c>
      <c r="J53" s="82" t="s">
        <v>1044</v>
      </c>
      <c r="K53" s="82" t="s">
        <v>242</v>
      </c>
      <c r="L53" s="82" t="b">
        <v>0</v>
      </c>
      <c r="M53" s="82" t="s">
        <v>84</v>
      </c>
      <c r="N53" s="82">
        <v>0.91800000000000004</v>
      </c>
      <c r="O53" s="82">
        <v>-24200000</v>
      </c>
      <c r="P53" s="82">
        <v>-22215600</v>
      </c>
      <c r="Q53" s="82" t="s">
        <v>1455</v>
      </c>
    </row>
    <row r="54" spans="1:17" x14ac:dyDescent="0.25">
      <c r="A54" s="82">
        <v>2025</v>
      </c>
      <c r="B54" s="82" t="s">
        <v>1432</v>
      </c>
      <c r="C54" s="82">
        <v>12</v>
      </c>
      <c r="D54" s="82" t="s">
        <v>35</v>
      </c>
      <c r="E54" s="82">
        <v>631000</v>
      </c>
      <c r="F54" s="82" t="s">
        <v>945</v>
      </c>
      <c r="G54" s="82" t="s">
        <v>875</v>
      </c>
      <c r="H54" s="82" t="s">
        <v>1428</v>
      </c>
      <c r="I54" s="82" t="s">
        <v>278</v>
      </c>
      <c r="J54" s="82" t="s">
        <v>1044</v>
      </c>
      <c r="K54" s="82" t="s">
        <v>242</v>
      </c>
      <c r="L54" s="82" t="b">
        <v>0</v>
      </c>
      <c r="M54" s="82" t="s">
        <v>84</v>
      </c>
      <c r="N54" s="82">
        <v>0.91800000000000004</v>
      </c>
      <c r="O54" s="82">
        <v>-28500000</v>
      </c>
      <c r="P54" s="82">
        <v>-26163000</v>
      </c>
      <c r="Q54" s="82" t="s">
        <v>1455</v>
      </c>
    </row>
    <row r="55" spans="1:17" x14ac:dyDescent="0.25">
      <c r="A55" s="83">
        <v>2025</v>
      </c>
      <c r="B55" s="83" t="s">
        <v>1432</v>
      </c>
      <c r="C55" s="83">
        <v>12</v>
      </c>
      <c r="D55" s="83" t="s">
        <v>35</v>
      </c>
      <c r="E55" s="83">
        <v>661100</v>
      </c>
      <c r="F55" s="83" t="s">
        <v>949</v>
      </c>
      <c r="G55" s="83" t="s">
        <v>875</v>
      </c>
      <c r="H55" s="83" t="s">
        <v>1440</v>
      </c>
      <c r="I55" s="83" t="s">
        <v>1084</v>
      </c>
      <c r="J55" s="83" t="s">
        <v>334</v>
      </c>
      <c r="K55" s="83" t="s">
        <v>294</v>
      </c>
      <c r="L55" s="83" t="b">
        <v>0</v>
      </c>
      <c r="M55" s="83" t="s">
        <v>84</v>
      </c>
      <c r="N55" s="83">
        <v>0.91800000000000004</v>
      </c>
      <c r="O55" s="83">
        <v>-7800000</v>
      </c>
      <c r="P55" s="83">
        <v>-7160400</v>
      </c>
      <c r="Q55" s="83" t="s">
        <v>1455</v>
      </c>
    </row>
    <row r="56" spans="1:17" x14ac:dyDescent="0.25">
      <c r="A56" s="84">
        <v>2025</v>
      </c>
      <c r="B56" s="84" t="s">
        <v>1432</v>
      </c>
      <c r="C56" s="84">
        <v>12</v>
      </c>
      <c r="D56" s="84" t="s">
        <v>35</v>
      </c>
      <c r="E56" s="84">
        <v>695000</v>
      </c>
      <c r="F56" s="84" t="s">
        <v>951</v>
      </c>
      <c r="G56" s="84" t="s">
        <v>875</v>
      </c>
      <c r="H56" s="84" t="s">
        <v>1441</v>
      </c>
      <c r="I56" s="84" t="s">
        <v>1095</v>
      </c>
      <c r="J56" s="84" t="s">
        <v>1096</v>
      </c>
      <c r="K56" s="84" t="s">
        <v>209</v>
      </c>
      <c r="L56" s="84" t="b">
        <v>0</v>
      </c>
      <c r="M56" s="84" t="s">
        <v>84</v>
      </c>
      <c r="N56" s="84">
        <v>0.91800000000000004</v>
      </c>
      <c r="O56" s="84">
        <v>-7200000</v>
      </c>
      <c r="P56" s="84">
        <v>-6609600</v>
      </c>
      <c r="Q56" s="84" t="s">
        <v>1455</v>
      </c>
    </row>
    <row r="57" spans="1:17" x14ac:dyDescent="0.25">
      <c r="A57" s="82">
        <v>2025</v>
      </c>
      <c r="B57" s="82" t="s">
        <v>1430</v>
      </c>
      <c r="C57" s="82">
        <v>6</v>
      </c>
      <c r="D57" s="82" t="s">
        <v>37</v>
      </c>
      <c r="E57" s="82">
        <v>701000</v>
      </c>
      <c r="F57" s="82" t="s">
        <v>1456</v>
      </c>
      <c r="G57" s="82" t="s">
        <v>870</v>
      </c>
      <c r="H57" s="82" t="s">
        <v>1428</v>
      </c>
      <c r="I57" s="82" t="s">
        <v>328</v>
      </c>
      <c r="J57" s="82" t="s">
        <v>989</v>
      </c>
      <c r="K57" s="82" t="s">
        <v>274</v>
      </c>
      <c r="L57" s="82" t="b">
        <v>0</v>
      </c>
      <c r="M57" s="82" t="s">
        <v>86</v>
      </c>
      <c r="N57" s="82">
        <v>0.67800000000000005</v>
      </c>
      <c r="O57" s="82">
        <v>22500000</v>
      </c>
      <c r="P57" s="82">
        <v>15255000</v>
      </c>
      <c r="Q57" s="82" t="s">
        <v>1457</v>
      </c>
    </row>
    <row r="58" spans="1:17" x14ac:dyDescent="0.25">
      <c r="A58" s="82">
        <v>2025</v>
      </c>
      <c r="B58" s="82" t="s">
        <v>1432</v>
      </c>
      <c r="C58" s="82">
        <v>12</v>
      </c>
      <c r="D58" s="82" t="s">
        <v>37</v>
      </c>
      <c r="E58" s="82">
        <v>701000</v>
      </c>
      <c r="F58" s="82" t="s">
        <v>1456</v>
      </c>
      <c r="G58" s="82" t="s">
        <v>870</v>
      </c>
      <c r="H58" s="82" t="s">
        <v>1428</v>
      </c>
      <c r="I58" s="82" t="s">
        <v>328</v>
      </c>
      <c r="J58" s="82" t="s">
        <v>989</v>
      </c>
      <c r="K58" s="82" t="s">
        <v>274</v>
      </c>
      <c r="L58" s="82" t="b">
        <v>0</v>
      </c>
      <c r="M58" s="82" t="s">
        <v>86</v>
      </c>
      <c r="N58" s="82">
        <v>0.67800000000000005</v>
      </c>
      <c r="O58" s="82">
        <v>28800000</v>
      </c>
      <c r="P58" s="82">
        <v>19526400</v>
      </c>
      <c r="Q58" s="82" t="s">
        <v>1457</v>
      </c>
    </row>
    <row r="59" spans="1:17" x14ac:dyDescent="0.25">
      <c r="A59" s="82">
        <v>2025</v>
      </c>
      <c r="B59" s="82" t="s">
        <v>1430</v>
      </c>
      <c r="C59" s="82">
        <v>6</v>
      </c>
      <c r="D59" s="82" t="s">
        <v>37</v>
      </c>
      <c r="E59" s="82">
        <v>631000</v>
      </c>
      <c r="F59" s="82" t="s">
        <v>1458</v>
      </c>
      <c r="G59" s="82" t="s">
        <v>875</v>
      </c>
      <c r="H59" s="82" t="s">
        <v>1428</v>
      </c>
      <c r="I59" s="82" t="s">
        <v>278</v>
      </c>
      <c r="J59" s="82" t="s">
        <v>1044</v>
      </c>
      <c r="K59" s="82" t="s">
        <v>242</v>
      </c>
      <c r="L59" s="82" t="b">
        <v>0</v>
      </c>
      <c r="M59" s="82" t="s">
        <v>86</v>
      </c>
      <c r="N59" s="82">
        <v>0.67800000000000005</v>
      </c>
      <c r="O59" s="82">
        <v>-8900000</v>
      </c>
      <c r="P59" s="82">
        <v>-6034200</v>
      </c>
      <c r="Q59" s="82" t="s">
        <v>1457</v>
      </c>
    </row>
    <row r="60" spans="1:17" x14ac:dyDescent="0.25">
      <c r="A60" s="82">
        <v>2025</v>
      </c>
      <c r="B60" s="82" t="s">
        <v>1432</v>
      </c>
      <c r="C60" s="82">
        <v>12</v>
      </c>
      <c r="D60" s="82" t="s">
        <v>37</v>
      </c>
      <c r="E60" s="82">
        <v>631000</v>
      </c>
      <c r="F60" s="82" t="s">
        <v>1458</v>
      </c>
      <c r="G60" s="82" t="s">
        <v>875</v>
      </c>
      <c r="H60" s="82" t="s">
        <v>1428</v>
      </c>
      <c r="I60" s="82" t="s">
        <v>278</v>
      </c>
      <c r="J60" s="82" t="s">
        <v>1044</v>
      </c>
      <c r="K60" s="82" t="s">
        <v>242</v>
      </c>
      <c r="L60" s="82" t="b">
        <v>0</v>
      </c>
      <c r="M60" s="82" t="s">
        <v>86</v>
      </c>
      <c r="N60" s="82">
        <v>0.67800000000000005</v>
      </c>
      <c r="O60" s="82">
        <v>-10200000</v>
      </c>
      <c r="P60" s="82">
        <v>-6915600</v>
      </c>
      <c r="Q60" s="82" t="s">
        <v>1457</v>
      </c>
    </row>
    <row r="61" spans="1:17" x14ac:dyDescent="0.25">
      <c r="A61" s="83">
        <v>2025</v>
      </c>
      <c r="B61" s="83" t="s">
        <v>1432</v>
      </c>
      <c r="C61" s="83">
        <v>12</v>
      </c>
      <c r="D61" s="83" t="s">
        <v>37</v>
      </c>
      <c r="E61" s="83">
        <v>661100</v>
      </c>
      <c r="F61" s="83" t="s">
        <v>949</v>
      </c>
      <c r="G61" s="83" t="s">
        <v>875</v>
      </c>
      <c r="H61" s="83" t="s">
        <v>1440</v>
      </c>
      <c r="I61" s="83" t="s">
        <v>1084</v>
      </c>
      <c r="J61" s="83" t="s">
        <v>334</v>
      </c>
      <c r="K61" s="83" t="s">
        <v>294</v>
      </c>
      <c r="L61" s="83" t="b">
        <v>0</v>
      </c>
      <c r="M61" s="83" t="s">
        <v>86</v>
      </c>
      <c r="N61" s="83">
        <v>0.67800000000000005</v>
      </c>
      <c r="O61" s="83">
        <v>-2800000</v>
      </c>
      <c r="P61" s="83">
        <v>-1898400</v>
      </c>
      <c r="Q61" s="83" t="s">
        <v>1457</v>
      </c>
    </row>
    <row r="62" spans="1:17" x14ac:dyDescent="0.25">
      <c r="A62" s="84">
        <v>2025</v>
      </c>
      <c r="B62" s="84" t="s">
        <v>1432</v>
      </c>
      <c r="C62" s="84">
        <v>12</v>
      </c>
      <c r="D62" s="84" t="s">
        <v>37</v>
      </c>
      <c r="E62" s="84">
        <v>695000</v>
      </c>
      <c r="F62" s="84" t="s">
        <v>970</v>
      </c>
      <c r="G62" s="84" t="s">
        <v>875</v>
      </c>
      <c r="H62" s="84" t="s">
        <v>1441</v>
      </c>
      <c r="I62" s="84" t="s">
        <v>1095</v>
      </c>
      <c r="J62" s="84" t="s">
        <v>1096</v>
      </c>
      <c r="K62" s="84" t="s">
        <v>209</v>
      </c>
      <c r="L62" s="84" t="b">
        <v>0</v>
      </c>
      <c r="M62" s="84" t="s">
        <v>86</v>
      </c>
      <c r="N62" s="84">
        <v>0.67800000000000005</v>
      </c>
      <c r="O62" s="84">
        <v>-3200000</v>
      </c>
      <c r="P62" s="84">
        <v>-2169600</v>
      </c>
      <c r="Q62" s="84" t="s">
        <v>1457</v>
      </c>
    </row>
    <row r="64" spans="1:17" x14ac:dyDescent="0.25">
      <c r="A64" s="563" t="s">
        <v>1459</v>
      </c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3"/>
      <c r="P64" s="563"/>
      <c r="Q64" s="563"/>
    </row>
  </sheetData>
  <mergeCells count="3">
    <mergeCell ref="A1:Q1"/>
    <mergeCell ref="A2:Q2"/>
    <mergeCell ref="A64:Q6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9151-FF58-4A82-B747-8F03D02950B7}">
  <sheetPr>
    <tabColor rgb="FF8E44AD"/>
  </sheetPr>
  <dimension ref="A1:P80"/>
  <sheetViews>
    <sheetView workbookViewId="0">
      <selection activeCell="C36" sqref="C36"/>
    </sheetView>
  </sheetViews>
  <sheetFormatPr baseColWidth="10" defaultRowHeight="15" x14ac:dyDescent="0.25"/>
  <cols>
    <col min="1" max="1" width="24" customWidth="1"/>
    <col min="2" max="2" width="10.7109375" customWidth="1"/>
    <col min="3" max="3" width="26.7109375" customWidth="1"/>
    <col min="4" max="5" width="16" customWidth="1"/>
    <col min="6" max="8" width="24" customWidth="1"/>
    <col min="9" max="9" width="18.7109375" customWidth="1"/>
    <col min="10" max="10" width="32" customWidth="1"/>
    <col min="11" max="11" width="56" customWidth="1"/>
  </cols>
  <sheetData>
    <row r="1" spans="1:16" ht="17.25" x14ac:dyDescent="0.3">
      <c r="A1" s="554" t="s">
        <v>1476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94"/>
      <c r="P1" s="94"/>
    </row>
    <row r="2" spans="1:16" x14ac:dyDescent="0.25">
      <c r="A2" s="564" t="s">
        <v>1477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94"/>
      <c r="P2" s="94"/>
    </row>
    <row r="3" spans="1:16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</row>
    <row r="4" spans="1:16" x14ac:dyDescent="0.25">
      <c r="A4" s="565" t="s">
        <v>1478</v>
      </c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  <c r="N4" s="565"/>
      <c r="O4" s="94"/>
      <c r="P4" s="94"/>
    </row>
    <row r="5" spans="1:16" x14ac:dyDescent="0.25">
      <c r="A5" s="14" t="s">
        <v>72</v>
      </c>
      <c r="B5" s="14" t="s">
        <v>71</v>
      </c>
      <c r="C5" s="14" t="s">
        <v>1479</v>
      </c>
      <c r="D5" s="14" t="s">
        <v>1419</v>
      </c>
      <c r="E5" s="14" t="s">
        <v>866</v>
      </c>
      <c r="F5" s="14" t="s">
        <v>1424</v>
      </c>
      <c r="G5" s="14" t="s">
        <v>1480</v>
      </c>
      <c r="H5" s="14" t="s">
        <v>830</v>
      </c>
      <c r="I5" s="14" t="s">
        <v>1481</v>
      </c>
      <c r="J5" s="14" t="s">
        <v>1482</v>
      </c>
      <c r="K5" s="14" t="s">
        <v>846</v>
      </c>
      <c r="L5" s="94"/>
      <c r="M5" s="94"/>
      <c r="N5" s="94"/>
      <c r="O5" s="94"/>
      <c r="P5" s="94"/>
    </row>
    <row r="6" spans="1:16" x14ac:dyDescent="0.25">
      <c r="A6" s="95" t="s">
        <v>82</v>
      </c>
      <c r="B6" s="95" t="s">
        <v>1483</v>
      </c>
      <c r="C6" s="95" t="s">
        <v>1484</v>
      </c>
      <c r="D6" s="95">
        <v>2025</v>
      </c>
      <c r="E6" s="95">
        <v>12</v>
      </c>
      <c r="F6" s="95">
        <v>1.165</v>
      </c>
      <c r="G6" s="95">
        <v>0.85840000000000005</v>
      </c>
      <c r="H6" s="95" t="s">
        <v>1485</v>
      </c>
      <c r="I6" s="95" t="s">
        <v>1486</v>
      </c>
      <c r="J6" s="95" t="s">
        <v>1487</v>
      </c>
      <c r="K6" s="95" t="s">
        <v>1488</v>
      </c>
      <c r="L6" s="94"/>
      <c r="M6" s="94"/>
      <c r="N6" s="94"/>
      <c r="O6" s="94"/>
      <c r="P6" s="94"/>
    </row>
    <row r="7" spans="1:16" x14ac:dyDescent="0.25">
      <c r="A7" s="95" t="s">
        <v>82</v>
      </c>
      <c r="B7" s="95" t="s">
        <v>1483</v>
      </c>
      <c r="C7" s="95" t="s">
        <v>1489</v>
      </c>
      <c r="D7" s="95">
        <v>2025</v>
      </c>
      <c r="E7" s="95" t="s">
        <v>1490</v>
      </c>
      <c r="F7" s="95">
        <v>1.1519999999999999</v>
      </c>
      <c r="G7" s="95">
        <v>0.86809999999999998</v>
      </c>
      <c r="H7" s="95" t="s">
        <v>1485</v>
      </c>
      <c r="I7" s="95" t="s">
        <v>1491</v>
      </c>
      <c r="J7" s="95" t="s">
        <v>1492</v>
      </c>
      <c r="K7" s="95" t="s">
        <v>1493</v>
      </c>
      <c r="L7" s="94"/>
      <c r="M7" s="94"/>
      <c r="N7" s="94"/>
      <c r="O7" s="94"/>
      <c r="P7" s="94"/>
    </row>
    <row r="8" spans="1:16" x14ac:dyDescent="0.25">
      <c r="A8" s="95" t="s">
        <v>82</v>
      </c>
      <c r="B8" s="95" t="s">
        <v>1483</v>
      </c>
      <c r="C8" s="95" t="s">
        <v>1489</v>
      </c>
      <c r="D8" s="95">
        <v>2025</v>
      </c>
      <c r="E8" s="95" t="s">
        <v>1494</v>
      </c>
      <c r="F8" s="95">
        <v>1.1579999999999999</v>
      </c>
      <c r="G8" s="95">
        <v>0.86350000000000005</v>
      </c>
      <c r="H8" s="95" t="s">
        <v>1485</v>
      </c>
      <c r="I8" s="95" t="s">
        <v>1486</v>
      </c>
      <c r="J8" s="95" t="s">
        <v>1492</v>
      </c>
      <c r="K8" s="95" t="s">
        <v>1495</v>
      </c>
      <c r="L8" s="94"/>
      <c r="M8" s="94"/>
      <c r="N8" s="94"/>
      <c r="O8" s="94"/>
      <c r="P8" s="94"/>
    </row>
    <row r="9" spans="1:16" x14ac:dyDescent="0.25">
      <c r="A9" s="95" t="s">
        <v>82</v>
      </c>
      <c r="B9" s="95" t="s">
        <v>1483</v>
      </c>
      <c r="C9" s="95" t="s">
        <v>1489</v>
      </c>
      <c r="D9" s="95">
        <v>2025</v>
      </c>
      <c r="E9" s="95" t="s">
        <v>1496</v>
      </c>
      <c r="F9" s="95">
        <v>1.155</v>
      </c>
      <c r="G9" s="95">
        <v>0.86580000000000001</v>
      </c>
      <c r="H9" s="95" t="s">
        <v>1485</v>
      </c>
      <c r="I9" s="95" t="s">
        <v>1486</v>
      </c>
      <c r="J9" s="95" t="s">
        <v>1492</v>
      </c>
      <c r="K9" s="95" t="s">
        <v>1497</v>
      </c>
      <c r="L9" s="94"/>
      <c r="M9" s="94"/>
      <c r="N9" s="94"/>
      <c r="O9" s="94"/>
      <c r="P9" s="94"/>
    </row>
    <row r="10" spans="1:16" x14ac:dyDescent="0.25">
      <c r="A10" s="95" t="s">
        <v>82</v>
      </c>
      <c r="B10" s="95" t="s">
        <v>1483</v>
      </c>
      <c r="C10" s="95" t="s">
        <v>1498</v>
      </c>
      <c r="D10" s="95">
        <v>2020</v>
      </c>
      <c r="E10" s="95" t="s">
        <v>1499</v>
      </c>
      <c r="F10" s="95">
        <v>1.1200000000000001</v>
      </c>
      <c r="G10" s="95">
        <v>0.89290000000000003</v>
      </c>
      <c r="H10" s="95" t="s">
        <v>1500</v>
      </c>
      <c r="I10" s="95" t="s">
        <v>415</v>
      </c>
      <c r="J10" s="95" t="s">
        <v>1492</v>
      </c>
      <c r="K10" s="95" t="s">
        <v>1501</v>
      </c>
      <c r="L10" s="94"/>
      <c r="M10" s="94"/>
      <c r="N10" s="94"/>
      <c r="O10" s="94"/>
      <c r="P10" s="94"/>
    </row>
    <row r="11" spans="1:16" x14ac:dyDescent="0.25">
      <c r="A11" s="96" t="s">
        <v>84</v>
      </c>
      <c r="B11" s="96" t="s">
        <v>1502</v>
      </c>
      <c r="C11" s="96" t="s">
        <v>1484</v>
      </c>
      <c r="D11" s="96">
        <v>2025</v>
      </c>
      <c r="E11" s="96">
        <v>12</v>
      </c>
      <c r="F11" s="96">
        <v>0.91800000000000004</v>
      </c>
      <c r="G11" s="96">
        <v>1.0892999999999999</v>
      </c>
      <c r="H11" s="96" t="s">
        <v>1503</v>
      </c>
      <c r="I11" s="96" t="s">
        <v>1486</v>
      </c>
      <c r="J11" s="96" t="s">
        <v>1487</v>
      </c>
      <c r="K11" s="96" t="s">
        <v>1488</v>
      </c>
      <c r="L11" s="94"/>
      <c r="M11" s="94"/>
      <c r="N11" s="94"/>
      <c r="O11" s="94"/>
      <c r="P11" s="94"/>
    </row>
    <row r="12" spans="1:16" x14ac:dyDescent="0.25">
      <c r="A12" s="96" t="s">
        <v>84</v>
      </c>
      <c r="B12" s="96" t="s">
        <v>1502</v>
      </c>
      <c r="C12" s="96" t="s">
        <v>1489</v>
      </c>
      <c r="D12" s="96">
        <v>2025</v>
      </c>
      <c r="E12" s="96" t="s">
        <v>1490</v>
      </c>
      <c r="F12" s="96">
        <v>0.92800000000000005</v>
      </c>
      <c r="G12" s="96">
        <v>1.0775999999999999</v>
      </c>
      <c r="H12" s="96" t="s">
        <v>1503</v>
      </c>
      <c r="I12" s="96" t="s">
        <v>1491</v>
      </c>
      <c r="J12" s="96" t="s">
        <v>1492</v>
      </c>
      <c r="K12" s="96" t="s">
        <v>1493</v>
      </c>
      <c r="L12" s="94"/>
      <c r="M12" s="94"/>
      <c r="N12" s="94"/>
      <c r="O12" s="94"/>
      <c r="P12" s="94"/>
    </row>
    <row r="13" spans="1:16" x14ac:dyDescent="0.25">
      <c r="A13" s="96" t="s">
        <v>84</v>
      </c>
      <c r="B13" s="96" t="s">
        <v>1502</v>
      </c>
      <c r="C13" s="96" t="s">
        <v>1489</v>
      </c>
      <c r="D13" s="96">
        <v>2025</v>
      </c>
      <c r="E13" s="96" t="s">
        <v>1494</v>
      </c>
      <c r="F13" s="96">
        <v>0.92200000000000004</v>
      </c>
      <c r="G13" s="96">
        <v>1.0846</v>
      </c>
      <c r="H13" s="96" t="s">
        <v>1503</v>
      </c>
      <c r="I13" s="96" t="s">
        <v>1486</v>
      </c>
      <c r="J13" s="96" t="s">
        <v>1492</v>
      </c>
      <c r="K13" s="96" t="s">
        <v>1495</v>
      </c>
      <c r="L13" s="94"/>
      <c r="M13" s="94"/>
      <c r="N13" s="94"/>
      <c r="O13" s="94"/>
      <c r="P13" s="94"/>
    </row>
    <row r="14" spans="1:16" x14ac:dyDescent="0.25">
      <c r="A14" s="96" t="s">
        <v>84</v>
      </c>
      <c r="B14" s="96" t="s">
        <v>1502</v>
      </c>
      <c r="C14" s="96" t="s">
        <v>1489</v>
      </c>
      <c r="D14" s="96">
        <v>2025</v>
      </c>
      <c r="E14" s="96" t="s">
        <v>1496</v>
      </c>
      <c r="F14" s="96">
        <v>0.92500000000000004</v>
      </c>
      <c r="G14" s="96">
        <v>1.0810999999999999</v>
      </c>
      <c r="H14" s="96" t="s">
        <v>1503</v>
      </c>
      <c r="I14" s="96" t="s">
        <v>1486</v>
      </c>
      <c r="J14" s="96" t="s">
        <v>1492</v>
      </c>
      <c r="K14" s="96" t="s">
        <v>1497</v>
      </c>
      <c r="L14" s="94"/>
      <c r="M14" s="94"/>
      <c r="N14" s="94"/>
      <c r="O14" s="94"/>
      <c r="P14" s="94"/>
    </row>
    <row r="15" spans="1:16" x14ac:dyDescent="0.25">
      <c r="A15" s="96" t="s">
        <v>84</v>
      </c>
      <c r="B15" s="96" t="s">
        <v>1502</v>
      </c>
      <c r="C15" s="96" t="s">
        <v>1498</v>
      </c>
      <c r="D15" s="96">
        <v>2021</v>
      </c>
      <c r="E15" s="96" t="s">
        <v>1499</v>
      </c>
      <c r="F15" s="96">
        <v>0.84499999999999997</v>
      </c>
      <c r="G15" s="96">
        <v>1.1834</v>
      </c>
      <c r="H15" s="96" t="s">
        <v>1500</v>
      </c>
      <c r="I15" s="97">
        <v>44197</v>
      </c>
      <c r="J15" s="96" t="s">
        <v>1492</v>
      </c>
      <c r="K15" s="96" t="s">
        <v>1504</v>
      </c>
      <c r="L15" s="94"/>
      <c r="M15" s="94"/>
      <c r="N15" s="94"/>
      <c r="O15" s="94"/>
      <c r="P15" s="94"/>
    </row>
    <row r="16" spans="1:16" x14ac:dyDescent="0.25">
      <c r="A16" s="98" t="s">
        <v>86</v>
      </c>
      <c r="B16" s="98" t="s">
        <v>1505</v>
      </c>
      <c r="C16" s="98" t="s">
        <v>1484</v>
      </c>
      <c r="D16" s="98">
        <v>2025</v>
      </c>
      <c r="E16" s="98">
        <v>12</v>
      </c>
      <c r="F16" s="98">
        <v>0.67800000000000005</v>
      </c>
      <c r="G16" s="98">
        <v>1.4749000000000001</v>
      </c>
      <c r="H16" s="98" t="s">
        <v>1506</v>
      </c>
      <c r="I16" s="98" t="s">
        <v>1486</v>
      </c>
      <c r="J16" s="98" t="s">
        <v>1487</v>
      </c>
      <c r="K16" s="98" t="s">
        <v>1488</v>
      </c>
      <c r="L16" s="94"/>
      <c r="M16" s="94"/>
      <c r="N16" s="94"/>
      <c r="O16" s="94"/>
      <c r="P16" s="94"/>
    </row>
    <row r="17" spans="1:16" x14ac:dyDescent="0.25">
      <c r="A17" s="98" t="s">
        <v>86</v>
      </c>
      <c r="B17" s="98" t="s">
        <v>1505</v>
      </c>
      <c r="C17" s="98" t="s">
        <v>1489</v>
      </c>
      <c r="D17" s="98">
        <v>2025</v>
      </c>
      <c r="E17" s="98" t="s">
        <v>1490</v>
      </c>
      <c r="F17" s="98">
        <v>0.68400000000000005</v>
      </c>
      <c r="G17" s="98">
        <v>1.462</v>
      </c>
      <c r="H17" s="98" t="s">
        <v>1506</v>
      </c>
      <c r="I17" s="98" t="s">
        <v>1491</v>
      </c>
      <c r="J17" s="98" t="s">
        <v>1492</v>
      </c>
      <c r="K17" s="98" t="s">
        <v>1493</v>
      </c>
      <c r="L17" s="94"/>
      <c r="M17" s="94"/>
      <c r="N17" s="94"/>
      <c r="O17" s="94"/>
      <c r="P17" s="94"/>
    </row>
    <row r="18" spans="1:16" x14ac:dyDescent="0.25">
      <c r="A18" s="98" t="s">
        <v>86</v>
      </c>
      <c r="B18" s="98" t="s">
        <v>1505</v>
      </c>
      <c r="C18" s="98" t="s">
        <v>1489</v>
      </c>
      <c r="D18" s="98">
        <v>2025</v>
      </c>
      <c r="E18" s="98" t="s">
        <v>1494</v>
      </c>
      <c r="F18" s="98">
        <v>0.68</v>
      </c>
      <c r="G18" s="98">
        <v>1.4705999999999999</v>
      </c>
      <c r="H18" s="98" t="s">
        <v>1506</v>
      </c>
      <c r="I18" s="98" t="s">
        <v>1486</v>
      </c>
      <c r="J18" s="98" t="s">
        <v>1492</v>
      </c>
      <c r="K18" s="98" t="s">
        <v>1495</v>
      </c>
      <c r="L18" s="94"/>
      <c r="M18" s="94"/>
      <c r="N18" s="94"/>
      <c r="O18" s="94"/>
      <c r="P18" s="94"/>
    </row>
    <row r="19" spans="1:16" x14ac:dyDescent="0.25">
      <c r="A19" s="98" t="s">
        <v>86</v>
      </c>
      <c r="B19" s="98" t="s">
        <v>1505</v>
      </c>
      <c r="C19" s="98" t="s">
        <v>1489</v>
      </c>
      <c r="D19" s="98">
        <v>2025</v>
      </c>
      <c r="E19" s="98" t="s">
        <v>1496</v>
      </c>
      <c r="F19" s="98">
        <v>0.68200000000000005</v>
      </c>
      <c r="G19" s="98">
        <v>1.4662999999999999</v>
      </c>
      <c r="H19" s="98" t="s">
        <v>1506</v>
      </c>
      <c r="I19" s="98" t="s">
        <v>1486</v>
      </c>
      <c r="J19" s="98" t="s">
        <v>1492</v>
      </c>
      <c r="K19" s="98" t="s">
        <v>1497</v>
      </c>
      <c r="L19" s="94"/>
      <c r="M19" s="94"/>
      <c r="N19" s="94"/>
      <c r="O19" s="94"/>
      <c r="P19" s="94"/>
    </row>
    <row r="20" spans="1:16" x14ac:dyDescent="0.25">
      <c r="A20" s="98" t="s">
        <v>86</v>
      </c>
      <c r="B20" s="98" t="s">
        <v>1505</v>
      </c>
      <c r="C20" s="98" t="s">
        <v>1498</v>
      </c>
      <c r="D20" s="98">
        <v>2022</v>
      </c>
      <c r="E20" s="98" t="s">
        <v>1499</v>
      </c>
      <c r="F20" s="98">
        <v>0.65</v>
      </c>
      <c r="G20" s="98">
        <v>1.5385</v>
      </c>
      <c r="H20" s="98" t="s">
        <v>1500</v>
      </c>
      <c r="I20" s="99">
        <v>44570</v>
      </c>
      <c r="J20" s="98" t="s">
        <v>1492</v>
      </c>
      <c r="K20" s="98" t="s">
        <v>1507</v>
      </c>
      <c r="L20" s="94"/>
      <c r="M20" s="94"/>
      <c r="N20" s="94"/>
      <c r="O20" s="94"/>
      <c r="P20" s="94"/>
    </row>
    <row r="21" spans="1:16" x14ac:dyDescent="0.25">
      <c r="A21" s="100" t="s">
        <v>77</v>
      </c>
      <c r="B21" s="100" t="s">
        <v>1508</v>
      </c>
      <c r="C21" s="100" t="s">
        <v>1484</v>
      </c>
      <c r="D21" s="100">
        <v>2025</v>
      </c>
      <c r="E21" s="100">
        <v>12</v>
      </c>
      <c r="F21" s="100">
        <v>1</v>
      </c>
      <c r="G21" s="100">
        <v>1</v>
      </c>
      <c r="H21" s="100" t="s">
        <v>1509</v>
      </c>
      <c r="I21" s="100" t="s">
        <v>1486</v>
      </c>
      <c r="J21" s="100" t="s">
        <v>1487</v>
      </c>
      <c r="K21" s="100" t="s">
        <v>1510</v>
      </c>
      <c r="L21" s="94"/>
      <c r="M21" s="94"/>
      <c r="N21" s="94"/>
      <c r="O21" s="94"/>
      <c r="P21" s="94"/>
    </row>
    <row r="22" spans="1:16" x14ac:dyDescent="0.25">
      <c r="A22" s="100" t="s">
        <v>77</v>
      </c>
      <c r="B22" s="100" t="s">
        <v>1508</v>
      </c>
      <c r="C22" s="100" t="s">
        <v>1489</v>
      </c>
      <c r="D22" s="100">
        <v>2025</v>
      </c>
      <c r="E22" s="100" t="s">
        <v>1496</v>
      </c>
      <c r="F22" s="100">
        <v>1</v>
      </c>
      <c r="G22" s="100">
        <v>1</v>
      </c>
      <c r="H22" s="100" t="s">
        <v>1509</v>
      </c>
      <c r="I22" s="100" t="s">
        <v>1486</v>
      </c>
      <c r="J22" s="100" t="s">
        <v>1492</v>
      </c>
      <c r="K22" s="100" t="s">
        <v>1511</v>
      </c>
      <c r="L22" s="94"/>
      <c r="M22" s="94"/>
      <c r="N22" s="94"/>
      <c r="O22" s="94"/>
      <c r="P22" s="94"/>
    </row>
    <row r="23" spans="1:16" x14ac:dyDescent="0.2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</row>
    <row r="24" spans="1:16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</row>
    <row r="25" spans="1:16" x14ac:dyDescent="0.25">
      <c r="A25" s="565" t="s">
        <v>1512</v>
      </c>
      <c r="B25" s="565"/>
      <c r="C25" s="565"/>
      <c r="D25" s="565"/>
      <c r="E25" s="565"/>
      <c r="F25" s="565"/>
      <c r="G25" s="565"/>
      <c r="H25" s="565"/>
      <c r="I25" s="565"/>
      <c r="J25" s="565"/>
      <c r="K25" s="565"/>
      <c r="L25" s="565"/>
      <c r="M25" s="565"/>
      <c r="N25" s="565"/>
      <c r="O25" s="94"/>
      <c r="P25" s="94"/>
    </row>
    <row r="26" spans="1:16" x14ac:dyDescent="0.25">
      <c r="A26" s="14" t="s">
        <v>866</v>
      </c>
      <c r="B26" s="14" t="s">
        <v>1513</v>
      </c>
      <c r="C26" s="14" t="s">
        <v>1514</v>
      </c>
      <c r="D26" s="14" t="s">
        <v>1515</v>
      </c>
      <c r="E26" s="14" t="s">
        <v>1516</v>
      </c>
      <c r="F26" s="14" t="s">
        <v>1420</v>
      </c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A27" s="81">
        <v>1</v>
      </c>
      <c r="B27" s="101">
        <v>45658</v>
      </c>
      <c r="C27" s="81">
        <v>1.1479999999999999</v>
      </c>
      <c r="D27" s="81">
        <v>0.93200000000000005</v>
      </c>
      <c r="E27" s="81">
        <v>0.68500000000000005</v>
      </c>
      <c r="F27" s="81" t="s">
        <v>1427</v>
      </c>
      <c r="G27" s="94"/>
      <c r="H27" s="94"/>
      <c r="I27" s="94"/>
      <c r="J27" s="94"/>
      <c r="K27" s="94"/>
      <c r="L27" s="94"/>
      <c r="M27" s="94"/>
      <c r="N27" s="94"/>
      <c r="O27" s="94"/>
      <c r="P27" s="94"/>
    </row>
    <row r="28" spans="1:16" x14ac:dyDescent="0.25">
      <c r="A28" s="81">
        <v>2</v>
      </c>
      <c r="B28" s="81" t="s">
        <v>1517</v>
      </c>
      <c r="C28" s="81">
        <v>1.151</v>
      </c>
      <c r="D28" s="81">
        <v>0.92900000000000005</v>
      </c>
      <c r="E28" s="81">
        <v>0.68400000000000005</v>
      </c>
      <c r="F28" s="81" t="s">
        <v>1427</v>
      </c>
      <c r="G28" s="94"/>
      <c r="H28" s="94"/>
      <c r="I28" s="94"/>
      <c r="J28" s="94"/>
      <c r="K28" s="94"/>
      <c r="L28" s="94"/>
      <c r="M28" s="94"/>
      <c r="N28" s="94"/>
      <c r="O28" s="94"/>
      <c r="P28" s="94"/>
    </row>
    <row r="29" spans="1:16" x14ac:dyDescent="0.25">
      <c r="A29" s="81">
        <v>3</v>
      </c>
      <c r="B29" s="101">
        <v>45717</v>
      </c>
      <c r="C29" s="81">
        <v>1.155</v>
      </c>
      <c r="D29" s="81">
        <v>0.92600000000000005</v>
      </c>
      <c r="E29" s="81">
        <v>0.68300000000000005</v>
      </c>
      <c r="F29" s="81" t="s">
        <v>1427</v>
      </c>
      <c r="G29" s="94"/>
      <c r="H29" s="94"/>
      <c r="I29" s="94"/>
      <c r="J29" s="94"/>
      <c r="K29" s="94"/>
      <c r="L29" s="94"/>
      <c r="M29" s="94"/>
      <c r="N29" s="94"/>
      <c r="O29" s="94"/>
      <c r="P29" s="94"/>
    </row>
    <row r="30" spans="1:16" ht="15.75" x14ac:dyDescent="0.25">
      <c r="A30" s="386" t="s">
        <v>4243</v>
      </c>
      <c r="B30" s="95"/>
      <c r="C30" s="95"/>
      <c r="D30" s="95"/>
      <c r="E30" s="95"/>
      <c r="F30" s="95"/>
      <c r="G30" s="94"/>
      <c r="H30" s="94"/>
      <c r="I30" s="94"/>
      <c r="J30" s="94"/>
      <c r="K30" s="94"/>
      <c r="L30" s="94"/>
      <c r="M30" s="94"/>
      <c r="N30" s="94"/>
      <c r="O30" s="94"/>
      <c r="P30" s="94"/>
    </row>
    <row r="31" spans="1:16" x14ac:dyDescent="0.25">
      <c r="A31" s="387" t="s">
        <v>4244</v>
      </c>
      <c r="B31" s="95"/>
      <c r="C31" s="95"/>
      <c r="D31" s="95"/>
      <c r="E31" s="95"/>
      <c r="F31" s="95"/>
      <c r="G31" s="94"/>
      <c r="H31" s="94"/>
      <c r="I31" s="94"/>
      <c r="J31" s="94"/>
      <c r="K31" s="94"/>
      <c r="L31" s="94"/>
      <c r="M31" s="94"/>
      <c r="N31" s="94"/>
      <c r="O31" s="94"/>
      <c r="P31" s="94"/>
    </row>
    <row r="32" spans="1:16" x14ac:dyDescent="0.25">
      <c r="A32" s="321" t="s">
        <v>4245</v>
      </c>
      <c r="B32" s="321" t="s">
        <v>4106</v>
      </c>
      <c r="C32" s="321" t="s">
        <v>4246</v>
      </c>
      <c r="D32" s="321" t="s">
        <v>4247</v>
      </c>
      <c r="E32" s="321" t="s">
        <v>4107</v>
      </c>
      <c r="F32" s="321" t="s">
        <v>4108</v>
      </c>
      <c r="G32" s="309" t="s">
        <v>4109</v>
      </c>
      <c r="H32" s="309" t="s">
        <v>4248</v>
      </c>
      <c r="I32" s="309" t="s">
        <v>4249</v>
      </c>
      <c r="J32" s="309" t="s">
        <v>4250</v>
      </c>
      <c r="K32" s="309" t="s">
        <v>4251</v>
      </c>
      <c r="L32" s="94"/>
      <c r="M32" s="94"/>
      <c r="N32" s="94"/>
      <c r="O32" s="94"/>
      <c r="P32" s="94"/>
    </row>
    <row r="33" spans="1:16" x14ac:dyDescent="0.25">
      <c r="A33" s="346" t="s">
        <v>4252</v>
      </c>
      <c r="B33" s="388">
        <v>142000</v>
      </c>
      <c r="C33" s="397">
        <f>F6</f>
        <v>1.165</v>
      </c>
      <c r="D33" s="388">
        <f>B33*C33</f>
        <v>165430</v>
      </c>
      <c r="E33" s="388">
        <f>B33*(C33*0.9)</f>
        <v>148887</v>
      </c>
      <c r="F33" s="388">
        <f>B33*(C33*0.95)</f>
        <v>157158.5</v>
      </c>
      <c r="G33" s="389">
        <f>B33*(C33*0.975)</f>
        <v>161294.25</v>
      </c>
      <c r="H33" s="390">
        <f>B33*C33</f>
        <v>165430</v>
      </c>
      <c r="I33" s="389">
        <f>B33*(C33*1.025)</f>
        <v>169565.74999999997</v>
      </c>
      <c r="J33" s="389">
        <f>B33*(C33*1.05)</f>
        <v>173701.50000000003</v>
      </c>
      <c r="K33" s="389">
        <f>B33*(C33*1.1)</f>
        <v>181973</v>
      </c>
      <c r="L33" s="94"/>
      <c r="M33" s="94"/>
      <c r="N33" s="94"/>
      <c r="O33" s="94"/>
      <c r="P33" s="94"/>
    </row>
    <row r="34" spans="1:16" x14ac:dyDescent="0.25">
      <c r="A34" s="63" t="s">
        <v>4253</v>
      </c>
      <c r="B34" s="391">
        <v>195000</v>
      </c>
      <c r="C34" s="398">
        <f>F11</f>
        <v>0.91800000000000004</v>
      </c>
      <c r="D34" s="391">
        <f>B34*C34</f>
        <v>179010</v>
      </c>
      <c r="E34" s="391">
        <f>B34*(C34*0.9)</f>
        <v>161109</v>
      </c>
      <c r="F34" s="391">
        <f>B34*(C34*0.95)</f>
        <v>170059.5</v>
      </c>
      <c r="G34" s="392">
        <f>B34*(C34*0.975)</f>
        <v>174534.75</v>
      </c>
      <c r="H34" s="390">
        <f>B34*C34</f>
        <v>179010</v>
      </c>
      <c r="I34" s="392">
        <f>B34*(C34*1.025)</f>
        <v>183485.25</v>
      </c>
      <c r="J34" s="392">
        <f>B34*(C34*1.05)</f>
        <v>187960.50000000003</v>
      </c>
      <c r="K34" s="392">
        <f>B34*(C34*1.1)</f>
        <v>196911</v>
      </c>
      <c r="L34" s="94"/>
      <c r="M34" s="94"/>
      <c r="N34" s="94"/>
      <c r="O34" s="94"/>
      <c r="P34" s="94"/>
    </row>
    <row r="35" spans="1:16" x14ac:dyDescent="0.25">
      <c r="A35" s="346" t="s">
        <v>4254</v>
      </c>
      <c r="B35" s="388">
        <v>88000</v>
      </c>
      <c r="C35" s="397">
        <f>F16</f>
        <v>0.67800000000000005</v>
      </c>
      <c r="D35" s="388">
        <f>B35*C35</f>
        <v>59664.000000000007</v>
      </c>
      <c r="E35" s="388">
        <f>B35*(C35*0.9)</f>
        <v>53697.600000000006</v>
      </c>
      <c r="F35" s="388">
        <f>B35*(C35*0.95)</f>
        <v>56680.800000000003</v>
      </c>
      <c r="G35" s="389">
        <f>B35*(C35*0.975)</f>
        <v>58172.4</v>
      </c>
      <c r="H35" s="390">
        <f>B35*C35</f>
        <v>59664.000000000007</v>
      </c>
      <c r="I35" s="389">
        <f>B35*(C35*1.025)</f>
        <v>61155.6</v>
      </c>
      <c r="J35" s="389">
        <f>B35*(C35*1.05)</f>
        <v>62647.200000000004</v>
      </c>
      <c r="K35" s="389">
        <f>B35*(C35*1.1)</f>
        <v>65630.400000000009</v>
      </c>
      <c r="L35" s="94"/>
      <c r="M35" s="94"/>
      <c r="N35" s="94"/>
      <c r="O35" s="94"/>
      <c r="P35" s="94"/>
    </row>
    <row r="36" spans="1:16" x14ac:dyDescent="0.25">
      <c r="A36" s="326" t="s">
        <v>4255</v>
      </c>
      <c r="B36" s="393">
        <v>45931</v>
      </c>
      <c r="C36" s="394">
        <v>1.1619999999999999</v>
      </c>
      <c r="D36" s="399">
        <f t="shared" ref="D36:K36" si="0">SUM(D33:D35)</f>
        <v>404104</v>
      </c>
      <c r="E36" s="399">
        <f t="shared" si="0"/>
        <v>363693.6</v>
      </c>
      <c r="F36" s="399">
        <f t="shared" si="0"/>
        <v>383898.8</v>
      </c>
      <c r="G36" s="395">
        <f t="shared" si="0"/>
        <v>394001.4</v>
      </c>
      <c r="H36" s="390">
        <f>SUM(H33:H35)</f>
        <v>404104</v>
      </c>
      <c r="I36" s="395">
        <f t="shared" si="0"/>
        <v>414206.6</v>
      </c>
      <c r="J36" s="395">
        <f t="shared" si="0"/>
        <v>424309.20000000007</v>
      </c>
      <c r="K36" s="395">
        <f t="shared" si="0"/>
        <v>444514.4</v>
      </c>
      <c r="L36" s="94"/>
      <c r="M36" s="94"/>
      <c r="N36" s="94"/>
      <c r="O36" s="94"/>
      <c r="P36" s="94"/>
    </row>
    <row r="37" spans="1:16" x14ac:dyDescent="0.25">
      <c r="A37" s="400" t="s">
        <v>4256</v>
      </c>
      <c r="B37" s="102">
        <v>45962</v>
      </c>
      <c r="C37" s="96">
        <v>1.1639999999999999</v>
      </c>
      <c r="D37" s="96">
        <v>0.91600000000000004</v>
      </c>
      <c r="E37" s="401">
        <f>E36-H36</f>
        <v>-40410.400000000023</v>
      </c>
      <c r="F37" s="401">
        <f>F36-H36</f>
        <v>-20205.200000000012</v>
      </c>
      <c r="G37" s="402">
        <f>G36-H36</f>
        <v>-10102.599999999977</v>
      </c>
      <c r="H37" s="94" t="s">
        <v>798</v>
      </c>
      <c r="I37" s="402">
        <f>I36-H36</f>
        <v>10102.599999999977</v>
      </c>
      <c r="J37" s="402">
        <f>J36-H36</f>
        <v>20205.20000000007</v>
      </c>
      <c r="K37" s="402">
        <f>K36-H36</f>
        <v>40410.400000000023</v>
      </c>
      <c r="L37" s="94"/>
      <c r="M37" s="94"/>
      <c r="N37" s="94"/>
      <c r="O37" s="94"/>
      <c r="P37" s="94"/>
    </row>
    <row r="38" spans="1:16" x14ac:dyDescent="0.25">
      <c r="A38" s="96">
        <v>12</v>
      </c>
      <c r="B38" s="96" t="s">
        <v>1518</v>
      </c>
      <c r="C38" s="96">
        <v>1.165</v>
      </c>
      <c r="D38" s="96">
        <v>0.91800000000000004</v>
      </c>
      <c r="E38" s="96">
        <v>0.67800000000000005</v>
      </c>
      <c r="F38" s="96" t="s">
        <v>1432</v>
      </c>
      <c r="G38" s="94"/>
      <c r="H38" s="94"/>
      <c r="I38" s="94"/>
      <c r="J38" s="94"/>
      <c r="K38" s="94"/>
      <c r="L38" s="94"/>
      <c r="M38" s="94"/>
      <c r="N38" s="94"/>
      <c r="O38" s="94"/>
      <c r="P38" s="94"/>
    </row>
    <row r="39" spans="1:16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</row>
    <row r="41" spans="1:16" x14ac:dyDescent="0.25">
      <c r="A41" s="565" t="s">
        <v>1519</v>
      </c>
      <c r="B41" s="565"/>
      <c r="C41" s="565"/>
      <c r="D41" s="565"/>
      <c r="E41" s="565"/>
      <c r="F41" s="565"/>
      <c r="G41" s="565"/>
      <c r="H41" s="565"/>
      <c r="I41" s="565"/>
      <c r="J41" s="565"/>
      <c r="K41" s="565"/>
      <c r="L41" s="565"/>
      <c r="M41" s="565"/>
      <c r="N41" s="565"/>
      <c r="O41" s="94"/>
      <c r="P41" s="94"/>
    </row>
    <row r="42" spans="1:16" x14ac:dyDescent="0.25">
      <c r="A42" s="14" t="s">
        <v>403</v>
      </c>
      <c r="B42" s="14" t="s">
        <v>72</v>
      </c>
      <c r="C42" s="14" t="s">
        <v>1520</v>
      </c>
      <c r="D42" s="14" t="s">
        <v>1521</v>
      </c>
      <c r="E42" s="14" t="s">
        <v>1522</v>
      </c>
      <c r="F42" s="14" t="s">
        <v>1523</v>
      </c>
      <c r="G42" s="14" t="s">
        <v>1524</v>
      </c>
      <c r="H42" s="14" t="s">
        <v>1525</v>
      </c>
      <c r="I42" s="94"/>
      <c r="J42" s="94"/>
      <c r="K42" s="94"/>
      <c r="L42" s="94"/>
      <c r="M42" s="94"/>
      <c r="N42" s="94"/>
      <c r="O42" s="94"/>
      <c r="P42" s="94"/>
    </row>
    <row r="43" spans="1:16" x14ac:dyDescent="0.25">
      <c r="A43" s="95" t="s">
        <v>33</v>
      </c>
      <c r="B43" s="95" t="s">
        <v>82</v>
      </c>
      <c r="C43" s="95">
        <v>148800</v>
      </c>
      <c r="D43" s="95">
        <v>1.165</v>
      </c>
      <c r="E43" s="95">
        <v>1.155</v>
      </c>
      <c r="F43" s="95">
        <f>148800*1.165</f>
        <v>173352</v>
      </c>
      <c r="G43" s="95">
        <f>148800*1.155</f>
        <v>171864</v>
      </c>
      <c r="H43" s="95">
        <f>(148800*1.165)-(148800*1.155)</f>
        <v>1488</v>
      </c>
      <c r="I43" s="94"/>
      <c r="J43" s="94"/>
      <c r="K43" s="94"/>
      <c r="L43" s="94"/>
      <c r="M43" s="94"/>
      <c r="N43" s="94"/>
      <c r="O43" s="94"/>
      <c r="P43" s="94"/>
    </row>
    <row r="44" spans="1:16" x14ac:dyDescent="0.25">
      <c r="A44" s="21" t="s">
        <v>35</v>
      </c>
      <c r="B44" s="21" t="s">
        <v>84</v>
      </c>
      <c r="C44" s="21">
        <v>154200</v>
      </c>
      <c r="D44" s="21">
        <v>0.91800000000000004</v>
      </c>
      <c r="E44" s="21">
        <v>0.92500000000000004</v>
      </c>
      <c r="F44" s="21">
        <f>154200*0.918</f>
        <v>141555.6</v>
      </c>
      <c r="G44" s="21">
        <f>154200*0.925</f>
        <v>142635</v>
      </c>
      <c r="H44" s="21">
        <f>(154200*0.918)-(154200*0.925)</f>
        <v>-1079.3999999999942</v>
      </c>
      <c r="I44" s="94"/>
      <c r="J44" s="94"/>
      <c r="K44" s="94"/>
      <c r="L44" s="94"/>
      <c r="M44" s="94"/>
      <c r="N44" s="94"/>
      <c r="O44" s="94"/>
      <c r="P44" s="94"/>
    </row>
    <row r="45" spans="1:16" x14ac:dyDescent="0.25">
      <c r="A45" s="95" t="s">
        <v>37</v>
      </c>
      <c r="B45" s="95" t="s">
        <v>86</v>
      </c>
      <c r="C45" s="95">
        <v>72800</v>
      </c>
      <c r="D45" s="95">
        <v>0.67800000000000005</v>
      </c>
      <c r="E45" s="95">
        <v>0.68200000000000005</v>
      </c>
      <c r="F45" s="95">
        <f>72800*0.678</f>
        <v>49358.400000000001</v>
      </c>
      <c r="G45" s="95">
        <f>72800*0.682</f>
        <v>49649.600000000006</v>
      </c>
      <c r="H45" s="95">
        <f>(72800*0.678)-(72800*0.682)</f>
        <v>-291.20000000000437</v>
      </c>
      <c r="I45" s="94"/>
      <c r="J45" s="94"/>
      <c r="K45" s="94"/>
      <c r="L45" s="94"/>
      <c r="M45" s="94"/>
      <c r="N45" s="94"/>
      <c r="O45" s="94"/>
      <c r="P45" s="94"/>
    </row>
    <row r="46" spans="1:16" x14ac:dyDescent="0.25">
      <c r="A46" s="103" t="s">
        <v>1526</v>
      </c>
      <c r="B46" s="104"/>
      <c r="C46" s="104"/>
      <c r="D46" s="104"/>
      <c r="E46" s="104"/>
      <c r="F46" s="104"/>
      <c r="G46" s="94"/>
      <c r="H46" s="103">
        <f>SUM(H43:H45)</f>
        <v>117.40000000000146</v>
      </c>
      <c r="I46" s="94"/>
      <c r="J46" s="94"/>
      <c r="K46" s="94"/>
      <c r="L46" s="94"/>
      <c r="M46" s="94"/>
      <c r="N46" s="94"/>
      <c r="O46" s="94"/>
      <c r="P46" s="94"/>
    </row>
    <row r="47" spans="1:16" x14ac:dyDescent="0.25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</row>
    <row r="48" spans="1:16" x14ac:dyDescent="0.2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</row>
    <row r="49" spans="1:16" x14ac:dyDescent="0.25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</row>
    <row r="50" spans="1:16" x14ac:dyDescent="0.25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</row>
    <row r="51" spans="1:16" x14ac:dyDescent="0.25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</row>
    <row r="52" spans="1:16" x14ac:dyDescent="0.25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</row>
    <row r="54" spans="1:16" x14ac:dyDescent="0.25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</row>
    <row r="55" spans="1:16" x14ac:dyDescent="0.2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</row>
    <row r="56" spans="1:16" x14ac:dyDescent="0.25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</row>
    <row r="57" spans="1:16" x14ac:dyDescent="0.25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</row>
    <row r="58" spans="1:16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</row>
    <row r="59" spans="1:16" x14ac:dyDescent="0.2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</row>
    <row r="60" spans="1:16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</row>
    <row r="61" spans="1:16" x14ac:dyDescent="0.25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</row>
    <row r="62" spans="1:16" x14ac:dyDescent="0.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</row>
    <row r="63" spans="1:16" x14ac:dyDescent="0.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</row>
    <row r="64" spans="1:16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</row>
    <row r="65" spans="1:16" x14ac:dyDescent="0.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</row>
    <row r="66" spans="1:16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</row>
    <row r="67" spans="1:16" x14ac:dyDescent="0.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</row>
    <row r="68" spans="1:16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</row>
    <row r="69" spans="1:16" x14ac:dyDescent="0.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</row>
    <row r="70" spans="1:16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</row>
    <row r="71" spans="1:16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</row>
    <row r="72" spans="1:16" x14ac:dyDescent="0.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</row>
    <row r="73" spans="1:16" x14ac:dyDescent="0.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</row>
    <row r="74" spans="1:16" x14ac:dyDescent="0.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</row>
    <row r="75" spans="1:16" x14ac:dyDescent="0.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</row>
    <row r="76" spans="1:16" x14ac:dyDescent="0.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</row>
    <row r="77" spans="1:16" x14ac:dyDescent="0.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</row>
    <row r="78" spans="1:16" x14ac:dyDescent="0.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</row>
    <row r="79" spans="1:16" x14ac:dyDescent="0.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</row>
    <row r="80" spans="1:16" x14ac:dyDescent="0.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</row>
  </sheetData>
  <mergeCells count="5">
    <mergeCell ref="A1:N1"/>
    <mergeCell ref="A2:N2"/>
    <mergeCell ref="A4:N4"/>
    <mergeCell ref="A25:N25"/>
    <mergeCell ref="A41:N41"/>
  </mergeCells>
  <dataValidations count="1">
    <dataValidation type="decimal" allowBlank="1" showInputMessage="1" showErrorMessage="1" errorTitle="Taux invalide" error="Le taux doit être compris entre 0.1 et 5. Vérifiez la source BCE ou BoE." promptTitle="Taux de change IAS 21" prompt="Saisissez un taux entre 0.1 et 5 (EUR ratio). Ex: 1.165 pour GBP, 0.918 pour USD." sqref="F6:F20" xr:uid="{B7C21780-797E-49BF-A8DF-B76B0EE76A3B}">
      <formula1>0.1</formula1>
      <formula2>5</formula2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E08B-FAF2-47E4-BA4D-4C1BBCF3B2B0}">
  <sheetPr>
    <tabColor rgb="FF8E44AD"/>
  </sheetPr>
  <dimension ref="A1:R80"/>
  <sheetViews>
    <sheetView workbookViewId="0">
      <selection activeCell="A28" sqref="A28:J28"/>
    </sheetView>
  </sheetViews>
  <sheetFormatPr baseColWidth="10" defaultRowHeight="15" x14ac:dyDescent="0.25"/>
  <cols>
    <col min="1" max="1" width="29.28515625" customWidth="1"/>
    <col min="2" max="2" width="16" customWidth="1"/>
    <col min="3" max="3" width="24" customWidth="1"/>
    <col min="4" max="4" width="21.28515625" customWidth="1"/>
    <col min="5" max="5" width="24" customWidth="1"/>
    <col min="6" max="7" width="21.28515625" customWidth="1"/>
    <col min="8" max="8" width="24" customWidth="1"/>
    <col min="9" max="9" width="21.28515625" customWidth="1"/>
    <col min="10" max="10" width="46.7109375" customWidth="1"/>
  </cols>
  <sheetData>
    <row r="1" spans="1:18" ht="17.25" x14ac:dyDescent="0.3">
      <c r="A1" s="554" t="s">
        <v>1527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94"/>
      <c r="R1" s="94"/>
    </row>
    <row r="2" spans="1:18" x14ac:dyDescent="0.25">
      <c r="A2" s="564" t="s">
        <v>1528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4"/>
      <c r="Q2" s="94"/>
      <c r="R2" s="94"/>
    </row>
    <row r="3" spans="1:18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x14ac:dyDescent="0.25">
      <c r="A4" s="565" t="s">
        <v>1529</v>
      </c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  <c r="N4" s="565"/>
      <c r="O4" s="565"/>
      <c r="P4" s="565"/>
      <c r="Q4" s="94"/>
      <c r="R4" s="94"/>
    </row>
    <row r="5" spans="1:18" x14ac:dyDescent="0.25">
      <c r="A5" s="14" t="s">
        <v>1530</v>
      </c>
      <c r="B5" s="14" t="s">
        <v>1531</v>
      </c>
      <c r="C5" s="14" t="s">
        <v>1532</v>
      </c>
      <c r="D5" s="14" t="s">
        <v>1533</v>
      </c>
      <c r="E5" s="14" t="s">
        <v>1534</v>
      </c>
      <c r="F5" s="14" t="s">
        <v>1535</v>
      </c>
      <c r="G5" s="14" t="s">
        <v>1536</v>
      </c>
      <c r="H5" s="14" t="s">
        <v>72</v>
      </c>
      <c r="I5" s="14" t="s">
        <v>1537</v>
      </c>
      <c r="J5" s="14" t="s">
        <v>1538</v>
      </c>
      <c r="K5" s="14" t="s">
        <v>1539</v>
      </c>
      <c r="L5" s="14" t="s">
        <v>1540</v>
      </c>
      <c r="M5" s="14" t="s">
        <v>1541</v>
      </c>
      <c r="N5" s="14" t="s">
        <v>1542</v>
      </c>
      <c r="O5" s="14" t="s">
        <v>1543</v>
      </c>
      <c r="P5" s="14" t="s">
        <v>846</v>
      </c>
      <c r="Q5" s="94"/>
      <c r="R5" s="94"/>
    </row>
    <row r="6" spans="1:18" x14ac:dyDescent="0.25">
      <c r="A6" s="95" t="s">
        <v>31</v>
      </c>
      <c r="B6" s="95" t="s">
        <v>26</v>
      </c>
      <c r="C6" s="95">
        <v>1</v>
      </c>
      <c r="D6" s="95">
        <v>0</v>
      </c>
      <c r="E6" s="95">
        <v>1</v>
      </c>
      <c r="F6" s="95">
        <v>0</v>
      </c>
      <c r="G6" s="95" t="s">
        <v>80</v>
      </c>
      <c r="H6" s="95" t="s">
        <v>77</v>
      </c>
      <c r="I6" s="105">
        <v>43472</v>
      </c>
      <c r="J6" s="95">
        <v>1</v>
      </c>
      <c r="K6" s="95">
        <v>85000</v>
      </c>
      <c r="L6" s="95">
        <v>62000</v>
      </c>
      <c r="M6" s="95">
        <v>23000</v>
      </c>
      <c r="N6" s="95">
        <v>19500</v>
      </c>
      <c r="O6" s="95" t="s">
        <v>526</v>
      </c>
      <c r="P6" s="95" t="s">
        <v>1544</v>
      </c>
      <c r="Q6" s="94"/>
      <c r="R6" s="94"/>
    </row>
    <row r="7" spans="1:18" x14ac:dyDescent="0.25">
      <c r="A7" s="21" t="s">
        <v>33</v>
      </c>
      <c r="B7" s="21" t="s">
        <v>26</v>
      </c>
      <c r="C7" s="21">
        <v>0.8</v>
      </c>
      <c r="D7" s="21">
        <v>0</v>
      </c>
      <c r="E7" s="21">
        <v>0.8</v>
      </c>
      <c r="F7" s="21">
        <v>0.2</v>
      </c>
      <c r="G7" s="21" t="s">
        <v>80</v>
      </c>
      <c r="H7" s="21" t="s">
        <v>82</v>
      </c>
      <c r="I7" s="21" t="s">
        <v>415</v>
      </c>
      <c r="J7" s="21">
        <v>1.1200000000000001</v>
      </c>
      <c r="K7" s="21">
        <v>72000</v>
      </c>
      <c r="L7" s="21">
        <v>48500</v>
      </c>
      <c r="M7" s="21">
        <v>23500</v>
      </c>
      <c r="N7" s="21">
        <v>19300</v>
      </c>
      <c r="O7" s="21" t="s">
        <v>526</v>
      </c>
      <c r="P7" s="21" t="s">
        <v>1545</v>
      </c>
      <c r="Q7" s="94"/>
      <c r="R7" s="94"/>
    </row>
    <row r="8" spans="1:18" x14ac:dyDescent="0.25">
      <c r="A8" s="95" t="s">
        <v>35</v>
      </c>
      <c r="B8" s="95" t="s">
        <v>26</v>
      </c>
      <c r="C8" s="95">
        <v>0.75</v>
      </c>
      <c r="D8" s="95">
        <v>0</v>
      </c>
      <c r="E8" s="95">
        <v>0.75</v>
      </c>
      <c r="F8" s="95">
        <v>0.25</v>
      </c>
      <c r="G8" s="95" t="s">
        <v>80</v>
      </c>
      <c r="H8" s="95" t="s">
        <v>84</v>
      </c>
      <c r="I8" s="105">
        <v>44197</v>
      </c>
      <c r="J8" s="95">
        <v>0.84499999999999997</v>
      </c>
      <c r="K8" s="95">
        <v>95000</v>
      </c>
      <c r="L8" s="95">
        <v>71000</v>
      </c>
      <c r="M8" s="95">
        <v>24000</v>
      </c>
      <c r="N8" s="95">
        <v>18200</v>
      </c>
      <c r="O8" s="95" t="s">
        <v>526</v>
      </c>
      <c r="P8" s="95" t="s">
        <v>1546</v>
      </c>
      <c r="Q8" s="94"/>
      <c r="R8" s="94"/>
    </row>
    <row r="9" spans="1:18" x14ac:dyDescent="0.25">
      <c r="A9" s="106" t="s">
        <v>37</v>
      </c>
      <c r="B9" s="106" t="s">
        <v>26</v>
      </c>
      <c r="C9" s="106">
        <v>0.6</v>
      </c>
      <c r="D9" s="106">
        <v>0</v>
      </c>
      <c r="E9" s="106">
        <v>0.6</v>
      </c>
      <c r="F9" s="106">
        <v>0.4</v>
      </c>
      <c r="G9" s="106" t="s">
        <v>80</v>
      </c>
      <c r="H9" s="106" t="s">
        <v>86</v>
      </c>
      <c r="I9" s="107">
        <v>44570</v>
      </c>
      <c r="J9" s="106">
        <v>0.65</v>
      </c>
      <c r="K9" s="106">
        <v>38000</v>
      </c>
      <c r="L9" s="106">
        <v>28500</v>
      </c>
      <c r="M9" s="106">
        <v>9500</v>
      </c>
      <c r="N9" s="106">
        <v>8300</v>
      </c>
      <c r="O9" s="106" t="s">
        <v>526</v>
      </c>
      <c r="P9" s="106" t="s">
        <v>1547</v>
      </c>
      <c r="Q9" s="94"/>
      <c r="R9" s="94"/>
    </row>
    <row r="10" spans="1:18" x14ac:dyDescent="0.25">
      <c r="A10" s="95" t="s">
        <v>26</v>
      </c>
      <c r="B10" s="95" t="s">
        <v>798</v>
      </c>
      <c r="C10" s="95">
        <v>1</v>
      </c>
      <c r="D10" s="95">
        <v>0</v>
      </c>
      <c r="E10" s="95">
        <v>1</v>
      </c>
      <c r="F10" s="95">
        <v>0</v>
      </c>
      <c r="G10" s="95" t="s">
        <v>1548</v>
      </c>
      <c r="H10" s="95" t="s">
        <v>77</v>
      </c>
      <c r="I10" s="95" t="s">
        <v>798</v>
      </c>
      <c r="J10" s="95">
        <v>1</v>
      </c>
      <c r="K10" s="95">
        <v>0</v>
      </c>
      <c r="L10" s="95">
        <v>0</v>
      </c>
      <c r="M10" s="95">
        <v>0</v>
      </c>
      <c r="N10" s="95">
        <v>0</v>
      </c>
      <c r="O10" s="95" t="s">
        <v>798</v>
      </c>
      <c r="P10" s="95" t="s">
        <v>1549</v>
      </c>
      <c r="Q10" s="94"/>
      <c r="R10" s="94"/>
    </row>
    <row r="11" spans="1:18" x14ac:dyDescent="0.2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</row>
    <row r="12" spans="1:18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</row>
    <row r="13" spans="1:18" x14ac:dyDescent="0.25">
      <c r="A13" s="565" t="s">
        <v>1560</v>
      </c>
      <c r="B13" s="565"/>
      <c r="C13" s="565"/>
      <c r="D13" s="565"/>
      <c r="E13" s="565"/>
      <c r="F13" s="565"/>
      <c r="G13" s="565"/>
      <c r="H13" s="565"/>
      <c r="I13" s="565"/>
      <c r="J13" s="565"/>
      <c r="K13" s="565"/>
      <c r="L13" s="565"/>
      <c r="M13" s="565"/>
      <c r="N13" s="565"/>
      <c r="O13" s="565"/>
      <c r="P13" s="565"/>
      <c r="Q13" s="94"/>
      <c r="R13" s="94"/>
    </row>
    <row r="14" spans="1:18" x14ac:dyDescent="0.25">
      <c r="A14" s="14" t="s">
        <v>403</v>
      </c>
      <c r="B14" s="14" t="s">
        <v>1550</v>
      </c>
      <c r="C14" s="14" t="s">
        <v>1561</v>
      </c>
      <c r="D14" s="14" t="s">
        <v>1551</v>
      </c>
      <c r="E14" s="14" t="s">
        <v>1562</v>
      </c>
      <c r="F14" s="14" t="s">
        <v>1552</v>
      </c>
      <c r="G14" s="14" t="s">
        <v>1563</v>
      </c>
      <c r="H14" s="14" t="s">
        <v>1553</v>
      </c>
      <c r="I14" s="14" t="s">
        <v>1554</v>
      </c>
      <c r="J14" s="14" t="s">
        <v>846</v>
      </c>
      <c r="K14" s="94"/>
      <c r="L14" s="94"/>
      <c r="M14" s="94"/>
      <c r="N14" s="94"/>
      <c r="O14" s="94"/>
      <c r="P14" s="94"/>
      <c r="Q14" s="94"/>
      <c r="R14" s="94"/>
    </row>
    <row r="15" spans="1:18" x14ac:dyDescent="0.25">
      <c r="A15" s="95" t="s">
        <v>31</v>
      </c>
      <c r="B15" s="108">
        <v>0</v>
      </c>
      <c r="C15" s="95">
        <v>148200</v>
      </c>
      <c r="D15" s="95">
        <f>C15*B15</f>
        <v>0</v>
      </c>
      <c r="E15" s="95">
        <v>18500</v>
      </c>
      <c r="F15" s="95">
        <f>E15*B15</f>
        <v>0</v>
      </c>
      <c r="G15" s="95">
        <v>5200</v>
      </c>
      <c r="H15" s="95">
        <f>G15*B15</f>
        <v>0</v>
      </c>
      <c r="I15" s="95">
        <f>D15-H15</f>
        <v>0</v>
      </c>
      <c r="J15" s="95" t="s">
        <v>1555</v>
      </c>
      <c r="K15" s="94"/>
      <c r="L15" s="94"/>
      <c r="M15" s="94"/>
      <c r="N15" s="94"/>
      <c r="O15" s="94"/>
      <c r="P15" s="94"/>
      <c r="Q15" s="94"/>
      <c r="R15" s="94"/>
    </row>
    <row r="16" spans="1:18" x14ac:dyDescent="0.25">
      <c r="A16" s="21" t="s">
        <v>33</v>
      </c>
      <c r="B16" s="37">
        <v>0.2</v>
      </c>
      <c r="C16" s="21">
        <v>98600</v>
      </c>
      <c r="D16" s="21">
        <f>C16*B16</f>
        <v>19720</v>
      </c>
      <c r="E16" s="21">
        <v>26096</v>
      </c>
      <c r="F16" s="21">
        <f>E16*B16</f>
        <v>5219.2000000000007</v>
      </c>
      <c r="G16" s="21">
        <v>7200</v>
      </c>
      <c r="H16" s="21">
        <f>G16*B16</f>
        <v>1440</v>
      </c>
      <c r="I16" s="21">
        <f>D16-H16</f>
        <v>18280</v>
      </c>
      <c r="J16" s="21" t="s">
        <v>1556</v>
      </c>
      <c r="K16" s="94"/>
      <c r="L16" s="94"/>
      <c r="M16" s="94"/>
      <c r="N16" s="94"/>
      <c r="O16" s="94"/>
      <c r="P16" s="94"/>
      <c r="Q16" s="94"/>
      <c r="R16" s="94"/>
    </row>
    <row r="17" spans="1:18" x14ac:dyDescent="0.25">
      <c r="A17" s="95" t="s">
        <v>35</v>
      </c>
      <c r="B17" s="108">
        <v>0.25</v>
      </c>
      <c r="C17" s="95">
        <v>88200</v>
      </c>
      <c r="D17" s="95">
        <f>C17*B17</f>
        <v>22050</v>
      </c>
      <c r="E17" s="95">
        <v>15800</v>
      </c>
      <c r="F17" s="95">
        <f>E17*B17</f>
        <v>3950</v>
      </c>
      <c r="G17" s="95">
        <v>4800</v>
      </c>
      <c r="H17" s="95">
        <f>G17*B17</f>
        <v>1200</v>
      </c>
      <c r="I17" s="95">
        <f>D17-H17</f>
        <v>20850</v>
      </c>
      <c r="J17" s="95" t="s">
        <v>1557</v>
      </c>
      <c r="K17" s="94"/>
      <c r="L17" s="94"/>
      <c r="M17" s="94"/>
      <c r="N17" s="94"/>
      <c r="O17" s="94"/>
      <c r="P17" s="94"/>
      <c r="Q17" s="94"/>
      <c r="R17" s="94"/>
    </row>
    <row r="18" spans="1:18" x14ac:dyDescent="0.25">
      <c r="A18" s="21" t="s">
        <v>37</v>
      </c>
      <c r="B18" s="37">
        <v>0.4</v>
      </c>
      <c r="C18" s="21">
        <v>38400</v>
      </c>
      <c r="D18" s="21">
        <f>C18*B18</f>
        <v>15360</v>
      </c>
      <c r="E18" s="21">
        <v>9200</v>
      </c>
      <c r="F18" s="21">
        <f>E18*B18</f>
        <v>3680</v>
      </c>
      <c r="G18" s="21">
        <v>2400</v>
      </c>
      <c r="H18" s="21">
        <f>G18*B18</f>
        <v>960</v>
      </c>
      <c r="I18" s="21">
        <f>D18-H18</f>
        <v>14400</v>
      </c>
      <c r="J18" s="21" t="s">
        <v>1558</v>
      </c>
      <c r="K18" s="94"/>
      <c r="L18" s="94"/>
      <c r="M18" s="94"/>
      <c r="N18" s="94"/>
      <c r="O18" s="94"/>
      <c r="P18" s="94"/>
      <c r="Q18" s="94"/>
      <c r="R18" s="94"/>
    </row>
    <row r="19" spans="1:18" x14ac:dyDescent="0.25">
      <c r="A19" s="109" t="s">
        <v>1559</v>
      </c>
      <c r="B19" s="109"/>
      <c r="C19" s="109"/>
      <c r="D19" s="109">
        <f>SUM(D15:D18)</f>
        <v>57130</v>
      </c>
      <c r="E19" s="109"/>
      <c r="F19" s="109">
        <f>SUM(F15:F18)</f>
        <v>12849.2</v>
      </c>
      <c r="G19" s="109"/>
      <c r="H19" s="109">
        <f>SUM(H15:H18)</f>
        <v>3600</v>
      </c>
      <c r="I19" s="109"/>
      <c r="J19" s="109"/>
      <c r="K19" s="94"/>
      <c r="L19" s="94"/>
      <c r="M19" s="94"/>
      <c r="N19" s="94"/>
      <c r="O19" s="94"/>
      <c r="P19" s="94"/>
      <c r="Q19" s="94"/>
      <c r="R19" s="94"/>
    </row>
    <row r="20" spans="1:18" x14ac:dyDescent="0.2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</row>
    <row r="21" spans="1:18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</row>
    <row r="22" spans="1:18" x14ac:dyDescent="0.25">
      <c r="A22" s="565" t="s">
        <v>1564</v>
      </c>
      <c r="B22" s="565"/>
      <c r="C22" s="565"/>
      <c r="D22" s="565"/>
      <c r="E22" s="565"/>
      <c r="F22" s="565"/>
      <c r="G22" s="565"/>
      <c r="H22" s="565"/>
      <c r="I22" s="565"/>
      <c r="J22" s="565"/>
      <c r="K22" s="94"/>
      <c r="L22" s="94"/>
      <c r="M22" s="94"/>
      <c r="N22" s="94"/>
      <c r="O22" s="94"/>
      <c r="P22" s="94"/>
      <c r="Q22" s="94"/>
      <c r="R22" s="94"/>
    </row>
    <row r="23" spans="1:18" x14ac:dyDescent="0.25">
      <c r="A23" s="569" t="s">
        <v>1565</v>
      </c>
      <c r="B23" s="569"/>
      <c r="C23" s="569"/>
      <c r="D23" s="569"/>
      <c r="E23" s="569"/>
      <c r="F23" s="569"/>
      <c r="G23" s="569"/>
      <c r="H23" s="569"/>
      <c r="I23" s="569"/>
      <c r="J23" s="569"/>
      <c r="K23" s="94"/>
      <c r="L23" s="94"/>
      <c r="M23" s="94"/>
      <c r="N23" s="94"/>
      <c r="O23" s="94"/>
      <c r="P23" s="94"/>
      <c r="Q23" s="94"/>
      <c r="R23" s="94"/>
    </row>
    <row r="24" spans="1:18" x14ac:dyDescent="0.25">
      <c r="A24" s="566" t="s">
        <v>1566</v>
      </c>
      <c r="B24" s="566"/>
      <c r="C24" s="566"/>
      <c r="D24" s="566"/>
      <c r="E24" s="566"/>
      <c r="F24" s="566"/>
      <c r="G24" s="566"/>
      <c r="H24" s="566"/>
      <c r="I24" s="566"/>
      <c r="J24" s="566"/>
      <c r="K24" s="94"/>
      <c r="L24" s="94"/>
      <c r="M24" s="94"/>
      <c r="N24" s="94"/>
      <c r="O24" s="94"/>
      <c r="P24" s="94"/>
      <c r="Q24" s="94"/>
      <c r="R24" s="94"/>
    </row>
    <row r="25" spans="1:18" x14ac:dyDescent="0.25">
      <c r="A25" s="567" t="s">
        <v>1567</v>
      </c>
      <c r="B25" s="567"/>
      <c r="C25" s="567"/>
      <c r="D25" s="567"/>
      <c r="E25" s="567"/>
      <c r="F25" s="567"/>
      <c r="G25" s="567"/>
      <c r="H25" s="567"/>
      <c r="I25" s="567"/>
      <c r="J25" s="567"/>
      <c r="K25" s="94"/>
      <c r="L25" s="94"/>
      <c r="M25" s="94"/>
      <c r="N25" s="94"/>
      <c r="O25" s="94"/>
      <c r="P25" s="94"/>
      <c r="Q25" s="94"/>
      <c r="R25" s="94"/>
    </row>
    <row r="26" spans="1:18" x14ac:dyDescent="0.25">
      <c r="A26" s="566" t="s">
        <v>1568</v>
      </c>
      <c r="B26" s="566"/>
      <c r="C26" s="566"/>
      <c r="D26" s="566"/>
      <c r="E26" s="566"/>
      <c r="F26" s="566"/>
      <c r="G26" s="566"/>
      <c r="H26" s="566"/>
      <c r="I26" s="566"/>
      <c r="J26" s="566"/>
      <c r="K26" s="94"/>
      <c r="L26" s="94"/>
      <c r="M26" s="94"/>
      <c r="N26" s="94"/>
      <c r="O26" s="94"/>
      <c r="P26" s="94"/>
      <c r="Q26" s="94"/>
      <c r="R26" s="94"/>
    </row>
    <row r="27" spans="1:18" x14ac:dyDescent="0.25">
      <c r="A27" s="567" t="s">
        <v>1569</v>
      </c>
      <c r="B27" s="567"/>
      <c r="C27" s="567"/>
      <c r="D27" s="567"/>
      <c r="E27" s="567"/>
      <c r="F27" s="567"/>
      <c r="G27" s="567"/>
      <c r="H27" s="567"/>
      <c r="I27" s="567"/>
      <c r="J27" s="567"/>
      <c r="K27" s="94"/>
      <c r="L27" s="94"/>
      <c r="M27" s="94"/>
      <c r="N27" s="94"/>
      <c r="O27" s="94"/>
      <c r="P27" s="94"/>
      <c r="Q27" s="94"/>
      <c r="R27" s="94"/>
    </row>
    <row r="28" spans="1:18" x14ac:dyDescent="0.25">
      <c r="A28" s="568" t="s">
        <v>1570</v>
      </c>
      <c r="B28" s="568"/>
      <c r="C28" s="568"/>
      <c r="D28" s="568"/>
      <c r="E28" s="568"/>
      <c r="F28" s="568"/>
      <c r="G28" s="568"/>
      <c r="H28" s="568"/>
      <c r="I28" s="568"/>
      <c r="J28" s="568"/>
      <c r="K28" s="94"/>
      <c r="L28" s="94"/>
      <c r="M28" s="94"/>
      <c r="N28" s="94"/>
      <c r="O28" s="94"/>
      <c r="P28" s="94"/>
      <c r="Q28" s="94"/>
      <c r="R28" s="94"/>
    </row>
    <row r="29" spans="1:18" x14ac:dyDescent="0.2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</row>
    <row r="30" spans="1:18" x14ac:dyDescent="0.2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</row>
    <row r="31" spans="1:18" x14ac:dyDescent="0.2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</row>
    <row r="32" spans="1:18" x14ac:dyDescent="0.2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</row>
    <row r="33" spans="1:18" x14ac:dyDescent="0.2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</row>
    <row r="34" spans="1:18" x14ac:dyDescent="0.2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</row>
    <row r="35" spans="1:18" x14ac:dyDescent="0.2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</row>
    <row r="36" spans="1:18" x14ac:dyDescent="0.25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</row>
    <row r="37" spans="1:18" x14ac:dyDescent="0.2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</row>
    <row r="38" spans="1:18" x14ac:dyDescent="0.2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</row>
    <row r="39" spans="1:18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</row>
    <row r="40" spans="1:18" x14ac:dyDescent="0.2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</row>
    <row r="41" spans="1:18" x14ac:dyDescent="0.25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</row>
    <row r="42" spans="1:18" x14ac:dyDescent="0.2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</row>
    <row r="43" spans="1:18" x14ac:dyDescent="0.25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</row>
    <row r="44" spans="1:18" x14ac:dyDescent="0.25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</row>
    <row r="45" spans="1:18" x14ac:dyDescent="0.2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</row>
    <row r="46" spans="1:18" x14ac:dyDescent="0.25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</row>
    <row r="47" spans="1:18" x14ac:dyDescent="0.25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</row>
    <row r="48" spans="1:18" x14ac:dyDescent="0.2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</row>
    <row r="49" spans="1:18" x14ac:dyDescent="0.25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</row>
    <row r="50" spans="1:18" x14ac:dyDescent="0.25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</row>
    <row r="51" spans="1:18" x14ac:dyDescent="0.25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</row>
    <row r="52" spans="1:18" x14ac:dyDescent="0.25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</row>
    <row r="53" spans="1:18" x14ac:dyDescent="0.25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</row>
    <row r="54" spans="1:18" x14ac:dyDescent="0.25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</row>
    <row r="55" spans="1:18" x14ac:dyDescent="0.2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</row>
    <row r="56" spans="1:18" x14ac:dyDescent="0.25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</row>
    <row r="57" spans="1:18" x14ac:dyDescent="0.25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</row>
    <row r="58" spans="1:18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</row>
    <row r="59" spans="1:18" x14ac:dyDescent="0.2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</row>
    <row r="60" spans="1:18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</row>
    <row r="61" spans="1:18" x14ac:dyDescent="0.25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</row>
    <row r="62" spans="1:18" x14ac:dyDescent="0.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</row>
    <row r="63" spans="1:18" x14ac:dyDescent="0.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</row>
    <row r="64" spans="1:18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</row>
    <row r="65" spans="1:18" x14ac:dyDescent="0.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</row>
    <row r="66" spans="1:18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</row>
    <row r="67" spans="1:18" x14ac:dyDescent="0.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</row>
    <row r="68" spans="1:18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</row>
    <row r="69" spans="1:18" x14ac:dyDescent="0.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</row>
    <row r="70" spans="1:18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</row>
    <row r="71" spans="1:18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</row>
    <row r="72" spans="1:18" x14ac:dyDescent="0.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</row>
    <row r="73" spans="1:18" x14ac:dyDescent="0.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</row>
    <row r="74" spans="1:18" x14ac:dyDescent="0.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</row>
    <row r="75" spans="1:18" x14ac:dyDescent="0.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</row>
    <row r="76" spans="1:18" x14ac:dyDescent="0.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</row>
    <row r="77" spans="1:18" x14ac:dyDescent="0.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</row>
    <row r="78" spans="1:18" x14ac:dyDescent="0.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</row>
    <row r="79" spans="1:18" x14ac:dyDescent="0.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</row>
    <row r="80" spans="1:18" x14ac:dyDescent="0.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</row>
  </sheetData>
  <mergeCells count="11">
    <mergeCell ref="A23:J23"/>
    <mergeCell ref="A1:P1"/>
    <mergeCell ref="A2:P2"/>
    <mergeCell ref="A4:P4"/>
    <mergeCell ref="A13:P13"/>
    <mergeCell ref="A22:J22"/>
    <mergeCell ref="A24:J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E96C-366D-4AFB-A8B6-88DBCF912423}">
  <sheetPr>
    <tabColor rgb="FF8E44AD"/>
  </sheetPr>
  <dimension ref="A1:R120"/>
  <sheetViews>
    <sheetView workbookViewId="0">
      <selection activeCell="C48" sqref="C48"/>
    </sheetView>
  </sheetViews>
  <sheetFormatPr baseColWidth="10" defaultRowHeight="15" x14ac:dyDescent="0.25"/>
  <cols>
    <col min="1" max="1" width="21.28515625" customWidth="1"/>
    <col min="2" max="3" width="24" customWidth="1"/>
    <col min="4" max="4" width="18.7109375" customWidth="1"/>
    <col min="5" max="5" width="23" customWidth="1"/>
    <col min="6" max="6" width="29.28515625" customWidth="1"/>
    <col min="7" max="7" width="21.28515625" customWidth="1"/>
    <col min="8" max="8" width="18.7109375" customWidth="1"/>
    <col min="9" max="9" width="21.28515625" customWidth="1"/>
    <col min="10" max="11" width="16" customWidth="1"/>
    <col min="12" max="12" width="24" customWidth="1"/>
    <col min="13" max="13" width="16" customWidth="1"/>
  </cols>
  <sheetData>
    <row r="1" spans="1:18" ht="17.25" x14ac:dyDescent="0.3">
      <c r="A1" s="573" t="s">
        <v>1571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110"/>
    </row>
    <row r="2" spans="1:18" x14ac:dyDescent="0.25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</row>
    <row r="3" spans="1:18" x14ac:dyDescent="0.25">
      <c r="A3" s="571" t="s">
        <v>1572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571"/>
      <c r="O3" s="571"/>
      <c r="P3" s="571"/>
      <c r="Q3" s="571"/>
      <c r="R3" s="110"/>
    </row>
    <row r="4" spans="1:18" x14ac:dyDescent="0.25">
      <c r="A4" s="14" t="s">
        <v>1573</v>
      </c>
      <c r="B4" s="14" t="s">
        <v>1574</v>
      </c>
      <c r="C4" s="14" t="s">
        <v>1575</v>
      </c>
      <c r="D4" s="14" t="s">
        <v>72</v>
      </c>
      <c r="E4" s="14" t="s">
        <v>1576</v>
      </c>
      <c r="F4" s="14" t="s">
        <v>1577</v>
      </c>
      <c r="G4" s="14" t="s">
        <v>1425</v>
      </c>
      <c r="H4" s="14" t="s">
        <v>1578</v>
      </c>
      <c r="I4" s="14" t="s">
        <v>1579</v>
      </c>
      <c r="J4" s="14" t="s">
        <v>1580</v>
      </c>
      <c r="K4" s="14" t="s">
        <v>1581</v>
      </c>
      <c r="L4" s="14" t="s">
        <v>378</v>
      </c>
      <c r="M4" s="14" t="s">
        <v>1582</v>
      </c>
      <c r="N4" s="110"/>
      <c r="O4" s="110"/>
      <c r="P4" s="110"/>
      <c r="Q4" s="110"/>
      <c r="R4" s="110"/>
    </row>
    <row r="5" spans="1:18" x14ac:dyDescent="0.25">
      <c r="A5" s="111" t="s">
        <v>1583</v>
      </c>
      <c r="B5" s="111" t="s">
        <v>26</v>
      </c>
      <c r="C5" s="111" t="s">
        <v>31</v>
      </c>
      <c r="D5" s="111" t="s">
        <v>77</v>
      </c>
      <c r="E5" s="111">
        <v>1</v>
      </c>
      <c r="F5" s="111">
        <v>18500</v>
      </c>
      <c r="G5" s="111">
        <v>18500</v>
      </c>
      <c r="H5" s="111">
        <v>708500</v>
      </c>
      <c r="I5" s="111">
        <v>601000</v>
      </c>
      <c r="J5" s="111">
        <v>451000</v>
      </c>
      <c r="K5" s="111">
        <v>451500</v>
      </c>
      <c r="L5" s="111" t="s">
        <v>1584</v>
      </c>
      <c r="M5" s="111" t="str">
        <f>IF(F5=G5,"✅ OK","⚠️ ÉCART")</f>
        <v>✅ OK</v>
      </c>
      <c r="N5" s="110"/>
      <c r="O5" s="110"/>
      <c r="P5" s="110"/>
      <c r="Q5" s="110"/>
      <c r="R5" s="110"/>
    </row>
    <row r="6" spans="1:18" x14ac:dyDescent="0.25">
      <c r="A6" s="21" t="s">
        <v>1585</v>
      </c>
      <c r="B6" s="21" t="s">
        <v>26</v>
      </c>
      <c r="C6" s="21" t="s">
        <v>33</v>
      </c>
      <c r="D6" s="21" t="s">
        <v>82</v>
      </c>
      <c r="E6" s="21">
        <v>1.165</v>
      </c>
      <c r="F6" s="21">
        <v>12400</v>
      </c>
      <c r="G6" s="21">
        <v>14446</v>
      </c>
      <c r="H6" s="21">
        <v>708500</v>
      </c>
      <c r="I6" s="21">
        <v>601000</v>
      </c>
      <c r="J6" s="21">
        <v>451000</v>
      </c>
      <c r="K6" s="21">
        <v>451500</v>
      </c>
      <c r="L6" s="21" t="s">
        <v>1584</v>
      </c>
      <c r="M6" s="21" t="str">
        <f>IF(F6*E6=G6,"✅ OK","⚠️ ÉCART")</f>
        <v>✅ OK</v>
      </c>
      <c r="N6" s="110"/>
      <c r="O6" s="110"/>
      <c r="P6" s="110"/>
      <c r="Q6" s="110"/>
      <c r="R6" s="110"/>
    </row>
    <row r="7" spans="1:18" x14ac:dyDescent="0.25">
      <c r="A7" s="111" t="s">
        <v>1586</v>
      </c>
      <c r="B7" s="111" t="s">
        <v>26</v>
      </c>
      <c r="C7" s="111" t="s">
        <v>35</v>
      </c>
      <c r="D7" s="111" t="s">
        <v>84</v>
      </c>
      <c r="E7" s="111">
        <v>0.91800000000000004</v>
      </c>
      <c r="F7" s="111">
        <v>8500</v>
      </c>
      <c r="G7" s="111">
        <v>7803</v>
      </c>
      <c r="H7" s="111">
        <v>708500</v>
      </c>
      <c r="I7" s="111">
        <v>601000</v>
      </c>
      <c r="J7" s="111">
        <v>451000</v>
      </c>
      <c r="K7" s="111">
        <v>451500</v>
      </c>
      <c r="L7" s="111" t="s">
        <v>1584</v>
      </c>
      <c r="M7" s="111" t="str">
        <f>IF(F7*E7=G7,"✅ OK","⚠️ ÉCART")</f>
        <v>✅ OK</v>
      </c>
      <c r="N7" s="110"/>
      <c r="O7" s="110"/>
      <c r="P7" s="110"/>
      <c r="Q7" s="110"/>
      <c r="R7" s="110"/>
    </row>
    <row r="8" spans="1:18" x14ac:dyDescent="0.25">
      <c r="A8" s="21" t="s">
        <v>1587</v>
      </c>
      <c r="B8" s="21" t="s">
        <v>31</v>
      </c>
      <c r="C8" s="21" t="s">
        <v>33</v>
      </c>
      <c r="D8" s="21" t="s">
        <v>82</v>
      </c>
      <c r="E8" s="21">
        <v>1.165</v>
      </c>
      <c r="F8" s="21">
        <v>3200</v>
      </c>
      <c r="G8" s="21">
        <v>3728</v>
      </c>
      <c r="H8" s="21">
        <v>708500</v>
      </c>
      <c r="I8" s="21">
        <v>601000</v>
      </c>
      <c r="J8" s="21">
        <v>451000</v>
      </c>
      <c r="K8" s="21">
        <v>451500</v>
      </c>
      <c r="L8" s="21" t="s">
        <v>1584</v>
      </c>
      <c r="M8" s="21" t="str">
        <f>IF(F8*E8=G8,"✅ OK","⚠️ ÉCART")</f>
        <v>✅ OK</v>
      </c>
      <c r="N8" s="110"/>
      <c r="O8" s="110"/>
      <c r="P8" s="110"/>
      <c r="Q8" s="110"/>
      <c r="R8" s="110"/>
    </row>
    <row r="9" spans="1:18" x14ac:dyDescent="0.25">
      <c r="A9" s="112" t="s">
        <v>1588</v>
      </c>
      <c r="B9" s="112"/>
      <c r="C9" s="112"/>
      <c r="D9" s="112"/>
      <c r="E9" s="112"/>
      <c r="F9" s="112"/>
      <c r="G9" s="112">
        <f>SUM(G5:G8)</f>
        <v>44477</v>
      </c>
      <c r="H9" s="112"/>
      <c r="I9" s="112"/>
      <c r="J9" s="112"/>
      <c r="K9" s="112"/>
      <c r="L9" s="112"/>
      <c r="M9" s="112"/>
      <c r="N9" s="110"/>
      <c r="O9" s="110"/>
      <c r="P9" s="110"/>
      <c r="Q9" s="110"/>
      <c r="R9" s="110"/>
    </row>
    <row r="10" spans="1:18" x14ac:dyDescent="0.25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</row>
    <row r="11" spans="1:18" x14ac:dyDescent="0.25">
      <c r="A11" s="574" t="s">
        <v>1589</v>
      </c>
      <c r="B11" s="574"/>
      <c r="C11" s="574"/>
      <c r="D11" s="574"/>
      <c r="E11" s="574"/>
      <c r="F11" s="574"/>
      <c r="G11" s="574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</row>
    <row r="12" spans="1:18" x14ac:dyDescent="0.25">
      <c r="A12" s="111" t="s">
        <v>875</v>
      </c>
      <c r="B12" s="111" t="s">
        <v>1590</v>
      </c>
      <c r="C12" s="111" t="s">
        <v>1591</v>
      </c>
      <c r="D12" s="111" t="s">
        <v>870</v>
      </c>
      <c r="E12" s="111" t="s">
        <v>1592</v>
      </c>
      <c r="F12" s="111" t="s">
        <v>1591</v>
      </c>
      <c r="G12" s="111" t="s">
        <v>1593</v>
      </c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</row>
    <row r="13" spans="1:18" x14ac:dyDescent="0.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</row>
    <row r="14" spans="1:18" x14ac:dyDescent="0.25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</row>
    <row r="15" spans="1:18" x14ac:dyDescent="0.25">
      <c r="A15" s="571" t="s">
        <v>1594</v>
      </c>
      <c r="B15" s="571"/>
      <c r="C15" s="571"/>
      <c r="D15" s="571"/>
      <c r="E15" s="571"/>
      <c r="F15" s="571"/>
      <c r="G15" s="571"/>
      <c r="H15" s="571"/>
      <c r="I15" s="571"/>
      <c r="J15" s="571"/>
      <c r="K15" s="571"/>
      <c r="L15" s="571"/>
      <c r="M15" s="571"/>
      <c r="N15" s="571"/>
      <c r="O15" s="571"/>
      <c r="P15" s="571"/>
      <c r="Q15" s="571"/>
      <c r="R15" s="110"/>
    </row>
    <row r="16" spans="1:18" x14ac:dyDescent="0.25">
      <c r="A16" s="14" t="s">
        <v>1573</v>
      </c>
      <c r="B16" s="14" t="s">
        <v>1574</v>
      </c>
      <c r="C16" s="14" t="s">
        <v>1575</v>
      </c>
      <c r="D16" s="14" t="s">
        <v>1595</v>
      </c>
      <c r="E16" s="14" t="s">
        <v>1596</v>
      </c>
      <c r="F16" s="14" t="s">
        <v>1597</v>
      </c>
      <c r="G16" s="14" t="s">
        <v>1598</v>
      </c>
      <c r="H16" s="14" t="s">
        <v>1599</v>
      </c>
      <c r="I16" s="14" t="s">
        <v>1600</v>
      </c>
      <c r="J16" s="14" t="s">
        <v>1601</v>
      </c>
      <c r="K16" s="14" t="s">
        <v>1602</v>
      </c>
      <c r="L16" s="14" t="s">
        <v>189</v>
      </c>
      <c r="M16" s="110"/>
      <c r="N16" s="110"/>
      <c r="O16" s="110"/>
      <c r="P16" s="110"/>
      <c r="Q16" s="110"/>
      <c r="R16" s="110"/>
    </row>
    <row r="17" spans="1:18" x14ac:dyDescent="0.25">
      <c r="A17" s="111" t="s">
        <v>1603</v>
      </c>
      <c r="B17" s="111" t="s">
        <v>26</v>
      </c>
      <c r="C17" s="111" t="s">
        <v>31</v>
      </c>
      <c r="D17" s="111">
        <v>6400</v>
      </c>
      <c r="E17" s="111">
        <v>4800</v>
      </c>
      <c r="F17" s="111">
        <v>6400</v>
      </c>
      <c r="G17" s="111">
        <f>F17-E17</f>
        <v>1600</v>
      </c>
      <c r="H17" s="111">
        <f>G17/F17</f>
        <v>0.25</v>
      </c>
      <c r="I17" s="111">
        <f>-G17</f>
        <v>-1600</v>
      </c>
      <c r="J17" s="111">
        <f>G17</f>
        <v>1600</v>
      </c>
      <c r="K17" s="111">
        <f>-G17*0.25</f>
        <v>-400</v>
      </c>
      <c r="L17" s="111" t="s">
        <v>1604</v>
      </c>
      <c r="M17" s="110"/>
      <c r="N17" s="110"/>
      <c r="O17" s="110"/>
      <c r="P17" s="110"/>
      <c r="Q17" s="110"/>
      <c r="R17" s="110"/>
    </row>
    <row r="18" spans="1:18" x14ac:dyDescent="0.25">
      <c r="A18" s="21" t="s">
        <v>1605</v>
      </c>
      <c r="B18" s="21" t="s">
        <v>26</v>
      </c>
      <c r="C18" s="21" t="s">
        <v>33</v>
      </c>
      <c r="D18" s="21">
        <v>6400</v>
      </c>
      <c r="E18" s="21">
        <v>4800</v>
      </c>
      <c r="F18" s="21">
        <v>6400</v>
      </c>
      <c r="G18" s="21">
        <f>F18-E18</f>
        <v>1600</v>
      </c>
      <c r="H18" s="21">
        <f>G18/F18</f>
        <v>0.25</v>
      </c>
      <c r="I18" s="21">
        <f>-G18</f>
        <v>-1600</v>
      </c>
      <c r="J18" s="21">
        <f>G18</f>
        <v>1600</v>
      </c>
      <c r="K18" s="21">
        <f>-G18*0.25</f>
        <v>-400</v>
      </c>
      <c r="L18" s="21" t="s">
        <v>1604</v>
      </c>
      <c r="M18" s="110"/>
      <c r="N18" s="110"/>
      <c r="O18" s="110"/>
      <c r="P18" s="110"/>
      <c r="Q18" s="110"/>
      <c r="R18" s="110"/>
    </row>
    <row r="19" spans="1:18" x14ac:dyDescent="0.25">
      <c r="A19" s="112" t="s">
        <v>1606</v>
      </c>
      <c r="B19" s="112"/>
      <c r="C19" s="112"/>
      <c r="D19" s="112"/>
      <c r="E19" s="112"/>
      <c r="F19" s="112"/>
      <c r="G19" s="112">
        <f>SUM(G17:G18)</f>
        <v>3200</v>
      </c>
      <c r="H19" s="112"/>
      <c r="I19" s="112">
        <f>SUM(I17:I18)</f>
        <v>-3200</v>
      </c>
      <c r="J19" s="112"/>
      <c r="K19" s="112">
        <f>SUM(K17:K18)</f>
        <v>-800</v>
      </c>
      <c r="L19" s="112"/>
      <c r="M19" s="110"/>
      <c r="N19" s="110"/>
      <c r="O19" s="110"/>
      <c r="P19" s="110"/>
      <c r="Q19" s="110"/>
      <c r="R19" s="110"/>
    </row>
    <row r="20" spans="1:18" x14ac:dyDescent="0.25">
      <c r="A20" s="570" t="s">
        <v>1607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110"/>
      <c r="N20" s="110"/>
      <c r="O20" s="110"/>
      <c r="P20" s="110"/>
      <c r="Q20" s="110"/>
      <c r="R20" s="110"/>
    </row>
    <row r="21" spans="1:18" x14ac:dyDescent="0.25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</row>
    <row r="22" spans="1:18" x14ac:dyDescent="0.25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</row>
    <row r="23" spans="1:18" x14ac:dyDescent="0.25">
      <c r="A23" s="571" t="s">
        <v>1608</v>
      </c>
      <c r="B23" s="571"/>
      <c r="C23" s="571"/>
      <c r="D23" s="571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110"/>
    </row>
    <row r="24" spans="1:18" x14ac:dyDescent="0.25">
      <c r="A24" s="14" t="s">
        <v>1573</v>
      </c>
      <c r="B24" s="14" t="s">
        <v>1609</v>
      </c>
      <c r="C24" s="14" t="s">
        <v>1610</v>
      </c>
      <c r="D24" s="14" t="s">
        <v>72</v>
      </c>
      <c r="E24" s="14" t="s">
        <v>1611</v>
      </c>
      <c r="F24" s="14" t="s">
        <v>1612</v>
      </c>
      <c r="G24" s="14" t="s">
        <v>1613</v>
      </c>
      <c r="H24" s="14" t="s">
        <v>1614</v>
      </c>
      <c r="I24" s="14" t="s">
        <v>1615</v>
      </c>
      <c r="J24" s="14" t="s">
        <v>986</v>
      </c>
      <c r="K24" s="110"/>
      <c r="L24" s="110"/>
      <c r="M24" s="110"/>
      <c r="N24" s="110"/>
      <c r="O24" s="110"/>
      <c r="P24" s="110"/>
      <c r="Q24" s="110"/>
      <c r="R24" s="110"/>
    </row>
    <row r="25" spans="1:18" x14ac:dyDescent="0.25">
      <c r="A25" s="111" t="s">
        <v>1616</v>
      </c>
      <c r="B25" s="111" t="s">
        <v>31</v>
      </c>
      <c r="C25" s="111" t="s">
        <v>26</v>
      </c>
      <c r="D25" s="111" t="s">
        <v>77</v>
      </c>
      <c r="E25" s="111">
        <v>1</v>
      </c>
      <c r="F25" s="111">
        <v>4200</v>
      </c>
      <c r="G25" s="111">
        <v>4200</v>
      </c>
      <c r="H25" s="111">
        <v>761000</v>
      </c>
      <c r="I25" s="111">
        <f>H25</f>
        <v>761000</v>
      </c>
      <c r="J25" s="111" t="s">
        <v>1617</v>
      </c>
      <c r="K25" s="110"/>
      <c r="L25" s="110"/>
      <c r="M25" s="110"/>
      <c r="N25" s="110"/>
      <c r="O25" s="110"/>
      <c r="P25" s="110"/>
      <c r="Q25" s="110"/>
      <c r="R25" s="110"/>
    </row>
    <row r="26" spans="1:18" x14ac:dyDescent="0.25">
      <c r="A26" s="21" t="s">
        <v>1618</v>
      </c>
      <c r="B26" s="21" t="s">
        <v>33</v>
      </c>
      <c r="C26" s="21" t="s">
        <v>26</v>
      </c>
      <c r="D26" s="21" t="s">
        <v>82</v>
      </c>
      <c r="E26" s="21">
        <v>1.165</v>
      </c>
      <c r="F26" s="21">
        <v>2800</v>
      </c>
      <c r="G26" s="21">
        <v>3262</v>
      </c>
      <c r="H26" s="21">
        <v>761000</v>
      </c>
      <c r="I26" s="21">
        <f>H26</f>
        <v>761000</v>
      </c>
      <c r="J26" s="21" t="s">
        <v>1617</v>
      </c>
      <c r="K26" s="110"/>
      <c r="L26" s="110"/>
      <c r="M26" s="110"/>
      <c r="N26" s="110"/>
      <c r="O26" s="110"/>
      <c r="P26" s="110"/>
      <c r="Q26" s="110"/>
      <c r="R26" s="110"/>
    </row>
    <row r="27" spans="1:18" x14ac:dyDescent="0.25">
      <c r="A27" s="111" t="s">
        <v>1619</v>
      </c>
      <c r="B27" s="111" t="s">
        <v>35</v>
      </c>
      <c r="C27" s="111" t="s">
        <v>26</v>
      </c>
      <c r="D27" s="111" t="s">
        <v>84</v>
      </c>
      <c r="E27" s="111">
        <v>0.91800000000000004</v>
      </c>
      <c r="F27" s="111">
        <v>1800</v>
      </c>
      <c r="G27" s="111">
        <v>1652</v>
      </c>
      <c r="H27" s="111">
        <v>761000</v>
      </c>
      <c r="I27" s="111">
        <f>H27</f>
        <v>761000</v>
      </c>
      <c r="J27" s="111" t="s">
        <v>1617</v>
      </c>
      <c r="K27" s="110"/>
      <c r="L27" s="110"/>
      <c r="M27" s="110"/>
      <c r="N27" s="110"/>
      <c r="O27" s="110"/>
      <c r="P27" s="110"/>
      <c r="Q27" s="110"/>
      <c r="R27" s="110"/>
    </row>
    <row r="28" spans="1:18" x14ac:dyDescent="0.25">
      <c r="A28" s="112" t="s">
        <v>1620</v>
      </c>
      <c r="B28" s="112"/>
      <c r="C28" s="112"/>
      <c r="D28" s="112"/>
      <c r="E28" s="112"/>
      <c r="F28" s="112"/>
      <c r="G28" s="112">
        <f>SUM(G25:G27)</f>
        <v>9114</v>
      </c>
      <c r="H28" s="112"/>
      <c r="I28" s="112"/>
      <c r="J28" s="112"/>
      <c r="K28" s="110"/>
      <c r="L28" s="110"/>
      <c r="M28" s="110"/>
      <c r="N28" s="110"/>
      <c r="O28" s="110"/>
      <c r="P28" s="110"/>
      <c r="Q28" s="110"/>
      <c r="R28" s="110"/>
    </row>
    <row r="29" spans="1:18" x14ac:dyDescent="0.25">
      <c r="A29" s="570" t="s">
        <v>1621</v>
      </c>
      <c r="B29" s="570"/>
      <c r="C29" s="570"/>
      <c r="D29" s="570"/>
      <c r="E29" s="570"/>
      <c r="F29" s="570"/>
      <c r="G29" s="570"/>
      <c r="H29" s="570"/>
      <c r="I29" s="570"/>
      <c r="J29" s="570"/>
      <c r="K29" s="110"/>
      <c r="L29" s="110"/>
      <c r="M29" s="110"/>
      <c r="N29" s="110"/>
      <c r="O29" s="110"/>
      <c r="P29" s="110"/>
      <c r="Q29" s="110"/>
      <c r="R29" s="110"/>
    </row>
    <row r="30" spans="1:18" x14ac:dyDescent="0.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</row>
    <row r="31" spans="1:18" x14ac:dyDescent="0.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</row>
    <row r="32" spans="1:18" x14ac:dyDescent="0.25">
      <c r="A32" s="571" t="s">
        <v>1622</v>
      </c>
      <c r="B32" s="571"/>
      <c r="C32" s="571"/>
      <c r="D32" s="571"/>
      <c r="E32" s="571"/>
      <c r="F32" s="571"/>
      <c r="G32" s="571"/>
      <c r="H32" s="571"/>
      <c r="I32" s="571"/>
      <c r="J32" s="571"/>
      <c r="K32" s="571"/>
      <c r="L32" s="571"/>
      <c r="M32" s="571"/>
      <c r="N32" s="571"/>
      <c r="O32" s="571"/>
      <c r="P32" s="571"/>
      <c r="Q32" s="571"/>
      <c r="R32" s="110"/>
    </row>
    <row r="33" spans="1:18" x14ac:dyDescent="0.25">
      <c r="A33" s="14" t="s">
        <v>1573</v>
      </c>
      <c r="B33" s="14" t="s">
        <v>1623</v>
      </c>
      <c r="C33" s="14" t="s">
        <v>1624</v>
      </c>
      <c r="D33" s="14" t="s">
        <v>72</v>
      </c>
      <c r="E33" s="14" t="s">
        <v>1611</v>
      </c>
      <c r="F33" s="14" t="s">
        <v>1625</v>
      </c>
      <c r="G33" s="14" t="s">
        <v>1626</v>
      </c>
      <c r="H33" s="14" t="s">
        <v>1627</v>
      </c>
      <c r="I33" s="14" t="s">
        <v>1628</v>
      </c>
      <c r="J33" s="14" t="s">
        <v>1629</v>
      </c>
      <c r="K33" s="14" t="s">
        <v>1630</v>
      </c>
      <c r="L33" s="14" t="s">
        <v>1631</v>
      </c>
      <c r="M33" s="110"/>
      <c r="N33" s="110"/>
      <c r="O33" s="110"/>
      <c r="P33" s="110"/>
      <c r="Q33" s="110"/>
      <c r="R33" s="110"/>
    </row>
    <row r="34" spans="1:18" x14ac:dyDescent="0.25">
      <c r="A34" s="111" t="s">
        <v>1632</v>
      </c>
      <c r="B34" s="111" t="s">
        <v>26</v>
      </c>
      <c r="C34" s="111" t="s">
        <v>37</v>
      </c>
      <c r="D34" s="111" t="s">
        <v>86</v>
      </c>
      <c r="E34" s="111">
        <v>0.67800000000000005</v>
      </c>
      <c r="F34" s="111">
        <v>5200</v>
      </c>
      <c r="G34" s="111">
        <v>3526</v>
      </c>
      <c r="H34" s="113">
        <v>4.4999999999999998E-2</v>
      </c>
      <c r="I34" s="111">
        <f>G34*H34</f>
        <v>158.66999999999999</v>
      </c>
      <c r="J34" s="111">
        <v>274100</v>
      </c>
      <c r="K34" s="111">
        <v>167100</v>
      </c>
      <c r="L34" s="111">
        <f>I34*0.03</f>
        <v>4.7600999999999996</v>
      </c>
      <c r="M34" s="110"/>
      <c r="N34" s="110"/>
      <c r="O34" s="110"/>
      <c r="P34" s="110"/>
      <c r="Q34" s="110"/>
      <c r="R34" s="110"/>
    </row>
    <row r="35" spans="1:18" x14ac:dyDescent="0.25">
      <c r="A35" s="21" t="s">
        <v>1633</v>
      </c>
      <c r="B35" s="21" t="s">
        <v>26</v>
      </c>
      <c r="C35" s="21" t="s">
        <v>33</v>
      </c>
      <c r="D35" s="21" t="s">
        <v>82</v>
      </c>
      <c r="E35" s="21">
        <v>1.165</v>
      </c>
      <c r="F35" s="21">
        <v>3800</v>
      </c>
      <c r="G35" s="21">
        <v>4427</v>
      </c>
      <c r="H35" s="30">
        <v>3.7999999999999999E-2</v>
      </c>
      <c r="I35" s="21">
        <f>G35*H35</f>
        <v>168.226</v>
      </c>
      <c r="J35" s="21">
        <v>274100</v>
      </c>
      <c r="K35" s="21">
        <v>167100</v>
      </c>
      <c r="L35" s="21">
        <f>I35*0.03</f>
        <v>5.04678</v>
      </c>
      <c r="M35" s="110"/>
      <c r="N35" s="110"/>
      <c r="O35" s="110"/>
      <c r="P35" s="110"/>
      <c r="Q35" s="110"/>
      <c r="R35" s="110"/>
    </row>
    <row r="36" spans="1:18" x14ac:dyDescent="0.25">
      <c r="A36" s="112" t="s">
        <v>1634</v>
      </c>
      <c r="B36" s="112"/>
      <c r="C36" s="112"/>
      <c r="D36" s="112"/>
      <c r="E36" s="112"/>
      <c r="F36" s="112"/>
      <c r="G36" s="112">
        <f>SUM(G34:G35)</f>
        <v>7953</v>
      </c>
      <c r="H36" s="112"/>
      <c r="I36" s="112">
        <f>SUM(I34:I35)</f>
        <v>326.89599999999996</v>
      </c>
      <c r="J36" s="112"/>
      <c r="K36" s="112"/>
      <c r="L36" s="112"/>
      <c r="M36" s="110"/>
      <c r="N36" s="110"/>
      <c r="O36" s="110"/>
      <c r="P36" s="110"/>
      <c r="Q36" s="110"/>
      <c r="R36" s="110"/>
    </row>
    <row r="37" spans="1:18" x14ac:dyDescent="0.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</row>
    <row r="38" spans="1:18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</row>
    <row r="39" spans="1:18" ht="15.75" x14ac:dyDescent="0.25">
      <c r="A39" s="572" t="s">
        <v>1635</v>
      </c>
      <c r="B39" s="572"/>
      <c r="C39" s="572"/>
      <c r="D39" s="572"/>
      <c r="E39" s="572"/>
      <c r="F39" s="572"/>
      <c r="G39" s="572"/>
      <c r="H39" s="572"/>
      <c r="I39" s="572"/>
      <c r="J39" s="572"/>
      <c r="K39" s="572"/>
      <c r="L39" s="572"/>
      <c r="M39" s="110"/>
      <c r="N39" s="110"/>
      <c r="O39" s="110"/>
      <c r="P39" s="110"/>
      <c r="Q39" s="110"/>
      <c r="R39" s="110"/>
    </row>
    <row r="40" spans="1:18" x14ac:dyDescent="0.25">
      <c r="A40" s="14" t="s">
        <v>1636</v>
      </c>
      <c r="B40" s="14" t="s">
        <v>1637</v>
      </c>
      <c r="C40" s="14" t="s">
        <v>1638</v>
      </c>
      <c r="D40" s="14" t="s">
        <v>1639</v>
      </c>
      <c r="E40" s="14" t="s">
        <v>1640</v>
      </c>
      <c r="F40" s="14" t="s">
        <v>1641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</row>
    <row r="41" spans="1:18" x14ac:dyDescent="0.25">
      <c r="A41" s="111" t="s">
        <v>1642</v>
      </c>
      <c r="B41" s="111">
        <f>-G9</f>
        <v>-44477</v>
      </c>
      <c r="C41" s="111">
        <v>0</v>
      </c>
      <c r="D41" s="111">
        <v>0</v>
      </c>
      <c r="E41" s="111">
        <v>0</v>
      </c>
      <c r="F41" s="111" t="s">
        <v>1643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</row>
    <row r="42" spans="1:18" x14ac:dyDescent="0.25">
      <c r="A42" s="21" t="s">
        <v>1644</v>
      </c>
      <c r="B42" s="21">
        <f>-G19</f>
        <v>-3200</v>
      </c>
      <c r="C42" s="21">
        <f>I19</f>
        <v>-3200</v>
      </c>
      <c r="D42" s="21">
        <f>K19</f>
        <v>-800</v>
      </c>
      <c r="E42" s="21">
        <v>0</v>
      </c>
      <c r="F42" s="21" t="s">
        <v>1645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</row>
    <row r="43" spans="1:18" x14ac:dyDescent="0.25">
      <c r="A43" s="111" t="s">
        <v>434</v>
      </c>
      <c r="B43" s="111">
        <f>-G28</f>
        <v>-9114</v>
      </c>
      <c r="C43" s="111">
        <v>0</v>
      </c>
      <c r="D43" s="111">
        <v>0</v>
      </c>
      <c r="E43" s="111">
        <v>0</v>
      </c>
      <c r="F43" s="111" t="s">
        <v>1646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</row>
    <row r="44" spans="1:18" x14ac:dyDescent="0.25">
      <c r="A44" s="21" t="s">
        <v>1647</v>
      </c>
      <c r="B44" s="21">
        <v>0</v>
      </c>
      <c r="C44" s="21">
        <f>-G36</f>
        <v>-7953</v>
      </c>
      <c r="D44" s="21">
        <v>0</v>
      </c>
      <c r="E44" s="21">
        <f>L36</f>
        <v>0</v>
      </c>
      <c r="F44" s="21" t="s">
        <v>1648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</row>
    <row r="45" spans="1:18" x14ac:dyDescent="0.25">
      <c r="A45" s="111" t="s">
        <v>1649</v>
      </c>
      <c r="B45" s="111">
        <f>-I36</f>
        <v>-326.89599999999996</v>
      </c>
      <c r="C45" s="111">
        <v>0</v>
      </c>
      <c r="D45" s="111">
        <v>0</v>
      </c>
      <c r="E45" s="111">
        <v>0</v>
      </c>
      <c r="F45" s="111" t="s">
        <v>294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</row>
    <row r="46" spans="1:18" x14ac:dyDescent="0.25">
      <c r="A46" s="114" t="s">
        <v>1650</v>
      </c>
      <c r="B46" s="114">
        <f>SUM(B41:B45)</f>
        <v>-57117.896000000001</v>
      </c>
      <c r="C46" s="114">
        <f>SUM(C41:C45)</f>
        <v>-11153</v>
      </c>
      <c r="D46" s="114">
        <f>SUM(D41:D45)</f>
        <v>-800</v>
      </c>
      <c r="E46" s="114">
        <f>SUM(E41:E45)</f>
        <v>0</v>
      </c>
      <c r="F46" s="114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</row>
    <row r="47" spans="1:18" x14ac:dyDescent="0.25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</row>
    <row r="48" spans="1:18" x14ac:dyDescent="0.25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</row>
    <row r="49" spans="1:18" x14ac:dyDescent="0.25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</row>
    <row r="50" spans="1:18" x14ac:dyDescent="0.25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</row>
    <row r="51" spans="1:18" x14ac:dyDescent="0.25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</row>
    <row r="52" spans="1:18" x14ac:dyDescent="0.25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</row>
    <row r="53" spans="1:18" x14ac:dyDescent="0.25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</row>
    <row r="54" spans="1:18" x14ac:dyDescent="0.25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</row>
    <row r="55" spans="1:18" x14ac:dyDescent="0.2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</row>
    <row r="56" spans="1:18" x14ac:dyDescent="0.25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</row>
    <row r="57" spans="1:18" x14ac:dyDescent="0.25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</row>
    <row r="58" spans="1:18" x14ac:dyDescent="0.25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</row>
    <row r="59" spans="1:18" x14ac:dyDescent="0.25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</row>
    <row r="60" spans="1:18" x14ac:dyDescent="0.25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</row>
    <row r="61" spans="1:18" x14ac:dyDescent="0.25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</row>
    <row r="62" spans="1:1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</row>
    <row r="63" spans="1:1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</row>
    <row r="64" spans="1:18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</row>
    <row r="65" spans="1:1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</row>
    <row r="66" spans="1:1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</row>
    <row r="67" spans="1:1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</row>
    <row r="68" spans="1:1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</row>
    <row r="69" spans="1:18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</row>
    <row r="70" spans="1:1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</row>
    <row r="71" spans="1:1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</row>
    <row r="72" spans="1:1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</row>
    <row r="73" spans="1:1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</row>
    <row r="74" spans="1:1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</row>
    <row r="75" spans="1:1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</row>
    <row r="76" spans="1:1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</row>
    <row r="77" spans="1:1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</row>
    <row r="78" spans="1:1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</row>
    <row r="79" spans="1:1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</row>
    <row r="80" spans="1:1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</row>
    <row r="81" spans="1:1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</row>
    <row r="82" spans="1:1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</row>
    <row r="83" spans="1:1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</row>
    <row r="84" spans="1:1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</row>
    <row r="85" spans="1:18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</row>
    <row r="86" spans="1:1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</row>
    <row r="87" spans="1:1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</row>
    <row r="88" spans="1:1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</row>
    <row r="89" spans="1:1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</row>
    <row r="90" spans="1:1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</row>
    <row r="91" spans="1:1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</row>
    <row r="92" spans="1:1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</row>
    <row r="93" spans="1:18" x14ac:dyDescent="0.25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</row>
    <row r="94" spans="1:1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</row>
    <row r="95" spans="1:1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</row>
    <row r="96" spans="1:1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</row>
    <row r="97" spans="1:1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</row>
    <row r="98" spans="1:1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</row>
    <row r="99" spans="1:1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</row>
    <row r="100" spans="1:1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</row>
    <row r="101" spans="1:1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</row>
    <row r="102" spans="1:1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</row>
    <row r="103" spans="1:1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</row>
    <row r="104" spans="1:1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</row>
    <row r="105" spans="1:1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</row>
    <row r="106" spans="1:1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</row>
    <row r="107" spans="1:1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</row>
    <row r="108" spans="1:1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</row>
    <row r="109" spans="1:1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</row>
    <row r="110" spans="1:1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</row>
    <row r="111" spans="1:1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</row>
    <row r="112" spans="1:1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</row>
    <row r="113" spans="1:1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</row>
    <row r="114" spans="1:1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</row>
    <row r="115" spans="1:1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</row>
    <row r="116" spans="1:1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</row>
    <row r="117" spans="1:1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</row>
    <row r="118" spans="1:1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</row>
    <row r="119" spans="1:1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</row>
    <row r="120" spans="1:1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</row>
  </sheetData>
  <mergeCells count="9">
    <mergeCell ref="A29:J29"/>
    <mergeCell ref="A32:Q32"/>
    <mergeCell ref="A39:L39"/>
    <mergeCell ref="A1:Q1"/>
    <mergeCell ref="A3:Q3"/>
    <mergeCell ref="A11:G11"/>
    <mergeCell ref="A15:Q15"/>
    <mergeCell ref="A20:L20"/>
    <mergeCell ref="A23:Q2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E6F4-1C30-4F60-AF12-500F63D75944}">
  <sheetPr>
    <tabColor rgb="FF6A1B9A"/>
  </sheetPr>
  <dimension ref="A1:H200"/>
  <sheetViews>
    <sheetView workbookViewId="0">
      <selection activeCell="D6" sqref="D6:F6"/>
    </sheetView>
  </sheetViews>
  <sheetFormatPr baseColWidth="10" defaultRowHeight="15" x14ac:dyDescent="0.25"/>
  <cols>
    <col min="1" max="1" width="45.7109375" customWidth="1"/>
    <col min="2" max="2" width="19" customWidth="1"/>
    <col min="3" max="3" width="34.28515625" customWidth="1"/>
    <col min="4" max="6" width="66.7109375" customWidth="1"/>
    <col min="7" max="7" width="32.42578125" customWidth="1"/>
  </cols>
  <sheetData>
    <row r="1" spans="1:8" ht="18.75" x14ac:dyDescent="0.3">
      <c r="A1" s="583" t="s">
        <v>1651</v>
      </c>
      <c r="B1" s="583"/>
      <c r="C1" s="583"/>
      <c r="D1" s="583"/>
      <c r="E1" s="583"/>
      <c r="F1" s="583"/>
      <c r="G1" s="583"/>
      <c r="H1" s="115"/>
    </row>
    <row r="2" spans="1:8" x14ac:dyDescent="0.25">
      <c r="A2" s="584" t="s">
        <v>1652</v>
      </c>
      <c r="B2" s="584"/>
      <c r="C2" s="584"/>
      <c r="D2" s="584"/>
      <c r="E2" s="584"/>
      <c r="F2" s="584"/>
      <c r="G2" s="584"/>
      <c r="H2" s="115"/>
    </row>
    <row r="3" spans="1:8" x14ac:dyDescent="0.25">
      <c r="A3" s="115"/>
      <c r="B3" s="115"/>
      <c r="C3" s="115"/>
      <c r="D3" s="115"/>
      <c r="E3" s="115"/>
      <c r="F3" s="115"/>
      <c r="G3" s="115"/>
      <c r="H3" s="115"/>
    </row>
    <row r="4" spans="1:8" ht="360" customHeight="1" x14ac:dyDescent="0.25">
      <c r="A4" s="585" t="s">
        <v>1653</v>
      </c>
      <c r="B4" s="585"/>
      <c r="C4" s="585"/>
      <c r="D4" s="585"/>
      <c r="E4" s="585"/>
      <c r="F4" s="585"/>
      <c r="G4" s="585"/>
      <c r="H4" s="115"/>
    </row>
    <row r="5" spans="1:8" x14ac:dyDescent="0.25">
      <c r="A5" s="116" t="s">
        <v>1654</v>
      </c>
      <c r="B5" s="116" t="s">
        <v>1655</v>
      </c>
      <c r="C5" s="116" t="s">
        <v>16</v>
      </c>
      <c r="D5" s="116" t="s">
        <v>1656</v>
      </c>
      <c r="E5" s="116"/>
      <c r="F5" s="116"/>
      <c r="G5" s="116" t="s">
        <v>1657</v>
      </c>
      <c r="H5" s="115"/>
    </row>
    <row r="6" spans="1:8" ht="336.75" customHeight="1" x14ac:dyDescent="0.25">
      <c r="A6" s="117" t="s">
        <v>1658</v>
      </c>
      <c r="B6" s="118" t="s">
        <v>1659</v>
      </c>
      <c r="C6" s="119" t="s">
        <v>1660</v>
      </c>
      <c r="D6" s="576" t="s">
        <v>1661</v>
      </c>
      <c r="E6" s="576"/>
      <c r="F6" s="576"/>
      <c r="G6" s="120" t="s">
        <v>1662</v>
      </c>
      <c r="H6" s="115"/>
    </row>
    <row r="7" spans="1:8" ht="228.75" customHeight="1" x14ac:dyDescent="0.25">
      <c r="A7" s="117" t="s">
        <v>1663</v>
      </c>
      <c r="B7" s="118" t="s">
        <v>1659</v>
      </c>
      <c r="C7" s="119" t="s">
        <v>1664</v>
      </c>
      <c r="D7" s="576" t="s">
        <v>1665</v>
      </c>
      <c r="E7" s="576"/>
      <c r="F7" s="576"/>
      <c r="G7" s="120" t="s">
        <v>1666</v>
      </c>
      <c r="H7" s="115"/>
    </row>
    <row r="8" spans="1:8" ht="409.6" customHeight="1" x14ac:dyDescent="0.25">
      <c r="A8" s="117" t="s">
        <v>1667</v>
      </c>
      <c r="B8" s="118" t="s">
        <v>1659</v>
      </c>
      <c r="C8" s="119" t="s">
        <v>1668</v>
      </c>
      <c r="D8" s="576" t="s">
        <v>1669</v>
      </c>
      <c r="E8" s="576"/>
      <c r="F8" s="576"/>
      <c r="G8" s="120" t="s">
        <v>1670</v>
      </c>
      <c r="H8" s="115"/>
    </row>
    <row r="9" spans="1:8" ht="240.75" customHeight="1" x14ac:dyDescent="0.25">
      <c r="A9" s="117" t="s">
        <v>1671</v>
      </c>
      <c r="B9" s="118" t="s">
        <v>1659</v>
      </c>
      <c r="C9" s="119" t="s">
        <v>1672</v>
      </c>
      <c r="D9" s="576" t="s">
        <v>1673</v>
      </c>
      <c r="E9" s="576"/>
      <c r="F9" s="576"/>
      <c r="G9" s="120" t="s">
        <v>1674</v>
      </c>
      <c r="H9" s="115"/>
    </row>
    <row r="10" spans="1:8" ht="192.75" customHeight="1" x14ac:dyDescent="0.25">
      <c r="A10" s="117" t="s">
        <v>1675</v>
      </c>
      <c r="B10" s="118" t="s">
        <v>1659</v>
      </c>
      <c r="C10" s="119" t="s">
        <v>1676</v>
      </c>
      <c r="D10" s="576" t="s">
        <v>1677</v>
      </c>
      <c r="E10" s="576"/>
      <c r="F10" s="576"/>
      <c r="G10" s="120" t="s">
        <v>1678</v>
      </c>
      <c r="H10" s="115"/>
    </row>
    <row r="11" spans="1:8" ht="192.75" customHeight="1" x14ac:dyDescent="0.25">
      <c r="A11" s="117" t="s">
        <v>1679</v>
      </c>
      <c r="B11" s="118" t="s">
        <v>1659</v>
      </c>
      <c r="C11" s="119" t="s">
        <v>1680</v>
      </c>
      <c r="D11" s="576" t="s">
        <v>1681</v>
      </c>
      <c r="E11" s="576"/>
      <c r="F11" s="576"/>
      <c r="G11" s="120" t="s">
        <v>1682</v>
      </c>
      <c r="H11" s="115"/>
    </row>
    <row r="12" spans="1:8" ht="180.75" customHeight="1" x14ac:dyDescent="0.25">
      <c r="A12" s="117" t="s">
        <v>1683</v>
      </c>
      <c r="B12" s="118" t="s">
        <v>1659</v>
      </c>
      <c r="C12" s="119" t="s">
        <v>1684</v>
      </c>
      <c r="D12" s="576" t="s">
        <v>1685</v>
      </c>
      <c r="E12" s="576"/>
      <c r="F12" s="576"/>
      <c r="G12" s="120" t="s">
        <v>1686</v>
      </c>
      <c r="H12" s="115"/>
    </row>
    <row r="13" spans="1:8" ht="132.75" customHeight="1" x14ac:dyDescent="0.25">
      <c r="A13" s="117" t="s">
        <v>1687</v>
      </c>
      <c r="B13" s="118" t="s">
        <v>1659</v>
      </c>
      <c r="C13" s="119" t="s">
        <v>1688</v>
      </c>
      <c r="D13" s="576" t="s">
        <v>1689</v>
      </c>
      <c r="E13" s="576"/>
      <c r="F13" s="576"/>
      <c r="G13" s="120" t="s">
        <v>1690</v>
      </c>
      <c r="H13" s="115"/>
    </row>
    <row r="14" spans="1:8" x14ac:dyDescent="0.25">
      <c r="A14" s="115"/>
      <c r="B14" s="115"/>
      <c r="C14" s="115"/>
      <c r="D14" s="115"/>
      <c r="E14" s="115"/>
      <c r="F14" s="115"/>
      <c r="G14" s="115"/>
      <c r="H14" s="115"/>
    </row>
    <row r="15" spans="1:8" ht="330" customHeight="1" x14ac:dyDescent="0.25">
      <c r="A15" s="581" t="s">
        <v>1691</v>
      </c>
      <c r="B15" s="581"/>
      <c r="C15" s="581"/>
      <c r="D15" s="581"/>
      <c r="E15" s="581"/>
      <c r="F15" s="581"/>
      <c r="G15" s="581"/>
      <c r="H15" s="115"/>
    </row>
    <row r="16" spans="1:8" x14ac:dyDescent="0.25">
      <c r="A16" s="116" t="s">
        <v>1654</v>
      </c>
      <c r="B16" s="116" t="s">
        <v>1655</v>
      </c>
      <c r="C16" s="116" t="s">
        <v>16</v>
      </c>
      <c r="D16" s="116" t="s">
        <v>1656</v>
      </c>
      <c r="E16" s="116"/>
      <c r="F16" s="116"/>
      <c r="G16" s="116" t="s">
        <v>1657</v>
      </c>
      <c r="H16" s="115"/>
    </row>
    <row r="17" spans="1:8" ht="72.75" customHeight="1" x14ac:dyDescent="0.25">
      <c r="A17" s="117" t="s">
        <v>1692</v>
      </c>
      <c r="B17" s="118" t="s">
        <v>1693</v>
      </c>
      <c r="C17" s="119" t="s">
        <v>1694</v>
      </c>
      <c r="D17" s="576" t="s">
        <v>1695</v>
      </c>
      <c r="E17" s="576"/>
      <c r="F17" s="576"/>
      <c r="G17" s="120" t="s">
        <v>1696</v>
      </c>
      <c r="H17" s="115"/>
    </row>
    <row r="18" spans="1:8" ht="72.75" customHeight="1" x14ac:dyDescent="0.25">
      <c r="A18" s="117" t="s">
        <v>1697</v>
      </c>
      <c r="B18" s="118" t="s">
        <v>1693</v>
      </c>
      <c r="C18" s="119" t="s">
        <v>1698</v>
      </c>
      <c r="D18" s="576" t="s">
        <v>1699</v>
      </c>
      <c r="E18" s="576"/>
      <c r="F18" s="576"/>
      <c r="G18" s="120" t="s">
        <v>1700</v>
      </c>
      <c r="H18" s="115"/>
    </row>
    <row r="19" spans="1:8" ht="84.75" customHeight="1" x14ac:dyDescent="0.25">
      <c r="A19" s="117" t="s">
        <v>1701</v>
      </c>
      <c r="B19" s="118" t="s">
        <v>1693</v>
      </c>
      <c r="C19" s="119" t="s">
        <v>1702</v>
      </c>
      <c r="D19" s="576" t="s">
        <v>1703</v>
      </c>
      <c r="E19" s="576"/>
      <c r="F19" s="576"/>
      <c r="G19" s="120" t="s">
        <v>1704</v>
      </c>
      <c r="H19" s="115"/>
    </row>
    <row r="20" spans="1:8" ht="252.75" customHeight="1" x14ac:dyDescent="0.25">
      <c r="A20" s="117" t="s">
        <v>1705</v>
      </c>
      <c r="B20" s="118" t="s">
        <v>1693</v>
      </c>
      <c r="C20" s="119" t="s">
        <v>1706</v>
      </c>
      <c r="D20" s="576" t="s">
        <v>1707</v>
      </c>
      <c r="E20" s="576"/>
      <c r="F20" s="576"/>
      <c r="G20" s="120" t="s">
        <v>1708</v>
      </c>
      <c r="H20" s="115"/>
    </row>
    <row r="21" spans="1:8" x14ac:dyDescent="0.25">
      <c r="A21" s="115"/>
      <c r="B21" s="115"/>
      <c r="C21" s="115"/>
      <c r="D21" s="115"/>
      <c r="E21" s="115"/>
      <c r="F21" s="115"/>
      <c r="G21" s="115"/>
      <c r="H21" s="115"/>
    </row>
    <row r="22" spans="1:8" ht="360" customHeight="1" x14ac:dyDescent="0.25">
      <c r="A22" s="582" t="s">
        <v>1709</v>
      </c>
      <c r="B22" s="582"/>
      <c r="C22" s="582"/>
      <c r="D22" s="582"/>
      <c r="E22" s="582"/>
      <c r="F22" s="582"/>
      <c r="G22" s="582"/>
      <c r="H22" s="115"/>
    </row>
    <row r="23" spans="1:8" x14ac:dyDescent="0.25">
      <c r="A23" s="116" t="s">
        <v>1654</v>
      </c>
      <c r="B23" s="116" t="s">
        <v>1655</v>
      </c>
      <c r="C23" s="116" t="s">
        <v>16</v>
      </c>
      <c r="D23" s="116" t="s">
        <v>1656</v>
      </c>
      <c r="E23" s="116"/>
      <c r="F23" s="116"/>
      <c r="G23" s="116" t="s">
        <v>1657</v>
      </c>
      <c r="H23" s="115"/>
    </row>
    <row r="24" spans="1:8" ht="409.6" customHeight="1" x14ac:dyDescent="0.25">
      <c r="A24" s="117" t="s">
        <v>1710</v>
      </c>
      <c r="B24" s="118" t="s">
        <v>1659</v>
      </c>
      <c r="C24" s="119" t="s">
        <v>1711</v>
      </c>
      <c r="D24" s="576" t="s">
        <v>1712</v>
      </c>
      <c r="E24" s="576"/>
      <c r="F24" s="576"/>
      <c r="G24" s="120" t="s">
        <v>344</v>
      </c>
      <c r="H24" s="115"/>
    </row>
    <row r="25" spans="1:8" ht="409.6" customHeight="1" x14ac:dyDescent="0.25">
      <c r="A25" s="117" t="s">
        <v>1713</v>
      </c>
      <c r="B25" s="118" t="s">
        <v>1659</v>
      </c>
      <c r="C25" s="119" t="s">
        <v>1714</v>
      </c>
      <c r="D25" s="576" t="s">
        <v>1715</v>
      </c>
      <c r="E25" s="576"/>
      <c r="F25" s="576"/>
      <c r="G25" s="120" t="s">
        <v>346</v>
      </c>
      <c r="H25" s="115"/>
    </row>
    <row r="26" spans="1:8" ht="240.75" customHeight="1" x14ac:dyDescent="0.25">
      <c r="A26" s="117" t="s">
        <v>1716</v>
      </c>
      <c r="B26" s="118" t="s">
        <v>1693</v>
      </c>
      <c r="C26" s="119" t="s">
        <v>1717</v>
      </c>
      <c r="D26" s="576" t="s">
        <v>1718</v>
      </c>
      <c r="E26" s="576"/>
      <c r="F26" s="576"/>
      <c r="G26" s="120" t="s">
        <v>1719</v>
      </c>
      <c r="H26" s="115"/>
    </row>
    <row r="27" spans="1:8" x14ac:dyDescent="0.25">
      <c r="A27" s="115"/>
      <c r="B27" s="115"/>
      <c r="C27" s="115"/>
      <c r="D27" s="115"/>
      <c r="E27" s="115"/>
      <c r="F27" s="115"/>
      <c r="G27" s="115"/>
      <c r="H27" s="115"/>
    </row>
    <row r="28" spans="1:8" ht="330" customHeight="1" x14ac:dyDescent="0.25">
      <c r="A28" s="578" t="s">
        <v>1720</v>
      </c>
      <c r="B28" s="578"/>
      <c r="C28" s="578"/>
      <c r="D28" s="578"/>
      <c r="E28" s="578"/>
      <c r="F28" s="578"/>
      <c r="G28" s="578"/>
      <c r="H28" s="115"/>
    </row>
    <row r="29" spans="1:8" x14ac:dyDescent="0.25">
      <c r="A29" s="116" t="s">
        <v>1654</v>
      </c>
      <c r="B29" s="116" t="s">
        <v>1655</v>
      </c>
      <c r="C29" s="116" t="s">
        <v>16</v>
      </c>
      <c r="D29" s="116" t="s">
        <v>1656</v>
      </c>
      <c r="E29" s="116"/>
      <c r="F29" s="116"/>
      <c r="G29" s="116" t="s">
        <v>1657</v>
      </c>
      <c r="H29" s="115"/>
    </row>
    <row r="30" spans="1:8" ht="312.75" customHeight="1" x14ac:dyDescent="0.25">
      <c r="A30" s="117" t="s">
        <v>1721</v>
      </c>
      <c r="B30" s="118" t="s">
        <v>1722</v>
      </c>
      <c r="C30" s="119" t="s">
        <v>1723</v>
      </c>
      <c r="D30" s="576" t="s">
        <v>1724</v>
      </c>
      <c r="E30" s="576"/>
      <c r="F30" s="576"/>
      <c r="G30" s="120" t="s">
        <v>1725</v>
      </c>
      <c r="H30" s="115"/>
    </row>
    <row r="31" spans="1:8" ht="409.6" customHeight="1" x14ac:dyDescent="0.25">
      <c r="A31" s="117" t="s">
        <v>1726</v>
      </c>
      <c r="B31" s="118" t="s">
        <v>1693</v>
      </c>
      <c r="C31" s="119" t="s">
        <v>1727</v>
      </c>
      <c r="D31" s="576" t="s">
        <v>1728</v>
      </c>
      <c r="E31" s="576"/>
      <c r="F31" s="576"/>
      <c r="G31" s="120" t="s">
        <v>1729</v>
      </c>
      <c r="H31" s="115"/>
    </row>
    <row r="32" spans="1:8" x14ac:dyDescent="0.25">
      <c r="A32" s="115"/>
      <c r="B32" s="115"/>
      <c r="C32" s="115"/>
      <c r="D32" s="115"/>
      <c r="E32" s="115"/>
      <c r="F32" s="115"/>
      <c r="G32" s="115"/>
      <c r="H32" s="115"/>
    </row>
    <row r="33" spans="1:8" ht="360" customHeight="1" x14ac:dyDescent="0.25">
      <c r="A33" s="579" t="s">
        <v>1730</v>
      </c>
      <c r="B33" s="579"/>
      <c r="C33" s="579"/>
      <c r="D33" s="579"/>
      <c r="E33" s="579"/>
      <c r="F33" s="579"/>
      <c r="G33" s="579"/>
      <c r="H33" s="115"/>
    </row>
    <row r="34" spans="1:8" x14ac:dyDescent="0.25">
      <c r="A34" s="116" t="s">
        <v>1654</v>
      </c>
      <c r="B34" s="116" t="s">
        <v>1655</v>
      </c>
      <c r="C34" s="116" t="s">
        <v>16</v>
      </c>
      <c r="D34" s="116" t="s">
        <v>1656</v>
      </c>
      <c r="E34" s="116"/>
      <c r="F34" s="116"/>
      <c r="G34" s="116" t="s">
        <v>1657</v>
      </c>
      <c r="H34" s="115"/>
    </row>
    <row r="35" spans="1:8" ht="300.75" customHeight="1" x14ac:dyDescent="0.25">
      <c r="A35" s="117" t="s">
        <v>1731</v>
      </c>
      <c r="B35" s="118" t="s">
        <v>1693</v>
      </c>
      <c r="C35" s="119" t="s">
        <v>1732</v>
      </c>
      <c r="D35" s="576" t="s">
        <v>1733</v>
      </c>
      <c r="E35" s="576"/>
      <c r="F35" s="576"/>
      <c r="G35" s="120" t="s">
        <v>1643</v>
      </c>
      <c r="H35" s="115"/>
    </row>
    <row r="36" spans="1:8" ht="144.75" customHeight="1" x14ac:dyDescent="0.25">
      <c r="A36" s="117" t="s">
        <v>1734</v>
      </c>
      <c r="B36" s="118" t="s">
        <v>1693</v>
      </c>
      <c r="C36" s="119" t="s">
        <v>1735</v>
      </c>
      <c r="D36" s="576" t="s">
        <v>1736</v>
      </c>
      <c r="E36" s="576"/>
      <c r="F36" s="576"/>
      <c r="G36" s="120" t="s">
        <v>1737</v>
      </c>
      <c r="H36" s="115"/>
    </row>
    <row r="37" spans="1:8" ht="252.75" customHeight="1" x14ac:dyDescent="0.25">
      <c r="A37" s="117" t="s">
        <v>1738</v>
      </c>
      <c r="B37" s="118" t="s">
        <v>1693</v>
      </c>
      <c r="C37" s="119" t="s">
        <v>1739</v>
      </c>
      <c r="D37" s="576" t="s">
        <v>1740</v>
      </c>
      <c r="E37" s="576"/>
      <c r="F37" s="576"/>
      <c r="G37" s="120" t="s">
        <v>1646</v>
      </c>
      <c r="H37" s="115"/>
    </row>
    <row r="38" spans="1:8" x14ac:dyDescent="0.25">
      <c r="A38" s="115"/>
      <c r="B38" s="115"/>
      <c r="C38" s="115"/>
      <c r="D38" s="115"/>
      <c r="E38" s="115"/>
      <c r="F38" s="115"/>
      <c r="G38" s="115"/>
      <c r="H38" s="115"/>
    </row>
    <row r="39" spans="1:8" ht="330" customHeight="1" x14ac:dyDescent="0.25">
      <c r="A39" s="580" t="s">
        <v>1741</v>
      </c>
      <c r="B39" s="580"/>
      <c r="C39" s="580"/>
      <c r="D39" s="580"/>
      <c r="E39" s="580"/>
      <c r="F39" s="580"/>
      <c r="G39" s="580"/>
      <c r="H39" s="115"/>
    </row>
    <row r="40" spans="1:8" x14ac:dyDescent="0.25">
      <c r="A40" s="116" t="s">
        <v>1654</v>
      </c>
      <c r="B40" s="116" t="s">
        <v>1655</v>
      </c>
      <c r="C40" s="116" t="s">
        <v>16</v>
      </c>
      <c r="D40" s="116" t="s">
        <v>1656</v>
      </c>
      <c r="E40" s="116"/>
      <c r="F40" s="116"/>
      <c r="G40" s="116" t="s">
        <v>1657</v>
      </c>
      <c r="H40" s="115"/>
    </row>
    <row r="41" spans="1:8" ht="372.75" customHeight="1" x14ac:dyDescent="0.25">
      <c r="A41" s="117" t="s">
        <v>1742</v>
      </c>
      <c r="B41" s="118" t="s">
        <v>1693</v>
      </c>
      <c r="C41" s="119" t="s">
        <v>1743</v>
      </c>
      <c r="D41" s="576" t="s">
        <v>1744</v>
      </c>
      <c r="E41" s="576"/>
      <c r="F41" s="576"/>
      <c r="G41" s="120" t="s">
        <v>513</v>
      </c>
      <c r="H41" s="115"/>
    </row>
    <row r="42" spans="1:8" ht="372.75" customHeight="1" x14ac:dyDescent="0.25">
      <c r="A42" s="117" t="s">
        <v>1745</v>
      </c>
      <c r="B42" s="118" t="s">
        <v>1693</v>
      </c>
      <c r="C42" s="119" t="s">
        <v>1746</v>
      </c>
      <c r="D42" s="576" t="s">
        <v>1747</v>
      </c>
      <c r="E42" s="576"/>
      <c r="F42" s="576"/>
      <c r="G42" s="120" t="s">
        <v>1748</v>
      </c>
      <c r="H42" s="115"/>
    </row>
    <row r="43" spans="1:8" ht="300.75" customHeight="1" x14ac:dyDescent="0.25">
      <c r="A43" s="117" t="s">
        <v>1749</v>
      </c>
      <c r="B43" s="118" t="s">
        <v>1693</v>
      </c>
      <c r="C43" s="119" t="s">
        <v>1750</v>
      </c>
      <c r="D43" s="576" t="s">
        <v>1751</v>
      </c>
      <c r="E43" s="576"/>
      <c r="F43" s="576"/>
      <c r="G43" s="120" t="s">
        <v>544</v>
      </c>
      <c r="H43" s="115"/>
    </row>
    <row r="44" spans="1:8" x14ac:dyDescent="0.25">
      <c r="A44" s="115"/>
      <c r="B44" s="115"/>
      <c r="C44" s="115"/>
      <c r="D44" s="115"/>
      <c r="E44" s="115"/>
      <c r="F44" s="115"/>
      <c r="G44" s="115"/>
      <c r="H44" s="115"/>
    </row>
    <row r="45" spans="1:8" ht="345" customHeight="1" x14ac:dyDescent="0.25">
      <c r="A45" s="577" t="s">
        <v>1752</v>
      </c>
      <c r="B45" s="577"/>
      <c r="C45" s="577"/>
      <c r="D45" s="577"/>
      <c r="E45" s="577"/>
      <c r="F45" s="577"/>
      <c r="G45" s="577"/>
      <c r="H45" s="115"/>
    </row>
    <row r="46" spans="1:8" x14ac:dyDescent="0.25">
      <c r="A46" s="116" t="s">
        <v>1654</v>
      </c>
      <c r="B46" s="116" t="s">
        <v>1655</v>
      </c>
      <c r="C46" s="116" t="s">
        <v>16</v>
      </c>
      <c r="D46" s="116" t="s">
        <v>1656</v>
      </c>
      <c r="E46" s="116"/>
      <c r="F46" s="116"/>
      <c r="G46" s="116" t="s">
        <v>1657</v>
      </c>
      <c r="H46" s="115"/>
    </row>
    <row r="47" spans="1:8" ht="240.75" customHeight="1" x14ac:dyDescent="0.25">
      <c r="A47" s="117" t="s">
        <v>1753</v>
      </c>
      <c r="B47" s="118" t="s">
        <v>1693</v>
      </c>
      <c r="C47" s="119" t="s">
        <v>1754</v>
      </c>
      <c r="D47" s="576" t="s">
        <v>1755</v>
      </c>
      <c r="E47" s="576"/>
      <c r="F47" s="576"/>
      <c r="G47" s="120" t="s">
        <v>1756</v>
      </c>
      <c r="H47" s="115"/>
    </row>
    <row r="48" spans="1:8" ht="156.75" customHeight="1" x14ac:dyDescent="0.25">
      <c r="A48" s="117" t="s">
        <v>1757</v>
      </c>
      <c r="B48" s="118" t="s">
        <v>1693</v>
      </c>
      <c r="C48" s="119" t="s">
        <v>1758</v>
      </c>
      <c r="D48" s="576" t="s">
        <v>1759</v>
      </c>
      <c r="E48" s="576"/>
      <c r="F48" s="576"/>
      <c r="G48" s="120" t="s">
        <v>1760</v>
      </c>
      <c r="H48" s="115"/>
    </row>
    <row r="49" spans="1:8" ht="288.75" customHeight="1" x14ac:dyDescent="0.25">
      <c r="A49" s="117" t="s">
        <v>1761</v>
      </c>
      <c r="B49" s="118" t="s">
        <v>1693</v>
      </c>
      <c r="C49" s="119" t="s">
        <v>1762</v>
      </c>
      <c r="D49" s="576" t="s">
        <v>1763</v>
      </c>
      <c r="E49" s="576"/>
      <c r="F49" s="576"/>
      <c r="G49" s="120" t="s">
        <v>1764</v>
      </c>
      <c r="H49" s="115"/>
    </row>
    <row r="50" spans="1:8" ht="156.75" customHeight="1" x14ac:dyDescent="0.25">
      <c r="A50" s="117" t="s">
        <v>1765</v>
      </c>
      <c r="B50" s="118" t="s">
        <v>1693</v>
      </c>
      <c r="C50" s="119" t="s">
        <v>1766</v>
      </c>
      <c r="D50" s="576" t="s">
        <v>1767</v>
      </c>
      <c r="E50" s="576"/>
      <c r="F50" s="576"/>
      <c r="G50" s="120" t="s">
        <v>1768</v>
      </c>
      <c r="H50" s="115"/>
    </row>
    <row r="51" spans="1:8" x14ac:dyDescent="0.25">
      <c r="A51" s="115"/>
      <c r="B51" s="115"/>
      <c r="C51" s="115"/>
      <c r="D51" s="115"/>
      <c r="E51" s="115"/>
      <c r="F51" s="115"/>
      <c r="G51" s="115"/>
      <c r="H51" s="115"/>
    </row>
    <row r="52" spans="1:8" ht="390" customHeight="1" x14ac:dyDescent="0.25">
      <c r="A52" s="575" t="s">
        <v>1769</v>
      </c>
      <c r="B52" s="575"/>
      <c r="C52" s="575"/>
      <c r="D52" s="575"/>
      <c r="E52" s="575"/>
      <c r="F52" s="575"/>
      <c r="G52" s="575"/>
      <c r="H52" s="115"/>
    </row>
    <row r="53" spans="1:8" x14ac:dyDescent="0.25">
      <c r="A53" s="116" t="s">
        <v>1654</v>
      </c>
      <c r="B53" s="116" t="s">
        <v>1655</v>
      </c>
      <c r="C53" s="116" t="s">
        <v>16</v>
      </c>
      <c r="D53" s="116" t="s">
        <v>1656</v>
      </c>
      <c r="E53" s="116"/>
      <c r="F53" s="116"/>
      <c r="G53" s="116" t="s">
        <v>1657</v>
      </c>
      <c r="H53" s="115"/>
    </row>
    <row r="54" spans="1:8" ht="409.6" customHeight="1" x14ac:dyDescent="0.25">
      <c r="A54" s="117" t="s">
        <v>1770</v>
      </c>
      <c r="B54" s="118" t="s">
        <v>1659</v>
      </c>
      <c r="C54" s="119" t="s">
        <v>1771</v>
      </c>
      <c r="D54" s="576" t="s">
        <v>1772</v>
      </c>
      <c r="E54" s="576"/>
      <c r="F54" s="576"/>
      <c r="G54" s="120" t="s">
        <v>1773</v>
      </c>
      <c r="H54" s="115"/>
    </row>
    <row r="55" spans="1:8" ht="288.75" customHeight="1" x14ac:dyDescent="0.25">
      <c r="A55" s="117" t="s">
        <v>1774</v>
      </c>
      <c r="B55" s="118" t="s">
        <v>1659</v>
      </c>
      <c r="C55" s="119" t="s">
        <v>1775</v>
      </c>
      <c r="D55" s="576" t="s">
        <v>1776</v>
      </c>
      <c r="E55" s="576"/>
      <c r="F55" s="576"/>
      <c r="G55" s="120" t="s">
        <v>1777</v>
      </c>
      <c r="H55" s="115"/>
    </row>
    <row r="56" spans="1:8" x14ac:dyDescent="0.25">
      <c r="A56" s="115"/>
      <c r="B56" s="115"/>
      <c r="C56" s="115"/>
      <c r="D56" s="115"/>
      <c r="E56" s="115"/>
      <c r="F56" s="115"/>
      <c r="G56" s="115"/>
      <c r="H56" s="115"/>
    </row>
    <row r="57" spans="1:8" x14ac:dyDescent="0.25">
      <c r="A57" s="115"/>
      <c r="B57" s="115"/>
      <c r="C57" s="115"/>
      <c r="D57" s="115"/>
      <c r="E57" s="115"/>
      <c r="F57" s="115"/>
      <c r="G57" s="115"/>
      <c r="H57" s="115"/>
    </row>
    <row r="58" spans="1:8" x14ac:dyDescent="0.25">
      <c r="A58" s="115"/>
      <c r="B58" s="115"/>
      <c r="C58" s="115"/>
      <c r="D58" s="115"/>
      <c r="E58" s="115"/>
      <c r="F58" s="115"/>
      <c r="G58" s="115"/>
      <c r="H58" s="115"/>
    </row>
    <row r="59" spans="1:8" x14ac:dyDescent="0.25">
      <c r="A59" s="115"/>
      <c r="B59" s="115"/>
      <c r="C59" s="115"/>
      <c r="D59" s="115"/>
      <c r="E59" s="115"/>
      <c r="F59" s="115"/>
      <c r="G59" s="115"/>
      <c r="H59" s="115"/>
    </row>
    <row r="60" spans="1:8" x14ac:dyDescent="0.25">
      <c r="A60" s="115"/>
      <c r="B60" s="115"/>
      <c r="C60" s="115"/>
      <c r="D60" s="115"/>
      <c r="E60" s="115"/>
      <c r="F60" s="115"/>
      <c r="G60" s="115"/>
      <c r="H60" s="115"/>
    </row>
    <row r="61" spans="1:8" x14ac:dyDescent="0.25">
      <c r="A61" s="115"/>
      <c r="B61" s="115"/>
      <c r="C61" s="115"/>
      <c r="D61" s="115"/>
      <c r="E61" s="115"/>
      <c r="F61" s="115"/>
      <c r="G61" s="115"/>
      <c r="H61" s="115"/>
    </row>
    <row r="62" spans="1:8" x14ac:dyDescent="0.25">
      <c r="A62" s="115"/>
      <c r="B62" s="115"/>
      <c r="C62" s="115"/>
      <c r="D62" s="115"/>
      <c r="E62" s="115"/>
      <c r="F62" s="115"/>
      <c r="G62" s="115"/>
      <c r="H62" s="115"/>
    </row>
    <row r="63" spans="1:8" x14ac:dyDescent="0.25">
      <c r="A63" s="115"/>
      <c r="B63" s="115"/>
      <c r="C63" s="115"/>
      <c r="D63" s="115"/>
      <c r="E63" s="115"/>
      <c r="F63" s="115"/>
      <c r="G63" s="115"/>
      <c r="H63" s="115"/>
    </row>
    <row r="64" spans="1:8" x14ac:dyDescent="0.25">
      <c r="A64" s="115"/>
      <c r="B64" s="115"/>
      <c r="C64" s="115"/>
      <c r="D64" s="115"/>
      <c r="E64" s="115"/>
      <c r="F64" s="115"/>
      <c r="G64" s="115"/>
      <c r="H64" s="115"/>
    </row>
    <row r="65" spans="1:8" x14ac:dyDescent="0.25">
      <c r="A65" s="115"/>
      <c r="B65" s="115"/>
      <c r="C65" s="115"/>
      <c r="D65" s="115"/>
      <c r="E65" s="115"/>
      <c r="F65" s="115"/>
      <c r="G65" s="115"/>
      <c r="H65" s="115"/>
    </row>
    <row r="66" spans="1:8" x14ac:dyDescent="0.25">
      <c r="A66" s="115"/>
      <c r="B66" s="115"/>
      <c r="C66" s="115"/>
      <c r="D66" s="115"/>
      <c r="E66" s="115"/>
      <c r="F66" s="115"/>
      <c r="G66" s="115"/>
      <c r="H66" s="115"/>
    </row>
    <row r="67" spans="1:8" x14ac:dyDescent="0.25">
      <c r="A67" s="115"/>
      <c r="B67" s="115"/>
      <c r="C67" s="115"/>
      <c r="D67" s="115"/>
      <c r="E67" s="115"/>
      <c r="F67" s="115"/>
      <c r="G67" s="115"/>
      <c r="H67" s="115"/>
    </row>
    <row r="68" spans="1:8" x14ac:dyDescent="0.25">
      <c r="A68" s="115"/>
      <c r="B68" s="115"/>
      <c r="C68" s="115"/>
      <c r="D68" s="115"/>
      <c r="E68" s="115"/>
      <c r="F68" s="115"/>
      <c r="G68" s="115"/>
      <c r="H68" s="115"/>
    </row>
    <row r="69" spans="1:8" x14ac:dyDescent="0.25">
      <c r="A69" s="115"/>
      <c r="B69" s="115"/>
      <c r="C69" s="115"/>
      <c r="D69" s="115"/>
      <c r="E69" s="115"/>
      <c r="F69" s="115"/>
      <c r="G69" s="115"/>
      <c r="H69" s="115"/>
    </row>
    <row r="70" spans="1:8" x14ac:dyDescent="0.25">
      <c r="A70" s="115"/>
      <c r="B70" s="115"/>
      <c r="C70" s="115"/>
      <c r="D70" s="115"/>
      <c r="E70" s="115"/>
      <c r="F70" s="115"/>
      <c r="G70" s="115"/>
      <c r="H70" s="115"/>
    </row>
    <row r="71" spans="1:8" x14ac:dyDescent="0.25">
      <c r="A71" s="115"/>
      <c r="B71" s="115"/>
      <c r="C71" s="115"/>
      <c r="D71" s="115"/>
      <c r="E71" s="115"/>
      <c r="F71" s="115"/>
      <c r="G71" s="115"/>
      <c r="H71" s="115"/>
    </row>
    <row r="72" spans="1:8" x14ac:dyDescent="0.25">
      <c r="A72" s="115"/>
      <c r="B72" s="115"/>
      <c r="C72" s="115"/>
      <c r="D72" s="115"/>
      <c r="E72" s="115"/>
      <c r="F72" s="115"/>
      <c r="G72" s="115"/>
      <c r="H72" s="115"/>
    </row>
    <row r="73" spans="1:8" x14ac:dyDescent="0.25">
      <c r="A73" s="115"/>
      <c r="B73" s="115"/>
      <c r="C73" s="115"/>
      <c r="D73" s="115"/>
      <c r="E73" s="115"/>
      <c r="F73" s="115"/>
      <c r="G73" s="115"/>
      <c r="H73" s="115"/>
    </row>
    <row r="74" spans="1:8" x14ac:dyDescent="0.25">
      <c r="A74" s="115"/>
      <c r="B74" s="115"/>
      <c r="C74" s="115"/>
      <c r="D74" s="115"/>
      <c r="E74" s="115"/>
      <c r="F74" s="115"/>
      <c r="G74" s="115"/>
      <c r="H74" s="115"/>
    </row>
    <row r="75" spans="1:8" x14ac:dyDescent="0.25">
      <c r="A75" s="115"/>
      <c r="B75" s="115"/>
      <c r="C75" s="115"/>
      <c r="D75" s="115"/>
      <c r="E75" s="115"/>
      <c r="F75" s="115"/>
      <c r="G75" s="115"/>
      <c r="H75" s="115"/>
    </row>
    <row r="76" spans="1:8" x14ac:dyDescent="0.25">
      <c r="A76" s="115"/>
      <c r="B76" s="115"/>
      <c r="C76" s="115"/>
      <c r="D76" s="115"/>
      <c r="E76" s="115"/>
      <c r="F76" s="115"/>
      <c r="G76" s="115"/>
      <c r="H76" s="115"/>
    </row>
    <row r="77" spans="1:8" x14ac:dyDescent="0.25">
      <c r="A77" s="115"/>
      <c r="B77" s="115"/>
      <c r="C77" s="115"/>
      <c r="D77" s="115"/>
      <c r="E77" s="115"/>
      <c r="F77" s="115"/>
      <c r="G77" s="115"/>
      <c r="H77" s="115"/>
    </row>
    <row r="78" spans="1:8" x14ac:dyDescent="0.25">
      <c r="A78" s="115"/>
      <c r="B78" s="115"/>
      <c r="C78" s="115"/>
      <c r="D78" s="115"/>
      <c r="E78" s="115"/>
      <c r="F78" s="115"/>
      <c r="G78" s="115"/>
      <c r="H78" s="115"/>
    </row>
    <row r="79" spans="1:8" x14ac:dyDescent="0.25">
      <c r="A79" s="115"/>
      <c r="B79" s="115"/>
      <c r="C79" s="115"/>
      <c r="D79" s="115"/>
      <c r="E79" s="115"/>
      <c r="F79" s="115"/>
      <c r="G79" s="115"/>
      <c r="H79" s="115"/>
    </row>
    <row r="80" spans="1:8" x14ac:dyDescent="0.25">
      <c r="A80" s="115"/>
      <c r="B80" s="115"/>
      <c r="C80" s="115"/>
      <c r="D80" s="115"/>
      <c r="E80" s="115"/>
      <c r="F80" s="115"/>
      <c r="G80" s="115"/>
      <c r="H80" s="115"/>
    </row>
    <row r="81" spans="1:8" x14ac:dyDescent="0.25">
      <c r="A81" s="115"/>
      <c r="B81" s="115"/>
      <c r="C81" s="115"/>
      <c r="D81" s="115"/>
      <c r="E81" s="115"/>
      <c r="F81" s="115"/>
      <c r="G81" s="115"/>
      <c r="H81" s="115"/>
    </row>
    <row r="82" spans="1:8" x14ac:dyDescent="0.25">
      <c r="A82" s="115"/>
      <c r="B82" s="115"/>
      <c r="C82" s="115"/>
      <c r="D82" s="115"/>
      <c r="E82" s="115"/>
      <c r="F82" s="115"/>
      <c r="G82" s="115"/>
      <c r="H82" s="115"/>
    </row>
    <row r="83" spans="1:8" x14ac:dyDescent="0.25">
      <c r="A83" s="115"/>
      <c r="B83" s="115"/>
      <c r="C83" s="115"/>
      <c r="D83" s="115"/>
      <c r="E83" s="115"/>
      <c r="F83" s="115"/>
      <c r="G83" s="115"/>
      <c r="H83" s="115"/>
    </row>
    <row r="84" spans="1:8" x14ac:dyDescent="0.25">
      <c r="A84" s="115"/>
      <c r="B84" s="115"/>
      <c r="C84" s="115"/>
      <c r="D84" s="115"/>
      <c r="E84" s="115"/>
      <c r="F84" s="115"/>
      <c r="G84" s="115"/>
      <c r="H84" s="115"/>
    </row>
    <row r="85" spans="1:8" x14ac:dyDescent="0.25">
      <c r="A85" s="115"/>
      <c r="B85" s="115"/>
      <c r="C85" s="115"/>
      <c r="D85" s="115"/>
      <c r="E85" s="115"/>
      <c r="F85" s="115"/>
      <c r="G85" s="115"/>
      <c r="H85" s="115"/>
    </row>
    <row r="86" spans="1:8" x14ac:dyDescent="0.25">
      <c r="A86" s="115"/>
      <c r="B86" s="115"/>
      <c r="C86" s="115"/>
      <c r="D86" s="115"/>
      <c r="E86" s="115"/>
      <c r="F86" s="115"/>
      <c r="G86" s="115"/>
      <c r="H86" s="115"/>
    </row>
    <row r="87" spans="1:8" x14ac:dyDescent="0.25">
      <c r="A87" s="115"/>
      <c r="B87" s="115"/>
      <c r="C87" s="115"/>
      <c r="D87" s="115"/>
      <c r="E87" s="115"/>
      <c r="F87" s="115"/>
      <c r="G87" s="115"/>
      <c r="H87" s="115"/>
    </row>
    <row r="88" spans="1:8" x14ac:dyDescent="0.25">
      <c r="A88" s="115"/>
      <c r="B88" s="115"/>
      <c r="C88" s="115"/>
      <c r="D88" s="115"/>
      <c r="E88" s="115"/>
      <c r="F88" s="115"/>
      <c r="G88" s="115"/>
      <c r="H88" s="115"/>
    </row>
    <row r="89" spans="1:8" x14ac:dyDescent="0.25">
      <c r="A89" s="115"/>
      <c r="B89" s="115"/>
      <c r="C89" s="115"/>
      <c r="D89" s="115"/>
      <c r="E89" s="115"/>
      <c r="F89" s="115"/>
      <c r="G89" s="115"/>
      <c r="H89" s="115"/>
    </row>
    <row r="90" spans="1:8" x14ac:dyDescent="0.25">
      <c r="A90" s="115"/>
      <c r="B90" s="115"/>
      <c r="C90" s="115"/>
      <c r="D90" s="115"/>
      <c r="E90" s="115"/>
      <c r="F90" s="115"/>
      <c r="G90" s="115"/>
      <c r="H90" s="115"/>
    </row>
    <row r="91" spans="1:8" x14ac:dyDescent="0.25">
      <c r="A91" s="115"/>
      <c r="B91" s="115"/>
      <c r="C91" s="115"/>
      <c r="D91" s="115"/>
      <c r="E91" s="115"/>
      <c r="F91" s="115"/>
      <c r="G91" s="115"/>
      <c r="H91" s="115"/>
    </row>
    <row r="92" spans="1:8" x14ac:dyDescent="0.25">
      <c r="A92" s="115"/>
      <c r="B92" s="115"/>
      <c r="C92" s="115"/>
      <c r="D92" s="115"/>
      <c r="E92" s="115"/>
      <c r="F92" s="115"/>
      <c r="G92" s="115"/>
      <c r="H92" s="115"/>
    </row>
    <row r="93" spans="1:8" x14ac:dyDescent="0.25">
      <c r="A93" s="115"/>
      <c r="B93" s="115"/>
      <c r="C93" s="115"/>
      <c r="D93" s="115"/>
      <c r="E93" s="115"/>
      <c r="F93" s="115"/>
      <c r="G93" s="115"/>
      <c r="H93" s="115"/>
    </row>
    <row r="94" spans="1:8" x14ac:dyDescent="0.25">
      <c r="A94" s="115"/>
      <c r="B94" s="115"/>
      <c r="C94" s="115"/>
      <c r="D94" s="115"/>
      <c r="E94" s="115"/>
      <c r="F94" s="115"/>
      <c r="G94" s="115"/>
      <c r="H94" s="115"/>
    </row>
    <row r="95" spans="1:8" x14ac:dyDescent="0.25">
      <c r="A95" s="115"/>
      <c r="B95" s="115"/>
      <c r="C95" s="115"/>
      <c r="D95" s="115"/>
      <c r="E95" s="115"/>
      <c r="F95" s="115"/>
      <c r="G95" s="115"/>
      <c r="H95" s="115"/>
    </row>
    <row r="96" spans="1:8" x14ac:dyDescent="0.25">
      <c r="A96" s="115"/>
      <c r="B96" s="115"/>
      <c r="C96" s="115"/>
      <c r="D96" s="115"/>
      <c r="E96" s="115"/>
      <c r="F96" s="115"/>
      <c r="G96" s="115"/>
      <c r="H96" s="115"/>
    </row>
    <row r="97" spans="1:8" x14ac:dyDescent="0.25">
      <c r="A97" s="115"/>
      <c r="B97" s="115"/>
      <c r="C97" s="115"/>
      <c r="D97" s="115"/>
      <c r="E97" s="115"/>
      <c r="F97" s="115"/>
      <c r="G97" s="115"/>
      <c r="H97" s="115"/>
    </row>
    <row r="98" spans="1:8" x14ac:dyDescent="0.25">
      <c r="A98" s="115"/>
      <c r="B98" s="115"/>
      <c r="C98" s="115"/>
      <c r="D98" s="115"/>
      <c r="E98" s="115"/>
      <c r="F98" s="115"/>
      <c r="G98" s="115"/>
      <c r="H98" s="115"/>
    </row>
    <row r="99" spans="1:8" x14ac:dyDescent="0.25">
      <c r="A99" s="115"/>
      <c r="B99" s="115"/>
      <c r="C99" s="115"/>
      <c r="D99" s="115"/>
      <c r="E99" s="115"/>
      <c r="F99" s="115"/>
      <c r="G99" s="115"/>
      <c r="H99" s="115"/>
    </row>
    <row r="100" spans="1:8" x14ac:dyDescent="0.25">
      <c r="A100" s="115"/>
      <c r="B100" s="115"/>
      <c r="C100" s="115"/>
      <c r="D100" s="115"/>
      <c r="E100" s="115"/>
      <c r="F100" s="115"/>
      <c r="G100" s="115"/>
      <c r="H100" s="115"/>
    </row>
    <row r="101" spans="1:8" x14ac:dyDescent="0.25">
      <c r="A101" s="115"/>
      <c r="B101" s="115"/>
      <c r="C101" s="115"/>
      <c r="D101" s="115"/>
      <c r="E101" s="115"/>
      <c r="F101" s="115"/>
      <c r="G101" s="115"/>
      <c r="H101" s="115"/>
    </row>
    <row r="102" spans="1:8" x14ac:dyDescent="0.25">
      <c r="A102" s="115"/>
      <c r="B102" s="115"/>
      <c r="C102" s="115"/>
      <c r="D102" s="115"/>
      <c r="E102" s="115"/>
      <c r="F102" s="115"/>
      <c r="G102" s="115"/>
      <c r="H102" s="115"/>
    </row>
    <row r="103" spans="1:8" x14ac:dyDescent="0.25">
      <c r="A103" s="115"/>
      <c r="B103" s="115"/>
      <c r="C103" s="115"/>
      <c r="D103" s="115"/>
      <c r="E103" s="115"/>
      <c r="F103" s="115"/>
      <c r="G103" s="115"/>
      <c r="H103" s="115"/>
    </row>
    <row r="104" spans="1:8" x14ac:dyDescent="0.25">
      <c r="A104" s="115"/>
      <c r="B104" s="115"/>
      <c r="C104" s="115"/>
      <c r="D104" s="115"/>
      <c r="E104" s="115"/>
      <c r="F104" s="115"/>
      <c r="G104" s="115"/>
      <c r="H104" s="115"/>
    </row>
    <row r="105" spans="1:8" x14ac:dyDescent="0.25">
      <c r="A105" s="115"/>
      <c r="B105" s="115"/>
      <c r="C105" s="115"/>
      <c r="D105" s="115"/>
      <c r="E105" s="115"/>
      <c r="F105" s="115"/>
      <c r="G105" s="115"/>
      <c r="H105" s="115"/>
    </row>
    <row r="106" spans="1:8" x14ac:dyDescent="0.25">
      <c r="A106" s="115"/>
      <c r="B106" s="115"/>
      <c r="C106" s="115"/>
      <c r="D106" s="115"/>
      <c r="E106" s="115"/>
      <c r="F106" s="115"/>
      <c r="G106" s="115"/>
      <c r="H106" s="115"/>
    </row>
    <row r="107" spans="1:8" x14ac:dyDescent="0.25">
      <c r="A107" s="115"/>
      <c r="B107" s="115"/>
      <c r="C107" s="115"/>
      <c r="D107" s="115"/>
      <c r="E107" s="115"/>
      <c r="F107" s="115"/>
      <c r="G107" s="115"/>
      <c r="H107" s="115"/>
    </row>
    <row r="108" spans="1:8" x14ac:dyDescent="0.25">
      <c r="A108" s="115"/>
      <c r="B108" s="115"/>
      <c r="C108" s="115"/>
      <c r="D108" s="115"/>
      <c r="E108" s="115"/>
      <c r="F108" s="115"/>
      <c r="G108" s="115"/>
      <c r="H108" s="115"/>
    </row>
    <row r="109" spans="1:8" x14ac:dyDescent="0.25">
      <c r="A109" s="115"/>
      <c r="B109" s="115"/>
      <c r="C109" s="115"/>
      <c r="D109" s="115"/>
      <c r="E109" s="115"/>
      <c r="F109" s="115"/>
      <c r="G109" s="115"/>
      <c r="H109" s="115"/>
    </row>
    <row r="110" spans="1:8" x14ac:dyDescent="0.25">
      <c r="A110" s="115"/>
      <c r="B110" s="115"/>
      <c r="C110" s="115"/>
      <c r="D110" s="115"/>
      <c r="E110" s="115"/>
      <c r="F110" s="115"/>
      <c r="G110" s="115"/>
      <c r="H110" s="115"/>
    </row>
    <row r="111" spans="1:8" x14ac:dyDescent="0.25">
      <c r="A111" s="115"/>
      <c r="B111" s="115"/>
      <c r="C111" s="115"/>
      <c r="D111" s="115"/>
      <c r="E111" s="115"/>
      <c r="F111" s="115"/>
      <c r="G111" s="115"/>
      <c r="H111" s="115"/>
    </row>
    <row r="112" spans="1:8" x14ac:dyDescent="0.25">
      <c r="A112" s="115"/>
      <c r="B112" s="115"/>
      <c r="C112" s="115"/>
      <c r="D112" s="115"/>
      <c r="E112" s="115"/>
      <c r="F112" s="115"/>
      <c r="G112" s="115"/>
      <c r="H112" s="115"/>
    </row>
    <row r="113" spans="1:8" x14ac:dyDescent="0.25">
      <c r="A113" s="115"/>
      <c r="B113" s="115"/>
      <c r="C113" s="115"/>
      <c r="D113" s="115"/>
      <c r="E113" s="115"/>
      <c r="F113" s="115"/>
      <c r="G113" s="115"/>
      <c r="H113" s="115"/>
    </row>
    <row r="114" spans="1:8" x14ac:dyDescent="0.25">
      <c r="A114" s="115"/>
      <c r="B114" s="115"/>
      <c r="C114" s="115"/>
      <c r="D114" s="115"/>
      <c r="E114" s="115"/>
      <c r="F114" s="115"/>
      <c r="G114" s="115"/>
      <c r="H114" s="115"/>
    </row>
    <row r="115" spans="1:8" x14ac:dyDescent="0.25">
      <c r="A115" s="115"/>
      <c r="B115" s="115"/>
      <c r="C115" s="115"/>
      <c r="D115" s="115"/>
      <c r="E115" s="115"/>
      <c r="F115" s="115"/>
      <c r="G115" s="115"/>
      <c r="H115" s="115"/>
    </row>
    <row r="116" spans="1:8" x14ac:dyDescent="0.25">
      <c r="A116" s="115"/>
      <c r="B116" s="115"/>
      <c r="C116" s="115"/>
      <c r="D116" s="115"/>
      <c r="E116" s="115"/>
      <c r="F116" s="115"/>
      <c r="G116" s="115"/>
      <c r="H116" s="115"/>
    </row>
    <row r="117" spans="1:8" x14ac:dyDescent="0.25">
      <c r="A117" s="115"/>
      <c r="B117" s="115"/>
      <c r="C117" s="115"/>
      <c r="D117" s="115"/>
      <c r="E117" s="115"/>
      <c r="F117" s="115"/>
      <c r="G117" s="115"/>
      <c r="H117" s="115"/>
    </row>
    <row r="118" spans="1:8" x14ac:dyDescent="0.25">
      <c r="A118" s="115"/>
      <c r="B118" s="115"/>
      <c r="C118" s="115"/>
      <c r="D118" s="115"/>
      <c r="E118" s="115"/>
      <c r="F118" s="115"/>
      <c r="G118" s="115"/>
      <c r="H118" s="115"/>
    </row>
    <row r="119" spans="1:8" x14ac:dyDescent="0.25">
      <c r="A119" s="115"/>
      <c r="B119" s="115"/>
      <c r="C119" s="115"/>
      <c r="D119" s="115"/>
      <c r="E119" s="115"/>
      <c r="F119" s="115"/>
      <c r="G119" s="115"/>
      <c r="H119" s="115"/>
    </row>
    <row r="120" spans="1:8" x14ac:dyDescent="0.25">
      <c r="A120" s="115"/>
      <c r="B120" s="115"/>
      <c r="C120" s="115"/>
      <c r="D120" s="115"/>
      <c r="E120" s="115"/>
      <c r="F120" s="115"/>
      <c r="G120" s="115"/>
      <c r="H120" s="115"/>
    </row>
    <row r="121" spans="1:8" x14ac:dyDescent="0.25">
      <c r="A121" s="115"/>
      <c r="B121" s="115"/>
      <c r="C121" s="115"/>
      <c r="D121" s="115"/>
      <c r="E121" s="115"/>
      <c r="F121" s="115"/>
      <c r="G121" s="115"/>
      <c r="H121" s="115"/>
    </row>
    <row r="122" spans="1:8" x14ac:dyDescent="0.25">
      <c r="A122" s="115"/>
      <c r="B122" s="115"/>
      <c r="C122" s="115"/>
      <c r="D122" s="115"/>
      <c r="E122" s="115"/>
      <c r="F122" s="115"/>
      <c r="G122" s="115"/>
      <c r="H122" s="115"/>
    </row>
    <row r="123" spans="1:8" x14ac:dyDescent="0.25">
      <c r="A123" s="115"/>
      <c r="B123" s="115"/>
      <c r="C123" s="115"/>
      <c r="D123" s="115"/>
      <c r="E123" s="115"/>
      <c r="F123" s="115"/>
      <c r="G123" s="115"/>
      <c r="H123" s="115"/>
    </row>
    <row r="124" spans="1:8" x14ac:dyDescent="0.25">
      <c r="A124" s="115"/>
      <c r="B124" s="115"/>
      <c r="C124" s="115"/>
      <c r="D124" s="115"/>
      <c r="E124" s="115"/>
      <c r="F124" s="115"/>
      <c r="G124" s="115"/>
      <c r="H124" s="115"/>
    </row>
    <row r="125" spans="1:8" x14ac:dyDescent="0.25">
      <c r="A125" s="115"/>
      <c r="B125" s="115"/>
      <c r="C125" s="115"/>
      <c r="D125" s="115"/>
      <c r="E125" s="115"/>
      <c r="F125" s="115"/>
      <c r="G125" s="115"/>
      <c r="H125" s="115"/>
    </row>
    <row r="126" spans="1:8" x14ac:dyDescent="0.25">
      <c r="A126" s="115"/>
      <c r="B126" s="115"/>
      <c r="C126" s="115"/>
      <c r="D126" s="115"/>
      <c r="E126" s="115"/>
      <c r="F126" s="115"/>
      <c r="G126" s="115"/>
      <c r="H126" s="115"/>
    </row>
    <row r="127" spans="1:8" x14ac:dyDescent="0.25">
      <c r="A127" s="115"/>
      <c r="B127" s="115"/>
      <c r="C127" s="115"/>
      <c r="D127" s="115"/>
      <c r="E127" s="115"/>
      <c r="F127" s="115"/>
      <c r="G127" s="115"/>
      <c r="H127" s="115"/>
    </row>
    <row r="128" spans="1:8" x14ac:dyDescent="0.25">
      <c r="A128" s="115"/>
      <c r="B128" s="115"/>
      <c r="C128" s="115"/>
      <c r="D128" s="115"/>
      <c r="E128" s="115"/>
      <c r="F128" s="115"/>
      <c r="G128" s="115"/>
      <c r="H128" s="115"/>
    </row>
    <row r="129" spans="1:8" x14ac:dyDescent="0.25">
      <c r="A129" s="115"/>
      <c r="B129" s="115"/>
      <c r="C129" s="115"/>
      <c r="D129" s="115"/>
      <c r="E129" s="115"/>
      <c r="F129" s="115"/>
      <c r="G129" s="115"/>
      <c r="H129" s="115"/>
    </row>
    <row r="130" spans="1:8" x14ac:dyDescent="0.25">
      <c r="A130" s="115"/>
      <c r="B130" s="115"/>
      <c r="C130" s="115"/>
      <c r="D130" s="115"/>
      <c r="E130" s="115"/>
      <c r="F130" s="115"/>
      <c r="G130" s="115"/>
      <c r="H130" s="115"/>
    </row>
    <row r="131" spans="1:8" x14ac:dyDescent="0.25">
      <c r="A131" s="115"/>
      <c r="B131" s="115"/>
      <c r="C131" s="115"/>
      <c r="D131" s="115"/>
      <c r="E131" s="115"/>
      <c r="F131" s="115"/>
      <c r="G131" s="115"/>
      <c r="H131" s="115"/>
    </row>
    <row r="132" spans="1:8" x14ac:dyDescent="0.25">
      <c r="A132" s="115"/>
      <c r="B132" s="115"/>
      <c r="C132" s="115"/>
      <c r="D132" s="115"/>
      <c r="E132" s="115"/>
      <c r="F132" s="115"/>
      <c r="G132" s="115"/>
      <c r="H132" s="115"/>
    </row>
    <row r="133" spans="1:8" x14ac:dyDescent="0.25">
      <c r="A133" s="115"/>
      <c r="B133" s="115"/>
      <c r="C133" s="115"/>
      <c r="D133" s="115"/>
      <c r="E133" s="115"/>
      <c r="F133" s="115"/>
      <c r="G133" s="115"/>
      <c r="H133" s="115"/>
    </row>
    <row r="134" spans="1:8" x14ac:dyDescent="0.25">
      <c r="A134" s="115"/>
      <c r="B134" s="115"/>
      <c r="C134" s="115"/>
      <c r="D134" s="115"/>
      <c r="E134" s="115"/>
      <c r="F134" s="115"/>
      <c r="G134" s="115"/>
      <c r="H134" s="115"/>
    </row>
    <row r="135" spans="1:8" x14ac:dyDescent="0.25">
      <c r="A135" s="115"/>
      <c r="B135" s="115"/>
      <c r="C135" s="115"/>
      <c r="D135" s="115"/>
      <c r="E135" s="115"/>
      <c r="F135" s="115"/>
      <c r="G135" s="115"/>
      <c r="H135" s="115"/>
    </row>
    <row r="136" spans="1:8" x14ac:dyDescent="0.25">
      <c r="A136" s="115"/>
      <c r="B136" s="115"/>
      <c r="C136" s="115"/>
      <c r="D136" s="115"/>
      <c r="E136" s="115"/>
      <c r="F136" s="115"/>
      <c r="G136" s="115"/>
      <c r="H136" s="115"/>
    </row>
    <row r="137" spans="1:8" x14ac:dyDescent="0.25">
      <c r="A137" s="115"/>
      <c r="B137" s="115"/>
      <c r="C137" s="115"/>
      <c r="D137" s="115"/>
      <c r="E137" s="115"/>
      <c r="F137" s="115"/>
      <c r="G137" s="115"/>
      <c r="H137" s="115"/>
    </row>
    <row r="138" spans="1:8" x14ac:dyDescent="0.25">
      <c r="A138" s="115"/>
      <c r="B138" s="115"/>
      <c r="C138" s="115"/>
      <c r="D138" s="115"/>
      <c r="E138" s="115"/>
      <c r="F138" s="115"/>
      <c r="G138" s="115"/>
      <c r="H138" s="115"/>
    </row>
    <row r="139" spans="1:8" x14ac:dyDescent="0.25">
      <c r="A139" s="115"/>
      <c r="B139" s="115"/>
      <c r="C139" s="115"/>
      <c r="D139" s="115"/>
      <c r="E139" s="115"/>
      <c r="F139" s="115"/>
      <c r="G139" s="115"/>
      <c r="H139" s="115"/>
    </row>
    <row r="140" spans="1:8" x14ac:dyDescent="0.25">
      <c r="A140" s="115"/>
      <c r="B140" s="115"/>
      <c r="C140" s="115"/>
      <c r="D140" s="115"/>
      <c r="E140" s="115"/>
      <c r="F140" s="115"/>
      <c r="G140" s="115"/>
      <c r="H140" s="115"/>
    </row>
    <row r="141" spans="1:8" x14ac:dyDescent="0.25">
      <c r="A141" s="115"/>
      <c r="B141" s="115"/>
      <c r="C141" s="115"/>
      <c r="D141" s="115"/>
      <c r="E141" s="115"/>
      <c r="F141" s="115"/>
      <c r="G141" s="115"/>
      <c r="H141" s="115"/>
    </row>
    <row r="142" spans="1:8" x14ac:dyDescent="0.25">
      <c r="A142" s="115"/>
      <c r="B142" s="115"/>
      <c r="C142" s="115"/>
      <c r="D142" s="115"/>
      <c r="E142" s="115"/>
      <c r="F142" s="115"/>
      <c r="G142" s="115"/>
      <c r="H142" s="115"/>
    </row>
    <row r="143" spans="1:8" x14ac:dyDescent="0.25">
      <c r="A143" s="115"/>
      <c r="B143" s="115"/>
      <c r="C143" s="115"/>
      <c r="D143" s="115"/>
      <c r="E143" s="115"/>
      <c r="F143" s="115"/>
      <c r="G143" s="115"/>
      <c r="H143" s="115"/>
    </row>
    <row r="144" spans="1:8" x14ac:dyDescent="0.25">
      <c r="A144" s="115"/>
      <c r="B144" s="115"/>
      <c r="C144" s="115"/>
      <c r="D144" s="115"/>
      <c r="E144" s="115"/>
      <c r="F144" s="115"/>
      <c r="G144" s="115"/>
      <c r="H144" s="115"/>
    </row>
    <row r="145" spans="1:8" x14ac:dyDescent="0.25">
      <c r="A145" s="115"/>
      <c r="B145" s="115"/>
      <c r="C145" s="115"/>
      <c r="D145" s="115"/>
      <c r="E145" s="115"/>
      <c r="F145" s="115"/>
      <c r="G145" s="115"/>
      <c r="H145" s="115"/>
    </row>
    <row r="146" spans="1:8" x14ac:dyDescent="0.25">
      <c r="A146" s="115"/>
      <c r="B146" s="115"/>
      <c r="C146" s="115"/>
      <c r="D146" s="115"/>
      <c r="E146" s="115"/>
      <c r="F146" s="115"/>
      <c r="G146" s="115"/>
      <c r="H146" s="115"/>
    </row>
    <row r="147" spans="1:8" x14ac:dyDescent="0.25">
      <c r="A147" s="115"/>
      <c r="B147" s="115"/>
      <c r="C147" s="115"/>
      <c r="D147" s="115"/>
      <c r="E147" s="115"/>
      <c r="F147" s="115"/>
      <c r="G147" s="115"/>
      <c r="H147" s="115"/>
    </row>
    <row r="148" spans="1:8" x14ac:dyDescent="0.25">
      <c r="A148" s="115"/>
      <c r="B148" s="115"/>
      <c r="C148" s="115"/>
      <c r="D148" s="115"/>
      <c r="E148" s="115"/>
      <c r="F148" s="115"/>
      <c r="G148" s="115"/>
      <c r="H148" s="115"/>
    </row>
    <row r="149" spans="1:8" x14ac:dyDescent="0.25">
      <c r="A149" s="115"/>
      <c r="B149" s="115"/>
      <c r="C149" s="115"/>
      <c r="D149" s="115"/>
      <c r="E149" s="115"/>
      <c r="F149" s="115"/>
      <c r="G149" s="115"/>
      <c r="H149" s="115"/>
    </row>
    <row r="150" spans="1:8" x14ac:dyDescent="0.25">
      <c r="A150" s="115"/>
      <c r="B150" s="115"/>
      <c r="C150" s="115"/>
      <c r="D150" s="115"/>
      <c r="E150" s="115"/>
      <c r="F150" s="115"/>
      <c r="G150" s="115"/>
      <c r="H150" s="115"/>
    </row>
    <row r="151" spans="1:8" x14ac:dyDescent="0.25">
      <c r="A151" s="115"/>
      <c r="B151" s="115"/>
      <c r="C151" s="115"/>
      <c r="D151" s="115"/>
      <c r="E151" s="115"/>
      <c r="F151" s="115"/>
      <c r="G151" s="115"/>
      <c r="H151" s="115"/>
    </row>
    <row r="152" spans="1:8" x14ac:dyDescent="0.25">
      <c r="A152" s="115"/>
      <c r="B152" s="115"/>
      <c r="C152" s="115"/>
      <c r="D152" s="115"/>
      <c r="E152" s="115"/>
      <c r="F152" s="115"/>
      <c r="G152" s="115"/>
      <c r="H152" s="115"/>
    </row>
    <row r="153" spans="1:8" x14ac:dyDescent="0.25">
      <c r="A153" s="115"/>
      <c r="B153" s="115"/>
      <c r="C153" s="115"/>
      <c r="D153" s="115"/>
      <c r="E153" s="115"/>
      <c r="F153" s="115"/>
      <c r="G153" s="115"/>
      <c r="H153" s="115"/>
    </row>
    <row r="154" spans="1:8" x14ac:dyDescent="0.25">
      <c r="A154" s="115"/>
      <c r="B154" s="115"/>
      <c r="C154" s="115"/>
      <c r="D154" s="115"/>
      <c r="E154" s="115"/>
      <c r="F154" s="115"/>
      <c r="G154" s="115"/>
      <c r="H154" s="115"/>
    </row>
    <row r="155" spans="1:8" x14ac:dyDescent="0.25">
      <c r="A155" s="115"/>
      <c r="B155" s="115"/>
      <c r="C155" s="115"/>
      <c r="D155" s="115"/>
      <c r="E155" s="115"/>
      <c r="F155" s="115"/>
      <c r="G155" s="115"/>
      <c r="H155" s="115"/>
    </row>
    <row r="156" spans="1:8" x14ac:dyDescent="0.25">
      <c r="A156" s="115"/>
      <c r="B156" s="115"/>
      <c r="C156" s="115"/>
      <c r="D156" s="115"/>
      <c r="E156" s="115"/>
      <c r="F156" s="115"/>
      <c r="G156" s="115"/>
      <c r="H156" s="115"/>
    </row>
    <row r="157" spans="1:8" x14ac:dyDescent="0.25">
      <c r="A157" s="115"/>
      <c r="B157" s="115"/>
      <c r="C157" s="115"/>
      <c r="D157" s="115"/>
      <c r="E157" s="115"/>
      <c r="F157" s="115"/>
      <c r="G157" s="115"/>
      <c r="H157" s="115"/>
    </row>
    <row r="158" spans="1:8" x14ac:dyDescent="0.25">
      <c r="A158" s="115"/>
      <c r="B158" s="115"/>
      <c r="C158" s="115"/>
      <c r="D158" s="115"/>
      <c r="E158" s="115"/>
      <c r="F158" s="115"/>
      <c r="G158" s="115"/>
      <c r="H158" s="115"/>
    </row>
    <row r="159" spans="1:8" x14ac:dyDescent="0.25">
      <c r="A159" s="115"/>
      <c r="B159" s="115"/>
      <c r="C159" s="115"/>
      <c r="D159" s="115"/>
      <c r="E159" s="115"/>
      <c r="F159" s="115"/>
      <c r="G159" s="115"/>
      <c r="H159" s="115"/>
    </row>
    <row r="160" spans="1:8" x14ac:dyDescent="0.25">
      <c r="A160" s="115"/>
      <c r="B160" s="115"/>
      <c r="C160" s="115"/>
      <c r="D160" s="115"/>
      <c r="E160" s="115"/>
      <c r="F160" s="115"/>
      <c r="G160" s="115"/>
      <c r="H160" s="115"/>
    </row>
    <row r="161" spans="1:8" x14ac:dyDescent="0.25">
      <c r="A161" s="115"/>
      <c r="B161" s="115"/>
      <c r="C161" s="115"/>
      <c r="D161" s="115"/>
      <c r="E161" s="115"/>
      <c r="F161" s="115"/>
      <c r="G161" s="115"/>
      <c r="H161" s="115"/>
    </row>
    <row r="162" spans="1:8" x14ac:dyDescent="0.25">
      <c r="A162" s="115"/>
      <c r="B162" s="115"/>
      <c r="C162" s="115"/>
      <c r="D162" s="115"/>
      <c r="E162" s="115"/>
      <c r="F162" s="115"/>
      <c r="G162" s="115"/>
      <c r="H162" s="115"/>
    </row>
    <row r="163" spans="1:8" x14ac:dyDescent="0.25">
      <c r="A163" s="115"/>
      <c r="B163" s="115"/>
      <c r="C163" s="115"/>
      <c r="D163" s="115"/>
      <c r="E163" s="115"/>
      <c r="F163" s="115"/>
      <c r="G163" s="115"/>
      <c r="H163" s="115"/>
    </row>
    <row r="164" spans="1:8" x14ac:dyDescent="0.25">
      <c r="A164" s="115"/>
      <c r="B164" s="115"/>
      <c r="C164" s="115"/>
      <c r="D164" s="115"/>
      <c r="E164" s="115"/>
      <c r="F164" s="115"/>
      <c r="G164" s="115"/>
      <c r="H164" s="115"/>
    </row>
    <row r="165" spans="1:8" x14ac:dyDescent="0.25">
      <c r="A165" s="115"/>
      <c r="B165" s="115"/>
      <c r="C165" s="115"/>
      <c r="D165" s="115"/>
      <c r="E165" s="115"/>
      <c r="F165" s="115"/>
      <c r="G165" s="115"/>
      <c r="H165" s="115"/>
    </row>
    <row r="166" spans="1:8" x14ac:dyDescent="0.25">
      <c r="A166" s="115"/>
      <c r="B166" s="115"/>
      <c r="C166" s="115"/>
      <c r="D166" s="115"/>
      <c r="E166" s="115"/>
      <c r="F166" s="115"/>
      <c r="G166" s="115"/>
      <c r="H166" s="115"/>
    </row>
    <row r="167" spans="1:8" x14ac:dyDescent="0.25">
      <c r="A167" s="115"/>
      <c r="B167" s="115"/>
      <c r="C167" s="115"/>
      <c r="D167" s="115"/>
      <c r="E167" s="115"/>
      <c r="F167" s="115"/>
      <c r="G167" s="115"/>
      <c r="H167" s="115"/>
    </row>
    <row r="168" spans="1:8" x14ac:dyDescent="0.25">
      <c r="A168" s="115"/>
      <c r="B168" s="115"/>
      <c r="C168" s="115"/>
      <c r="D168" s="115"/>
      <c r="E168" s="115"/>
      <c r="F168" s="115"/>
      <c r="G168" s="115"/>
      <c r="H168" s="115"/>
    </row>
    <row r="169" spans="1:8" x14ac:dyDescent="0.25">
      <c r="A169" s="115"/>
      <c r="B169" s="115"/>
      <c r="C169" s="115"/>
      <c r="D169" s="115"/>
      <c r="E169" s="115"/>
      <c r="F169" s="115"/>
      <c r="G169" s="115"/>
      <c r="H169" s="115"/>
    </row>
    <row r="170" spans="1:8" x14ac:dyDescent="0.25">
      <c r="A170" s="115"/>
      <c r="B170" s="115"/>
      <c r="C170" s="115"/>
      <c r="D170" s="115"/>
      <c r="E170" s="115"/>
      <c r="F170" s="115"/>
      <c r="G170" s="115"/>
      <c r="H170" s="115"/>
    </row>
    <row r="171" spans="1:8" x14ac:dyDescent="0.25">
      <c r="A171" s="115"/>
      <c r="B171" s="115"/>
      <c r="C171" s="115"/>
      <c r="D171" s="115"/>
      <c r="E171" s="115"/>
      <c r="F171" s="115"/>
      <c r="G171" s="115"/>
      <c r="H171" s="115"/>
    </row>
    <row r="172" spans="1:8" x14ac:dyDescent="0.25">
      <c r="A172" s="115"/>
      <c r="B172" s="115"/>
      <c r="C172" s="115"/>
      <c r="D172" s="115"/>
      <c r="E172" s="115"/>
      <c r="F172" s="115"/>
      <c r="G172" s="115"/>
      <c r="H172" s="115"/>
    </row>
    <row r="173" spans="1:8" x14ac:dyDescent="0.25">
      <c r="A173" s="115"/>
      <c r="B173" s="115"/>
      <c r="C173" s="115"/>
      <c r="D173" s="115"/>
      <c r="E173" s="115"/>
      <c r="F173" s="115"/>
      <c r="G173" s="115"/>
      <c r="H173" s="115"/>
    </row>
    <row r="174" spans="1:8" x14ac:dyDescent="0.25">
      <c r="A174" s="115"/>
      <c r="B174" s="115"/>
      <c r="C174" s="115"/>
      <c r="D174" s="115"/>
      <c r="E174" s="115"/>
      <c r="F174" s="115"/>
      <c r="G174" s="115"/>
      <c r="H174" s="115"/>
    </row>
    <row r="175" spans="1:8" x14ac:dyDescent="0.25">
      <c r="A175" s="115"/>
      <c r="B175" s="115"/>
      <c r="C175" s="115"/>
      <c r="D175" s="115"/>
      <c r="E175" s="115"/>
      <c r="F175" s="115"/>
      <c r="G175" s="115"/>
      <c r="H175" s="115"/>
    </row>
    <row r="176" spans="1:8" x14ac:dyDescent="0.25">
      <c r="A176" s="115"/>
      <c r="B176" s="115"/>
      <c r="C176" s="115"/>
      <c r="D176" s="115"/>
      <c r="E176" s="115"/>
      <c r="F176" s="115"/>
      <c r="G176" s="115"/>
      <c r="H176" s="115"/>
    </row>
    <row r="177" spans="1:8" x14ac:dyDescent="0.25">
      <c r="A177" s="115"/>
      <c r="B177" s="115"/>
      <c r="C177" s="115"/>
      <c r="D177" s="115"/>
      <c r="E177" s="115"/>
      <c r="F177" s="115"/>
      <c r="G177" s="115"/>
      <c r="H177" s="115"/>
    </row>
    <row r="178" spans="1:8" x14ac:dyDescent="0.25">
      <c r="A178" s="115"/>
      <c r="B178" s="115"/>
      <c r="C178" s="115"/>
      <c r="D178" s="115"/>
      <c r="E178" s="115"/>
      <c r="F178" s="115"/>
      <c r="G178" s="115"/>
      <c r="H178" s="115"/>
    </row>
    <row r="179" spans="1:8" x14ac:dyDescent="0.25">
      <c r="A179" s="115"/>
      <c r="B179" s="115"/>
      <c r="C179" s="115"/>
      <c r="D179" s="115"/>
      <c r="E179" s="115"/>
      <c r="F179" s="115"/>
      <c r="G179" s="115"/>
      <c r="H179" s="115"/>
    </row>
    <row r="180" spans="1:8" x14ac:dyDescent="0.25">
      <c r="A180" s="115"/>
      <c r="B180" s="115"/>
      <c r="C180" s="115"/>
      <c r="D180" s="115"/>
      <c r="E180" s="115"/>
      <c r="F180" s="115"/>
      <c r="G180" s="115"/>
      <c r="H180" s="115"/>
    </row>
    <row r="181" spans="1:8" x14ac:dyDescent="0.25">
      <c r="A181" s="115"/>
      <c r="B181" s="115"/>
      <c r="C181" s="115"/>
      <c r="D181" s="115"/>
      <c r="E181" s="115"/>
      <c r="F181" s="115"/>
      <c r="G181" s="115"/>
      <c r="H181" s="115"/>
    </row>
    <row r="182" spans="1:8" x14ac:dyDescent="0.25">
      <c r="A182" s="115"/>
      <c r="B182" s="115"/>
      <c r="C182" s="115"/>
      <c r="D182" s="115"/>
      <c r="E182" s="115"/>
      <c r="F182" s="115"/>
      <c r="G182" s="115"/>
      <c r="H182" s="115"/>
    </row>
    <row r="183" spans="1:8" x14ac:dyDescent="0.25">
      <c r="A183" s="115"/>
      <c r="B183" s="115"/>
      <c r="C183" s="115"/>
      <c r="D183" s="115"/>
      <c r="E183" s="115"/>
      <c r="F183" s="115"/>
      <c r="G183" s="115"/>
      <c r="H183" s="115"/>
    </row>
    <row r="184" spans="1:8" x14ac:dyDescent="0.25">
      <c r="A184" s="115"/>
      <c r="B184" s="115"/>
      <c r="C184" s="115"/>
      <c r="D184" s="115"/>
      <c r="E184" s="115"/>
      <c r="F184" s="115"/>
      <c r="G184" s="115"/>
      <c r="H184" s="115"/>
    </row>
    <row r="185" spans="1:8" x14ac:dyDescent="0.25">
      <c r="A185" s="115"/>
      <c r="B185" s="115"/>
      <c r="C185" s="115"/>
      <c r="D185" s="115"/>
      <c r="E185" s="115"/>
      <c r="F185" s="115"/>
      <c r="G185" s="115"/>
      <c r="H185" s="115"/>
    </row>
    <row r="186" spans="1:8" x14ac:dyDescent="0.25">
      <c r="A186" s="115"/>
      <c r="B186" s="115"/>
      <c r="C186" s="115"/>
      <c r="D186" s="115"/>
      <c r="E186" s="115"/>
      <c r="F186" s="115"/>
      <c r="G186" s="115"/>
      <c r="H186" s="115"/>
    </row>
    <row r="187" spans="1:8" x14ac:dyDescent="0.25">
      <c r="A187" s="115"/>
      <c r="B187" s="115"/>
      <c r="C187" s="115"/>
      <c r="D187" s="115"/>
      <c r="E187" s="115"/>
      <c r="F187" s="115"/>
      <c r="G187" s="115"/>
      <c r="H187" s="115"/>
    </row>
    <row r="188" spans="1:8" x14ac:dyDescent="0.25">
      <c r="A188" s="115"/>
      <c r="B188" s="115"/>
      <c r="C188" s="115"/>
      <c r="D188" s="115"/>
      <c r="E188" s="115"/>
      <c r="F188" s="115"/>
      <c r="G188" s="115"/>
      <c r="H188" s="115"/>
    </row>
    <row r="189" spans="1:8" x14ac:dyDescent="0.25">
      <c r="A189" s="115"/>
      <c r="B189" s="115"/>
      <c r="C189" s="115"/>
      <c r="D189" s="115"/>
      <c r="E189" s="115"/>
      <c r="F189" s="115"/>
      <c r="G189" s="115"/>
      <c r="H189" s="115"/>
    </row>
    <row r="190" spans="1:8" x14ac:dyDescent="0.25">
      <c r="A190" s="115"/>
      <c r="B190" s="115"/>
      <c r="C190" s="115"/>
      <c r="D190" s="115"/>
      <c r="E190" s="115"/>
      <c r="F190" s="115"/>
      <c r="G190" s="115"/>
      <c r="H190" s="115"/>
    </row>
    <row r="191" spans="1:8" x14ac:dyDescent="0.25">
      <c r="A191" s="115"/>
      <c r="B191" s="115"/>
      <c r="C191" s="115"/>
      <c r="D191" s="115"/>
      <c r="E191" s="115"/>
      <c r="F191" s="115"/>
      <c r="G191" s="115"/>
      <c r="H191" s="115"/>
    </row>
    <row r="192" spans="1:8" x14ac:dyDescent="0.25">
      <c r="A192" s="115"/>
      <c r="B192" s="115"/>
      <c r="C192" s="115"/>
      <c r="D192" s="115"/>
      <c r="E192" s="115"/>
      <c r="F192" s="115"/>
      <c r="G192" s="115"/>
      <c r="H192" s="115"/>
    </row>
    <row r="193" spans="1:8" x14ac:dyDescent="0.25">
      <c r="A193" s="115"/>
      <c r="B193" s="115"/>
      <c r="C193" s="115"/>
      <c r="D193" s="115"/>
      <c r="E193" s="115"/>
      <c r="F193" s="115"/>
      <c r="G193" s="115"/>
      <c r="H193" s="115"/>
    </row>
    <row r="194" spans="1:8" x14ac:dyDescent="0.25">
      <c r="A194" s="115"/>
      <c r="B194" s="115"/>
      <c r="C194" s="115"/>
      <c r="D194" s="115"/>
      <c r="E194" s="115"/>
      <c r="F194" s="115"/>
      <c r="G194" s="115"/>
      <c r="H194" s="115"/>
    </row>
    <row r="195" spans="1:8" x14ac:dyDescent="0.25">
      <c r="A195" s="115"/>
      <c r="B195" s="115"/>
      <c r="C195" s="115"/>
      <c r="D195" s="115"/>
      <c r="E195" s="115"/>
      <c r="F195" s="115"/>
      <c r="G195" s="115"/>
      <c r="H195" s="115"/>
    </row>
    <row r="196" spans="1:8" x14ac:dyDescent="0.25">
      <c r="A196" s="115"/>
      <c r="B196" s="115"/>
      <c r="C196" s="115"/>
      <c r="D196" s="115"/>
      <c r="E196" s="115"/>
      <c r="F196" s="115"/>
      <c r="G196" s="115"/>
      <c r="H196" s="115"/>
    </row>
    <row r="197" spans="1:8" x14ac:dyDescent="0.25">
      <c r="A197" s="115"/>
      <c r="B197" s="115"/>
      <c r="C197" s="115"/>
      <c r="D197" s="115"/>
      <c r="E197" s="115"/>
      <c r="F197" s="115"/>
      <c r="G197" s="115"/>
      <c r="H197" s="115"/>
    </row>
    <row r="198" spans="1:8" x14ac:dyDescent="0.25">
      <c r="A198" s="115"/>
      <c r="B198" s="115"/>
      <c r="C198" s="115"/>
      <c r="D198" s="115"/>
      <c r="E198" s="115"/>
      <c r="F198" s="115"/>
      <c r="G198" s="115"/>
      <c r="H198" s="115"/>
    </row>
    <row r="199" spans="1:8" x14ac:dyDescent="0.25">
      <c r="A199" s="115"/>
      <c r="B199" s="115"/>
      <c r="C199" s="115"/>
      <c r="D199" s="115"/>
      <c r="E199" s="115"/>
      <c r="F199" s="115"/>
      <c r="G199" s="115"/>
      <c r="H199" s="115"/>
    </row>
    <row r="200" spans="1:8" x14ac:dyDescent="0.25">
      <c r="A200" s="115"/>
      <c r="B200" s="115"/>
      <c r="C200" s="115"/>
      <c r="D200" s="115"/>
      <c r="E200" s="115"/>
      <c r="F200" s="115"/>
      <c r="G200" s="115"/>
      <c r="H200" s="115"/>
    </row>
  </sheetData>
  <mergeCells count="39">
    <mergeCell ref="D8:F8"/>
    <mergeCell ref="A1:G1"/>
    <mergeCell ref="A2:G2"/>
    <mergeCell ref="A4:G4"/>
    <mergeCell ref="D6:F6"/>
    <mergeCell ref="D7:F7"/>
    <mergeCell ref="D24:F24"/>
    <mergeCell ref="D9:F9"/>
    <mergeCell ref="D10:F10"/>
    <mergeCell ref="D11:F11"/>
    <mergeCell ref="D12:F12"/>
    <mergeCell ref="D13:F13"/>
    <mergeCell ref="A15:G15"/>
    <mergeCell ref="D17:F17"/>
    <mergeCell ref="D18:F18"/>
    <mergeCell ref="D19:F19"/>
    <mergeCell ref="D20:F20"/>
    <mergeCell ref="A22:G22"/>
    <mergeCell ref="D42:F42"/>
    <mergeCell ref="D25:F25"/>
    <mergeCell ref="D26:F26"/>
    <mergeCell ref="A28:G28"/>
    <mergeCell ref="D30:F30"/>
    <mergeCell ref="D31:F31"/>
    <mergeCell ref="A33:G33"/>
    <mergeCell ref="D35:F35"/>
    <mergeCell ref="D36:F36"/>
    <mergeCell ref="D37:F37"/>
    <mergeCell ref="A39:G39"/>
    <mergeCell ref="D41:F41"/>
    <mergeCell ref="A52:G52"/>
    <mergeCell ref="D54:F54"/>
    <mergeCell ref="D55:F55"/>
    <mergeCell ref="D43:F43"/>
    <mergeCell ref="A45:G45"/>
    <mergeCell ref="D47:F47"/>
    <mergeCell ref="D48:F48"/>
    <mergeCell ref="D49:F49"/>
    <mergeCell ref="D50:F5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000D-2B5D-4836-816D-DB82ACADB5E9}">
  <sheetPr>
    <tabColor rgb="FF6A1B9A"/>
  </sheetPr>
  <dimension ref="A1:D216"/>
  <sheetViews>
    <sheetView showGridLines="0" workbookViewId="0">
      <selection activeCell="A20" sqref="A20:D20"/>
    </sheetView>
  </sheetViews>
  <sheetFormatPr baseColWidth="10" defaultRowHeight="15" x14ac:dyDescent="0.25"/>
  <cols>
    <col min="1" max="4" width="106.7109375" customWidth="1"/>
  </cols>
  <sheetData>
    <row r="1" spans="1:4" ht="17.25" x14ac:dyDescent="0.3">
      <c r="A1" s="590" t="s">
        <v>1778</v>
      </c>
      <c r="B1" s="590"/>
      <c r="C1" s="590"/>
      <c r="D1" s="590"/>
    </row>
    <row r="2" spans="1:4" x14ac:dyDescent="0.25">
      <c r="A2" s="591" t="s">
        <v>1779</v>
      </c>
      <c r="B2" s="591"/>
      <c r="C2" s="591"/>
      <c r="D2" s="591"/>
    </row>
    <row r="3" spans="1:4" x14ac:dyDescent="0.25">
      <c r="A3" s="121"/>
      <c r="B3" s="121"/>
      <c r="C3" s="121"/>
      <c r="D3" s="121"/>
    </row>
    <row r="4" spans="1:4" x14ac:dyDescent="0.25">
      <c r="A4" s="592" t="s">
        <v>1780</v>
      </c>
      <c r="B4" s="592"/>
      <c r="C4" s="592"/>
      <c r="D4" s="592"/>
    </row>
    <row r="5" spans="1:4" x14ac:dyDescent="0.25">
      <c r="A5" s="586" t="s">
        <v>1177</v>
      </c>
      <c r="B5" s="586"/>
      <c r="C5" s="586"/>
      <c r="D5" s="586"/>
    </row>
    <row r="6" spans="1:4" x14ac:dyDescent="0.25">
      <c r="A6" s="586" t="s">
        <v>1781</v>
      </c>
      <c r="B6" s="586"/>
      <c r="C6" s="586"/>
      <c r="D6" s="586"/>
    </row>
    <row r="7" spans="1:4" x14ac:dyDescent="0.25">
      <c r="A7" s="586" t="s">
        <v>1401</v>
      </c>
      <c r="B7" s="586"/>
      <c r="C7" s="586"/>
      <c r="D7" s="586"/>
    </row>
    <row r="8" spans="1:4" x14ac:dyDescent="0.25">
      <c r="A8" s="500"/>
      <c r="B8" s="500"/>
      <c r="C8" s="500"/>
      <c r="D8" s="500"/>
    </row>
    <row r="9" spans="1:4" x14ac:dyDescent="0.25">
      <c r="A9" s="586" t="s">
        <v>1782</v>
      </c>
      <c r="B9" s="586"/>
      <c r="C9" s="586"/>
      <c r="D9" s="586"/>
    </row>
    <row r="10" spans="1:4" x14ac:dyDescent="0.25">
      <c r="A10" s="586" t="s">
        <v>1404</v>
      </c>
      <c r="B10" s="586"/>
      <c r="C10" s="586"/>
      <c r="D10" s="586"/>
    </row>
    <row r="11" spans="1:4" x14ac:dyDescent="0.25">
      <c r="A11" s="500"/>
      <c r="B11" s="500"/>
      <c r="C11" s="500"/>
      <c r="D11" s="500"/>
    </row>
    <row r="12" spans="1:4" x14ac:dyDescent="0.25">
      <c r="A12" s="586" t="s">
        <v>1783</v>
      </c>
      <c r="B12" s="586"/>
      <c r="C12" s="586"/>
      <c r="D12" s="586"/>
    </row>
    <row r="13" spans="1:4" x14ac:dyDescent="0.25">
      <c r="A13" s="586" t="s">
        <v>1784</v>
      </c>
      <c r="B13" s="586"/>
      <c r="C13" s="586"/>
      <c r="D13" s="586"/>
    </row>
    <row r="14" spans="1:4" x14ac:dyDescent="0.25">
      <c r="A14" s="586" t="s">
        <v>1785</v>
      </c>
      <c r="B14" s="586"/>
      <c r="C14" s="586"/>
      <c r="D14" s="586"/>
    </row>
    <row r="15" spans="1:4" x14ac:dyDescent="0.25">
      <c r="A15" s="500"/>
      <c r="B15" s="500"/>
      <c r="C15" s="500"/>
      <c r="D15" s="500"/>
    </row>
    <row r="16" spans="1:4" x14ac:dyDescent="0.25">
      <c r="A16" s="586" t="s">
        <v>1786</v>
      </c>
      <c r="B16" s="586"/>
      <c r="C16" s="586"/>
      <c r="D16" s="586"/>
    </row>
    <row r="17" spans="1:4" x14ac:dyDescent="0.25">
      <c r="A17" s="586" t="s">
        <v>1787</v>
      </c>
      <c r="B17" s="586"/>
      <c r="C17" s="586"/>
      <c r="D17" s="586"/>
    </row>
    <row r="18" spans="1:4" x14ac:dyDescent="0.25">
      <c r="A18" s="586" t="s">
        <v>1788</v>
      </c>
      <c r="B18" s="586"/>
      <c r="C18" s="586"/>
      <c r="D18" s="586"/>
    </row>
    <row r="19" spans="1:4" x14ac:dyDescent="0.25">
      <c r="A19" s="586" t="s">
        <v>1789</v>
      </c>
      <c r="B19" s="586"/>
      <c r="C19" s="586"/>
      <c r="D19" s="586"/>
    </row>
    <row r="20" spans="1:4" x14ac:dyDescent="0.25">
      <c r="A20" s="500"/>
      <c r="B20" s="500"/>
      <c r="C20" s="500"/>
      <c r="D20" s="500"/>
    </row>
    <row r="21" spans="1:4" x14ac:dyDescent="0.25">
      <c r="A21" s="586" t="s">
        <v>1790</v>
      </c>
      <c r="B21" s="586"/>
      <c r="C21" s="586"/>
      <c r="D21" s="586"/>
    </row>
    <row r="22" spans="1:4" x14ac:dyDescent="0.25">
      <c r="A22" s="586" t="s">
        <v>1791</v>
      </c>
      <c r="B22" s="586"/>
      <c r="C22" s="586"/>
      <c r="D22" s="586"/>
    </row>
    <row r="23" spans="1:4" x14ac:dyDescent="0.25">
      <c r="A23" s="586" t="s">
        <v>1792</v>
      </c>
      <c r="B23" s="586"/>
      <c r="C23" s="586"/>
      <c r="D23" s="586"/>
    </row>
    <row r="24" spans="1:4" x14ac:dyDescent="0.25">
      <c r="A24" s="586" t="s">
        <v>1793</v>
      </c>
      <c r="B24" s="586"/>
      <c r="C24" s="586"/>
      <c r="D24" s="586"/>
    </row>
    <row r="25" spans="1:4" x14ac:dyDescent="0.25">
      <c r="A25" s="500"/>
      <c r="B25" s="500"/>
      <c r="C25" s="500"/>
      <c r="D25" s="500"/>
    </row>
    <row r="26" spans="1:4" x14ac:dyDescent="0.25">
      <c r="A26" s="586" t="s">
        <v>1794</v>
      </c>
      <c r="B26" s="586"/>
      <c r="C26" s="586"/>
      <c r="D26" s="586"/>
    </row>
    <row r="27" spans="1:4" x14ac:dyDescent="0.25">
      <c r="A27" s="586" t="s">
        <v>1795</v>
      </c>
      <c r="B27" s="586"/>
      <c r="C27" s="586"/>
      <c r="D27" s="586"/>
    </row>
    <row r="28" spans="1:4" x14ac:dyDescent="0.25">
      <c r="A28" s="586" t="s">
        <v>1796</v>
      </c>
      <c r="B28" s="586"/>
      <c r="C28" s="586"/>
      <c r="D28" s="586"/>
    </row>
    <row r="29" spans="1:4" x14ac:dyDescent="0.25">
      <c r="A29" s="586" t="s">
        <v>1797</v>
      </c>
      <c r="B29" s="586"/>
      <c r="C29" s="586"/>
      <c r="D29" s="586"/>
    </row>
    <row r="30" spans="1:4" x14ac:dyDescent="0.25">
      <c r="A30" s="586" t="s">
        <v>1798</v>
      </c>
      <c r="B30" s="586"/>
      <c r="C30" s="586"/>
      <c r="D30" s="586"/>
    </row>
    <row r="31" spans="1:4" x14ac:dyDescent="0.25">
      <c r="A31" s="586" t="s">
        <v>1799</v>
      </c>
      <c r="B31" s="586"/>
      <c r="C31" s="586"/>
      <c r="D31" s="586"/>
    </row>
    <row r="32" spans="1:4" x14ac:dyDescent="0.25">
      <c r="A32" s="586" t="s">
        <v>1800</v>
      </c>
      <c r="B32" s="586"/>
      <c r="C32" s="586"/>
      <c r="D32" s="586"/>
    </row>
    <row r="33" spans="1:4" x14ac:dyDescent="0.25">
      <c r="A33" s="586" t="s">
        <v>1801</v>
      </c>
      <c r="B33" s="586"/>
      <c r="C33" s="586"/>
      <c r="D33" s="586"/>
    </row>
    <row r="34" spans="1:4" x14ac:dyDescent="0.25">
      <c r="A34" s="500"/>
      <c r="B34" s="500"/>
      <c r="C34" s="500"/>
      <c r="D34" s="500"/>
    </row>
    <row r="35" spans="1:4" x14ac:dyDescent="0.25">
      <c r="A35" s="586" t="s">
        <v>1802</v>
      </c>
      <c r="B35" s="586"/>
      <c r="C35" s="586"/>
      <c r="D35" s="586"/>
    </row>
    <row r="36" spans="1:4" x14ac:dyDescent="0.25">
      <c r="A36" s="586" t="s">
        <v>1803</v>
      </c>
      <c r="B36" s="586"/>
      <c r="C36" s="586"/>
      <c r="D36" s="586"/>
    </row>
    <row r="37" spans="1:4" x14ac:dyDescent="0.25">
      <c r="A37" s="586" t="s">
        <v>1804</v>
      </c>
      <c r="B37" s="586"/>
      <c r="C37" s="586"/>
      <c r="D37" s="586"/>
    </row>
    <row r="38" spans="1:4" x14ac:dyDescent="0.25">
      <c r="A38" s="586" t="s">
        <v>1805</v>
      </c>
      <c r="B38" s="586"/>
      <c r="C38" s="586"/>
      <c r="D38" s="586"/>
    </row>
    <row r="39" spans="1:4" x14ac:dyDescent="0.25">
      <c r="A39" s="500"/>
      <c r="B39" s="500"/>
      <c r="C39" s="500"/>
      <c r="D39" s="500"/>
    </row>
    <row r="40" spans="1:4" x14ac:dyDescent="0.25">
      <c r="A40" s="586" t="s">
        <v>1806</v>
      </c>
      <c r="B40" s="586"/>
      <c r="C40" s="586"/>
      <c r="D40" s="586"/>
    </row>
    <row r="41" spans="1:4" x14ac:dyDescent="0.25">
      <c r="A41" s="586" t="s">
        <v>1807</v>
      </c>
      <c r="B41" s="586"/>
      <c r="C41" s="586"/>
      <c r="D41" s="586"/>
    </row>
    <row r="42" spans="1:4" x14ac:dyDescent="0.25">
      <c r="A42" s="586" t="s">
        <v>1808</v>
      </c>
      <c r="B42" s="586"/>
      <c r="C42" s="586"/>
      <c r="D42" s="586"/>
    </row>
    <row r="43" spans="1:4" x14ac:dyDescent="0.25">
      <c r="A43" s="586" t="s">
        <v>1809</v>
      </c>
      <c r="B43" s="586"/>
      <c r="C43" s="586"/>
      <c r="D43" s="586"/>
    </row>
    <row r="44" spans="1:4" x14ac:dyDescent="0.25">
      <c r="A44" s="586" t="s">
        <v>1810</v>
      </c>
      <c r="B44" s="586"/>
      <c r="C44" s="586"/>
      <c r="D44" s="586"/>
    </row>
    <row r="45" spans="1:4" x14ac:dyDescent="0.25">
      <c r="A45" s="586" t="s">
        <v>1811</v>
      </c>
      <c r="B45" s="586"/>
      <c r="C45" s="586"/>
      <c r="D45" s="586"/>
    </row>
    <row r="46" spans="1:4" x14ac:dyDescent="0.25">
      <c r="A46" s="586" t="s">
        <v>1812</v>
      </c>
      <c r="B46" s="586"/>
      <c r="C46" s="586"/>
      <c r="D46" s="586"/>
    </row>
    <row r="47" spans="1:4" x14ac:dyDescent="0.25">
      <c r="A47" s="500"/>
      <c r="B47" s="500"/>
      <c r="C47" s="500"/>
      <c r="D47" s="500"/>
    </row>
    <row r="48" spans="1:4" x14ac:dyDescent="0.25">
      <c r="A48" s="586" t="s">
        <v>1362</v>
      </c>
      <c r="B48" s="586"/>
      <c r="C48" s="586"/>
      <c r="D48" s="586"/>
    </row>
    <row r="49" spans="1:4" x14ac:dyDescent="0.25">
      <c r="A49" s="586" t="s">
        <v>1364</v>
      </c>
      <c r="B49" s="586"/>
      <c r="C49" s="586"/>
      <c r="D49" s="586"/>
    </row>
    <row r="52" spans="1:4" x14ac:dyDescent="0.25">
      <c r="A52" s="589" t="s">
        <v>1813</v>
      </c>
      <c r="B52" s="589"/>
      <c r="C52" s="589"/>
      <c r="D52" s="589"/>
    </row>
    <row r="53" spans="1:4" x14ac:dyDescent="0.25">
      <c r="A53" s="586" t="s">
        <v>1177</v>
      </c>
      <c r="B53" s="586"/>
      <c r="C53" s="586"/>
      <c r="D53" s="586"/>
    </row>
    <row r="54" spans="1:4" x14ac:dyDescent="0.25">
      <c r="A54" s="586" t="s">
        <v>1781</v>
      </c>
      <c r="B54" s="586"/>
      <c r="C54" s="586"/>
      <c r="D54" s="586"/>
    </row>
    <row r="55" spans="1:4" x14ac:dyDescent="0.25">
      <c r="A55" s="586" t="s">
        <v>1401</v>
      </c>
      <c r="B55" s="586"/>
      <c r="C55" s="586"/>
      <c r="D55" s="586"/>
    </row>
    <row r="56" spans="1:4" x14ac:dyDescent="0.25">
      <c r="A56" s="500"/>
      <c r="B56" s="500"/>
      <c r="C56" s="500"/>
      <c r="D56" s="500"/>
    </row>
    <row r="57" spans="1:4" x14ac:dyDescent="0.25">
      <c r="A57" s="586" t="s">
        <v>1814</v>
      </c>
      <c r="B57" s="586"/>
      <c r="C57" s="586"/>
      <c r="D57" s="586"/>
    </row>
    <row r="58" spans="1:4" x14ac:dyDescent="0.25">
      <c r="A58" s="586" t="s">
        <v>1815</v>
      </c>
      <c r="B58" s="586"/>
      <c r="C58" s="586"/>
      <c r="D58" s="586"/>
    </row>
    <row r="59" spans="1:4" x14ac:dyDescent="0.25">
      <c r="A59" s="586" t="s">
        <v>1816</v>
      </c>
      <c r="B59" s="586"/>
      <c r="C59" s="586"/>
      <c r="D59" s="586"/>
    </row>
    <row r="60" spans="1:4" x14ac:dyDescent="0.25">
      <c r="A60" s="586" t="s">
        <v>1817</v>
      </c>
      <c r="B60" s="586"/>
      <c r="C60" s="586"/>
      <c r="D60" s="586"/>
    </row>
    <row r="61" spans="1:4" x14ac:dyDescent="0.25">
      <c r="A61" s="586" t="s">
        <v>1818</v>
      </c>
      <c r="B61" s="586"/>
      <c r="C61" s="586"/>
      <c r="D61" s="586"/>
    </row>
    <row r="62" spans="1:4" x14ac:dyDescent="0.25">
      <c r="A62" s="500"/>
      <c r="B62" s="500"/>
      <c r="C62" s="500"/>
      <c r="D62" s="500"/>
    </row>
    <row r="63" spans="1:4" x14ac:dyDescent="0.25">
      <c r="A63" s="586" t="s">
        <v>1819</v>
      </c>
      <c r="B63" s="586"/>
      <c r="C63" s="586"/>
      <c r="D63" s="586"/>
    </row>
    <row r="64" spans="1:4" x14ac:dyDescent="0.25">
      <c r="A64" s="586" t="s">
        <v>1820</v>
      </c>
      <c r="B64" s="586"/>
      <c r="C64" s="586"/>
      <c r="D64" s="586"/>
    </row>
    <row r="65" spans="1:4" x14ac:dyDescent="0.25">
      <c r="A65" s="586" t="s">
        <v>1821</v>
      </c>
      <c r="B65" s="586"/>
      <c r="C65" s="586"/>
      <c r="D65" s="586"/>
    </row>
    <row r="66" spans="1:4" x14ac:dyDescent="0.25">
      <c r="A66" s="500"/>
      <c r="B66" s="500"/>
      <c r="C66" s="500"/>
      <c r="D66" s="500"/>
    </row>
    <row r="67" spans="1:4" x14ac:dyDescent="0.25">
      <c r="A67" s="586" t="s">
        <v>1822</v>
      </c>
      <c r="B67" s="586"/>
      <c r="C67" s="586"/>
      <c r="D67" s="586"/>
    </row>
    <row r="68" spans="1:4" x14ac:dyDescent="0.25">
      <c r="A68" s="586" t="s">
        <v>1823</v>
      </c>
      <c r="B68" s="586"/>
      <c r="C68" s="586"/>
      <c r="D68" s="586"/>
    </row>
    <row r="69" spans="1:4" x14ac:dyDescent="0.25">
      <c r="A69" s="586" t="s">
        <v>1824</v>
      </c>
      <c r="B69" s="586"/>
      <c r="C69" s="586"/>
      <c r="D69" s="586"/>
    </row>
    <row r="70" spans="1:4" x14ac:dyDescent="0.25">
      <c r="A70" s="586" t="s">
        <v>1825</v>
      </c>
      <c r="B70" s="586"/>
      <c r="C70" s="586"/>
      <c r="D70" s="586"/>
    </row>
    <row r="71" spans="1:4" x14ac:dyDescent="0.25">
      <c r="A71" s="586" t="s">
        <v>1826</v>
      </c>
      <c r="B71" s="586"/>
      <c r="C71" s="586"/>
      <c r="D71" s="586"/>
    </row>
    <row r="72" spans="1:4" x14ac:dyDescent="0.25">
      <c r="A72" s="586" t="s">
        <v>1827</v>
      </c>
      <c r="B72" s="586"/>
      <c r="C72" s="586"/>
      <c r="D72" s="586"/>
    </row>
    <row r="73" spans="1:4" x14ac:dyDescent="0.25">
      <c r="A73" s="586" t="s">
        <v>1828</v>
      </c>
      <c r="B73" s="586"/>
      <c r="C73" s="586"/>
      <c r="D73" s="586"/>
    </row>
    <row r="74" spans="1:4" x14ac:dyDescent="0.25">
      <c r="A74" s="586" t="s">
        <v>1829</v>
      </c>
      <c r="B74" s="586"/>
      <c r="C74" s="586"/>
      <c r="D74" s="586"/>
    </row>
    <row r="75" spans="1:4" x14ac:dyDescent="0.25">
      <c r="A75" s="500"/>
      <c r="B75" s="500"/>
      <c r="C75" s="500"/>
      <c r="D75" s="500"/>
    </row>
    <row r="76" spans="1:4" x14ac:dyDescent="0.25">
      <c r="A76" s="586" t="s">
        <v>1830</v>
      </c>
      <c r="B76" s="586"/>
      <c r="C76" s="586"/>
      <c r="D76" s="586"/>
    </row>
    <row r="77" spans="1:4" x14ac:dyDescent="0.25">
      <c r="A77" s="586" t="s">
        <v>1831</v>
      </c>
      <c r="B77" s="586"/>
      <c r="C77" s="586"/>
      <c r="D77" s="586"/>
    </row>
    <row r="78" spans="1:4" x14ac:dyDescent="0.25">
      <c r="A78" s="586" t="s">
        <v>1832</v>
      </c>
      <c r="B78" s="586"/>
      <c r="C78" s="586"/>
      <c r="D78" s="586"/>
    </row>
    <row r="79" spans="1:4" x14ac:dyDescent="0.25">
      <c r="A79" s="586" t="s">
        <v>1833</v>
      </c>
      <c r="B79" s="586"/>
      <c r="C79" s="586"/>
      <c r="D79" s="586"/>
    </row>
    <row r="80" spans="1:4" x14ac:dyDescent="0.25">
      <c r="A80" s="586" t="s">
        <v>1829</v>
      </c>
      <c r="B80" s="586"/>
      <c r="C80" s="586"/>
      <c r="D80" s="586"/>
    </row>
    <row r="81" spans="1:4" x14ac:dyDescent="0.25">
      <c r="A81" s="500"/>
      <c r="B81" s="500"/>
      <c r="C81" s="500"/>
      <c r="D81" s="500"/>
    </row>
    <row r="82" spans="1:4" x14ac:dyDescent="0.25">
      <c r="A82" s="586" t="s">
        <v>1834</v>
      </c>
      <c r="B82" s="586"/>
      <c r="C82" s="586"/>
      <c r="D82" s="586"/>
    </row>
    <row r="83" spans="1:4" x14ac:dyDescent="0.25">
      <c r="A83" s="586" t="s">
        <v>1791</v>
      </c>
      <c r="B83" s="586"/>
      <c r="C83" s="586"/>
      <c r="D83" s="586"/>
    </row>
    <row r="84" spans="1:4" x14ac:dyDescent="0.25">
      <c r="A84" s="586" t="s">
        <v>1835</v>
      </c>
      <c r="B84" s="586"/>
      <c r="C84" s="586"/>
      <c r="D84" s="586"/>
    </row>
    <row r="85" spans="1:4" x14ac:dyDescent="0.25">
      <c r="A85" s="586" t="s">
        <v>1836</v>
      </c>
      <c r="B85" s="586"/>
      <c r="C85" s="586"/>
      <c r="D85" s="586"/>
    </row>
    <row r="86" spans="1:4" x14ac:dyDescent="0.25">
      <c r="A86" s="500"/>
      <c r="B86" s="500"/>
      <c r="C86" s="500"/>
      <c r="D86" s="500"/>
    </row>
    <row r="87" spans="1:4" x14ac:dyDescent="0.25">
      <c r="A87" s="586" t="s">
        <v>1837</v>
      </c>
      <c r="B87" s="586"/>
      <c r="C87" s="586"/>
      <c r="D87" s="586"/>
    </row>
    <row r="88" spans="1:4" x14ac:dyDescent="0.25">
      <c r="A88" s="586" t="s">
        <v>1838</v>
      </c>
      <c r="B88" s="586"/>
      <c r="C88" s="586"/>
      <c r="D88" s="586"/>
    </row>
    <row r="89" spans="1:4" x14ac:dyDescent="0.25">
      <c r="A89" s="586" t="s">
        <v>1839</v>
      </c>
      <c r="B89" s="586"/>
      <c r="C89" s="586"/>
      <c r="D89" s="586"/>
    </row>
    <row r="90" spans="1:4" x14ac:dyDescent="0.25">
      <c r="A90" s="586" t="s">
        <v>1840</v>
      </c>
      <c r="B90" s="586"/>
      <c r="C90" s="586"/>
      <c r="D90" s="586"/>
    </row>
    <row r="91" spans="1:4" x14ac:dyDescent="0.25">
      <c r="A91" s="586" t="s">
        <v>1841</v>
      </c>
      <c r="B91" s="586"/>
      <c r="C91" s="586"/>
      <c r="D91" s="586"/>
    </row>
    <row r="92" spans="1:4" x14ac:dyDescent="0.25">
      <c r="A92" s="586" t="s">
        <v>1842</v>
      </c>
      <c r="B92" s="586"/>
      <c r="C92" s="586"/>
      <c r="D92" s="586"/>
    </row>
    <row r="93" spans="1:4" x14ac:dyDescent="0.25">
      <c r="A93" s="586" t="s">
        <v>1843</v>
      </c>
      <c r="B93" s="586"/>
      <c r="C93" s="586"/>
      <c r="D93" s="586"/>
    </row>
    <row r="94" spans="1:4" x14ac:dyDescent="0.25">
      <c r="A94" s="586" t="s">
        <v>1844</v>
      </c>
      <c r="B94" s="586"/>
      <c r="C94" s="586"/>
      <c r="D94" s="586"/>
    </row>
    <row r="95" spans="1:4" x14ac:dyDescent="0.25">
      <c r="A95" s="586" t="s">
        <v>1845</v>
      </c>
      <c r="B95" s="586"/>
      <c r="C95" s="586"/>
      <c r="D95" s="586"/>
    </row>
    <row r="96" spans="1:4" x14ac:dyDescent="0.25">
      <c r="A96" s="586" t="s">
        <v>1846</v>
      </c>
      <c r="B96" s="586"/>
      <c r="C96" s="586"/>
      <c r="D96" s="586"/>
    </row>
    <row r="97" spans="1:4" x14ac:dyDescent="0.25">
      <c r="A97" s="586" t="s">
        <v>1847</v>
      </c>
      <c r="B97" s="586"/>
      <c r="C97" s="586"/>
      <c r="D97" s="586"/>
    </row>
    <row r="98" spans="1:4" x14ac:dyDescent="0.25">
      <c r="A98" s="586" t="s">
        <v>1848</v>
      </c>
      <c r="B98" s="586"/>
      <c r="C98" s="586"/>
      <c r="D98" s="586"/>
    </row>
    <row r="99" spans="1:4" x14ac:dyDescent="0.25">
      <c r="A99" s="586" t="s">
        <v>1849</v>
      </c>
      <c r="B99" s="586"/>
      <c r="C99" s="586"/>
      <c r="D99" s="586"/>
    </row>
    <row r="100" spans="1:4" x14ac:dyDescent="0.25">
      <c r="A100" s="586" t="s">
        <v>1850</v>
      </c>
      <c r="B100" s="586"/>
      <c r="C100" s="586"/>
      <c r="D100" s="586"/>
    </row>
    <row r="101" spans="1:4" x14ac:dyDescent="0.25">
      <c r="A101" s="586" t="s">
        <v>1851</v>
      </c>
      <c r="B101" s="586"/>
      <c r="C101" s="586"/>
      <c r="D101" s="586"/>
    </row>
    <row r="102" spans="1:4" x14ac:dyDescent="0.25">
      <c r="A102" s="500"/>
      <c r="B102" s="500"/>
      <c r="C102" s="500"/>
      <c r="D102" s="500"/>
    </row>
    <row r="103" spans="1:4" x14ac:dyDescent="0.25">
      <c r="A103" s="586" t="s">
        <v>1852</v>
      </c>
      <c r="B103" s="586"/>
      <c r="C103" s="586"/>
      <c r="D103" s="586"/>
    </row>
    <row r="104" spans="1:4" x14ac:dyDescent="0.25">
      <c r="A104" s="500"/>
      <c r="B104" s="500"/>
      <c r="C104" s="500"/>
      <c r="D104" s="500"/>
    </row>
    <row r="105" spans="1:4" x14ac:dyDescent="0.25">
      <c r="A105" s="586" t="s">
        <v>1362</v>
      </c>
      <c r="B105" s="586"/>
      <c r="C105" s="586"/>
      <c r="D105" s="586"/>
    </row>
    <row r="106" spans="1:4" x14ac:dyDescent="0.25">
      <c r="A106" s="586" t="s">
        <v>1364</v>
      </c>
      <c r="B106" s="586"/>
      <c r="C106" s="586"/>
      <c r="D106" s="586"/>
    </row>
    <row r="109" spans="1:4" x14ac:dyDescent="0.25">
      <c r="A109" s="588" t="s">
        <v>1853</v>
      </c>
      <c r="B109" s="588"/>
      <c r="C109" s="588"/>
      <c r="D109" s="588"/>
    </row>
    <row r="110" spans="1:4" x14ac:dyDescent="0.25">
      <c r="A110" s="586" t="s">
        <v>1177</v>
      </c>
      <c r="B110" s="586"/>
      <c r="C110" s="586"/>
      <c r="D110" s="586"/>
    </row>
    <row r="111" spans="1:4" x14ac:dyDescent="0.25">
      <c r="A111" s="586" t="s">
        <v>1854</v>
      </c>
      <c r="B111" s="586"/>
      <c r="C111" s="586"/>
      <c r="D111" s="586"/>
    </row>
    <row r="112" spans="1:4" x14ac:dyDescent="0.25">
      <c r="A112" s="586" t="s">
        <v>1401</v>
      </c>
      <c r="B112" s="586"/>
      <c r="C112" s="586"/>
      <c r="D112" s="586"/>
    </row>
    <row r="113" spans="1:4" x14ac:dyDescent="0.25">
      <c r="A113" s="500"/>
      <c r="B113" s="500"/>
      <c r="C113" s="500"/>
      <c r="D113" s="500"/>
    </row>
    <row r="114" spans="1:4" x14ac:dyDescent="0.25">
      <c r="A114" s="586" t="s">
        <v>1855</v>
      </c>
      <c r="B114" s="586"/>
      <c r="C114" s="586"/>
      <c r="D114" s="586"/>
    </row>
    <row r="115" spans="1:4" x14ac:dyDescent="0.25">
      <c r="A115" s="586" t="s">
        <v>1856</v>
      </c>
      <c r="B115" s="586"/>
      <c r="C115" s="586"/>
      <c r="D115" s="586"/>
    </row>
    <row r="116" spans="1:4" x14ac:dyDescent="0.25">
      <c r="A116" s="586" t="s">
        <v>1857</v>
      </c>
      <c r="B116" s="586"/>
      <c r="C116" s="586"/>
      <c r="D116" s="586"/>
    </row>
    <row r="117" spans="1:4" x14ac:dyDescent="0.25">
      <c r="A117" s="586" t="s">
        <v>1858</v>
      </c>
      <c r="B117" s="586"/>
      <c r="C117" s="586"/>
      <c r="D117" s="586"/>
    </row>
    <row r="118" spans="1:4" x14ac:dyDescent="0.25">
      <c r="A118" s="586" t="s">
        <v>1859</v>
      </c>
      <c r="B118" s="586"/>
      <c r="C118" s="586"/>
      <c r="D118" s="586"/>
    </row>
    <row r="119" spans="1:4" x14ac:dyDescent="0.25">
      <c r="A119" s="586" t="s">
        <v>1860</v>
      </c>
      <c r="B119" s="586"/>
      <c r="C119" s="586"/>
      <c r="D119" s="586"/>
    </row>
    <row r="120" spans="1:4" x14ac:dyDescent="0.25">
      <c r="A120" s="500"/>
      <c r="B120" s="500"/>
      <c r="C120" s="500"/>
      <c r="D120" s="500"/>
    </row>
    <row r="121" spans="1:4" x14ac:dyDescent="0.25">
      <c r="A121" s="586" t="s">
        <v>1861</v>
      </c>
      <c r="B121" s="586"/>
      <c r="C121" s="586"/>
      <c r="D121" s="586"/>
    </row>
    <row r="122" spans="1:4" x14ac:dyDescent="0.25">
      <c r="A122" s="586" t="s">
        <v>1862</v>
      </c>
      <c r="B122" s="586"/>
      <c r="C122" s="586"/>
      <c r="D122" s="586"/>
    </row>
    <row r="123" spans="1:4" x14ac:dyDescent="0.25">
      <c r="A123" s="586" t="s">
        <v>1863</v>
      </c>
      <c r="B123" s="586"/>
      <c r="C123" s="586"/>
      <c r="D123" s="586"/>
    </row>
    <row r="124" spans="1:4" x14ac:dyDescent="0.25">
      <c r="A124" s="586" t="s">
        <v>1864</v>
      </c>
      <c r="B124" s="586"/>
      <c r="C124" s="586"/>
      <c r="D124" s="586"/>
    </row>
    <row r="125" spans="1:4" x14ac:dyDescent="0.25">
      <c r="A125" s="586" t="s">
        <v>1865</v>
      </c>
      <c r="B125" s="586"/>
      <c r="C125" s="586"/>
      <c r="D125" s="586"/>
    </row>
    <row r="126" spans="1:4" x14ac:dyDescent="0.25">
      <c r="A126" s="500"/>
      <c r="B126" s="500"/>
      <c r="C126" s="500"/>
      <c r="D126" s="500"/>
    </row>
    <row r="127" spans="1:4" x14ac:dyDescent="0.25">
      <c r="A127" s="586" t="s">
        <v>1866</v>
      </c>
      <c r="B127" s="586"/>
      <c r="C127" s="586"/>
      <c r="D127" s="586"/>
    </row>
    <row r="128" spans="1:4" x14ac:dyDescent="0.25">
      <c r="A128" s="586" t="s">
        <v>1867</v>
      </c>
      <c r="B128" s="586"/>
      <c r="C128" s="586"/>
      <c r="D128" s="586"/>
    </row>
    <row r="129" spans="1:4" x14ac:dyDescent="0.25">
      <c r="A129" s="586" t="s">
        <v>1868</v>
      </c>
      <c r="B129" s="586"/>
      <c r="C129" s="586"/>
      <c r="D129" s="586"/>
    </row>
    <row r="130" spans="1:4" x14ac:dyDescent="0.25">
      <c r="A130" s="586" t="s">
        <v>1869</v>
      </c>
      <c r="B130" s="586"/>
      <c r="C130" s="586"/>
      <c r="D130" s="586"/>
    </row>
    <row r="131" spans="1:4" x14ac:dyDescent="0.25">
      <c r="A131" s="500"/>
      <c r="B131" s="500"/>
      <c r="C131" s="500"/>
      <c r="D131" s="500"/>
    </row>
    <row r="132" spans="1:4" x14ac:dyDescent="0.25">
      <c r="A132" s="586" t="s">
        <v>1870</v>
      </c>
      <c r="B132" s="586"/>
      <c r="C132" s="586"/>
      <c r="D132" s="586"/>
    </row>
    <row r="133" spans="1:4" x14ac:dyDescent="0.25">
      <c r="A133" s="586" t="s">
        <v>1871</v>
      </c>
      <c r="B133" s="586"/>
      <c r="C133" s="586"/>
      <c r="D133" s="586"/>
    </row>
    <row r="134" spans="1:4" x14ac:dyDescent="0.25">
      <c r="A134" s="586" t="s">
        <v>1872</v>
      </c>
      <c r="B134" s="586"/>
      <c r="C134" s="586"/>
      <c r="D134" s="586"/>
    </row>
    <row r="135" spans="1:4" x14ac:dyDescent="0.25">
      <c r="A135" s="500"/>
      <c r="B135" s="500"/>
      <c r="C135" s="500"/>
      <c r="D135" s="500"/>
    </row>
    <row r="136" spans="1:4" x14ac:dyDescent="0.25">
      <c r="A136" s="586" t="s">
        <v>1873</v>
      </c>
      <c r="B136" s="586"/>
      <c r="C136" s="586"/>
      <c r="D136" s="586"/>
    </row>
    <row r="137" spans="1:4" x14ac:dyDescent="0.25">
      <c r="A137" s="586" t="s">
        <v>1874</v>
      </c>
      <c r="B137" s="586"/>
      <c r="C137" s="586"/>
      <c r="D137" s="586"/>
    </row>
    <row r="138" spans="1:4" x14ac:dyDescent="0.25">
      <c r="A138" s="586" t="s">
        <v>1875</v>
      </c>
      <c r="B138" s="586"/>
      <c r="C138" s="586"/>
      <c r="D138" s="586"/>
    </row>
    <row r="139" spans="1:4" x14ac:dyDescent="0.25">
      <c r="A139" s="500"/>
      <c r="B139" s="500"/>
      <c r="C139" s="500"/>
      <c r="D139" s="500"/>
    </row>
    <row r="140" spans="1:4" x14ac:dyDescent="0.25">
      <c r="A140" s="586" t="s">
        <v>1876</v>
      </c>
      <c r="B140" s="586"/>
      <c r="C140" s="586"/>
      <c r="D140" s="586"/>
    </row>
    <row r="141" spans="1:4" x14ac:dyDescent="0.25">
      <c r="A141" s="586" t="s">
        <v>1877</v>
      </c>
      <c r="B141" s="586"/>
      <c r="C141" s="586"/>
      <c r="D141" s="586"/>
    </row>
    <row r="142" spans="1:4" x14ac:dyDescent="0.25">
      <c r="A142" s="586" t="s">
        <v>1878</v>
      </c>
      <c r="B142" s="586"/>
      <c r="C142" s="586"/>
      <c r="D142" s="586"/>
    </row>
    <row r="143" spans="1:4" x14ac:dyDescent="0.25">
      <c r="A143" s="586" t="s">
        <v>1879</v>
      </c>
      <c r="B143" s="586"/>
      <c r="C143" s="586"/>
      <c r="D143" s="586"/>
    </row>
    <row r="144" spans="1:4" x14ac:dyDescent="0.25">
      <c r="A144" s="586" t="s">
        <v>1880</v>
      </c>
      <c r="B144" s="586"/>
      <c r="C144" s="586"/>
      <c r="D144" s="586"/>
    </row>
    <row r="145" spans="1:4" x14ac:dyDescent="0.25">
      <c r="A145" s="500"/>
      <c r="B145" s="500"/>
      <c r="C145" s="500"/>
      <c r="D145" s="500"/>
    </row>
    <row r="146" spans="1:4" x14ac:dyDescent="0.25">
      <c r="A146" s="586" t="s">
        <v>1881</v>
      </c>
      <c r="B146" s="586"/>
      <c r="C146" s="586"/>
      <c r="D146" s="586"/>
    </row>
    <row r="147" spans="1:4" x14ac:dyDescent="0.25">
      <c r="A147" s="586" t="s">
        <v>1882</v>
      </c>
      <c r="B147" s="586"/>
      <c r="C147" s="586"/>
      <c r="D147" s="586"/>
    </row>
    <row r="148" spans="1:4" x14ac:dyDescent="0.25">
      <c r="A148" s="586" t="s">
        <v>1883</v>
      </c>
      <c r="B148" s="586"/>
      <c r="C148" s="586"/>
      <c r="D148" s="586"/>
    </row>
    <row r="149" spans="1:4" x14ac:dyDescent="0.25">
      <c r="A149" s="586" t="s">
        <v>1884</v>
      </c>
      <c r="B149" s="586"/>
      <c r="C149" s="586"/>
      <c r="D149" s="586"/>
    </row>
    <row r="150" spans="1:4" x14ac:dyDescent="0.25">
      <c r="A150" s="500"/>
      <c r="B150" s="500"/>
      <c r="C150" s="500"/>
      <c r="D150" s="500"/>
    </row>
    <row r="151" spans="1:4" x14ac:dyDescent="0.25">
      <c r="A151" s="586" t="s">
        <v>1362</v>
      </c>
      <c r="B151" s="586"/>
      <c r="C151" s="586"/>
      <c r="D151" s="586"/>
    </row>
    <row r="152" spans="1:4" x14ac:dyDescent="0.25">
      <c r="A152" s="586" t="s">
        <v>1885</v>
      </c>
      <c r="B152" s="586"/>
      <c r="C152" s="586"/>
      <c r="D152" s="586"/>
    </row>
    <row r="155" spans="1:4" x14ac:dyDescent="0.25">
      <c r="A155" s="587" t="s">
        <v>1886</v>
      </c>
      <c r="B155" s="587"/>
      <c r="C155" s="587"/>
      <c r="D155" s="587"/>
    </row>
    <row r="156" spans="1:4" x14ac:dyDescent="0.25">
      <c r="A156" s="586" t="s">
        <v>1177</v>
      </c>
      <c r="B156" s="586"/>
      <c r="C156" s="586"/>
      <c r="D156" s="586"/>
    </row>
    <row r="157" spans="1:4" x14ac:dyDescent="0.25">
      <c r="A157" s="586" t="s">
        <v>1887</v>
      </c>
      <c r="B157" s="586"/>
      <c r="C157" s="586"/>
      <c r="D157" s="586"/>
    </row>
    <row r="158" spans="1:4" x14ac:dyDescent="0.25">
      <c r="A158" s="586" t="s">
        <v>1888</v>
      </c>
      <c r="B158" s="586"/>
      <c r="C158" s="586"/>
      <c r="D158" s="586"/>
    </row>
    <row r="159" spans="1:4" x14ac:dyDescent="0.25">
      <c r="A159" s="586" t="s">
        <v>1889</v>
      </c>
      <c r="B159" s="586"/>
      <c r="C159" s="586"/>
      <c r="D159" s="586"/>
    </row>
    <row r="160" spans="1:4" x14ac:dyDescent="0.25">
      <c r="A160" s="500"/>
      <c r="B160" s="500"/>
      <c r="C160" s="500"/>
      <c r="D160" s="500"/>
    </row>
    <row r="161" spans="1:4" x14ac:dyDescent="0.25">
      <c r="A161" s="586" t="s">
        <v>1890</v>
      </c>
      <c r="B161" s="586"/>
      <c r="C161" s="586"/>
      <c r="D161" s="586"/>
    </row>
    <row r="162" spans="1:4" x14ac:dyDescent="0.25">
      <c r="A162" s="586" t="s">
        <v>1891</v>
      </c>
      <c r="B162" s="586"/>
      <c r="C162" s="586"/>
      <c r="D162" s="586"/>
    </row>
    <row r="163" spans="1:4" x14ac:dyDescent="0.25">
      <c r="A163" s="586" t="s">
        <v>1892</v>
      </c>
      <c r="B163" s="586"/>
      <c r="C163" s="586"/>
      <c r="D163" s="586"/>
    </row>
    <row r="164" spans="1:4" x14ac:dyDescent="0.25">
      <c r="A164" s="586" t="s">
        <v>1893</v>
      </c>
      <c r="B164" s="586"/>
      <c r="C164" s="586"/>
      <c r="D164" s="586"/>
    </row>
    <row r="165" spans="1:4" x14ac:dyDescent="0.25">
      <c r="A165" s="586" t="s">
        <v>1894</v>
      </c>
      <c r="B165" s="586"/>
      <c r="C165" s="586"/>
      <c r="D165" s="586"/>
    </row>
    <row r="166" spans="1:4" x14ac:dyDescent="0.25">
      <c r="A166" s="586" t="s">
        <v>1895</v>
      </c>
      <c r="B166" s="586"/>
      <c r="C166" s="586"/>
      <c r="D166" s="586"/>
    </row>
    <row r="167" spans="1:4" x14ac:dyDescent="0.25">
      <c r="A167" s="586" t="s">
        <v>1896</v>
      </c>
      <c r="B167" s="586"/>
      <c r="C167" s="586"/>
      <c r="D167" s="586"/>
    </row>
    <row r="168" spans="1:4" x14ac:dyDescent="0.25">
      <c r="A168" s="586" t="s">
        <v>1897</v>
      </c>
      <c r="B168" s="586"/>
      <c r="C168" s="586"/>
      <c r="D168" s="586"/>
    </row>
    <row r="169" spans="1:4" x14ac:dyDescent="0.25">
      <c r="A169" s="586" t="s">
        <v>1898</v>
      </c>
      <c r="B169" s="586"/>
      <c r="C169" s="586"/>
      <c r="D169" s="586"/>
    </row>
    <row r="170" spans="1:4" x14ac:dyDescent="0.25">
      <c r="A170" s="586" t="s">
        <v>1899</v>
      </c>
      <c r="B170" s="586"/>
      <c r="C170" s="586"/>
      <c r="D170" s="586"/>
    </row>
    <row r="171" spans="1:4" x14ac:dyDescent="0.25">
      <c r="A171" s="586" t="s">
        <v>1900</v>
      </c>
      <c r="B171" s="586"/>
      <c r="C171" s="586"/>
      <c r="D171" s="586"/>
    </row>
    <row r="172" spans="1:4" x14ac:dyDescent="0.25">
      <c r="A172" s="586" t="s">
        <v>1901</v>
      </c>
      <c r="B172" s="586"/>
      <c r="C172" s="586"/>
      <c r="D172" s="586"/>
    </row>
    <row r="173" spans="1:4" x14ac:dyDescent="0.25">
      <c r="A173" s="500"/>
      <c r="B173" s="500"/>
      <c r="C173" s="500"/>
      <c r="D173" s="500"/>
    </row>
    <row r="174" spans="1:4" x14ac:dyDescent="0.25">
      <c r="A174" s="586" t="s">
        <v>1902</v>
      </c>
      <c r="B174" s="586"/>
      <c r="C174" s="586"/>
      <c r="D174" s="586"/>
    </row>
    <row r="175" spans="1:4" x14ac:dyDescent="0.25">
      <c r="A175" s="586" t="s">
        <v>1903</v>
      </c>
      <c r="B175" s="586"/>
      <c r="C175" s="586"/>
      <c r="D175" s="586"/>
    </row>
    <row r="176" spans="1:4" x14ac:dyDescent="0.25">
      <c r="A176" s="586" t="s">
        <v>1904</v>
      </c>
      <c r="B176" s="586"/>
      <c r="C176" s="586"/>
      <c r="D176" s="586"/>
    </row>
    <row r="177" spans="1:4" x14ac:dyDescent="0.25">
      <c r="A177" s="586" t="s">
        <v>1905</v>
      </c>
      <c r="B177" s="586"/>
      <c r="C177" s="586"/>
      <c r="D177" s="586"/>
    </row>
    <row r="178" spans="1:4" x14ac:dyDescent="0.25">
      <c r="A178" s="586" t="s">
        <v>1906</v>
      </c>
      <c r="B178" s="586"/>
      <c r="C178" s="586"/>
      <c r="D178" s="586"/>
    </row>
    <row r="179" spans="1:4" x14ac:dyDescent="0.25">
      <c r="A179" s="586" t="s">
        <v>1907</v>
      </c>
      <c r="B179" s="586"/>
      <c r="C179" s="586"/>
      <c r="D179" s="586"/>
    </row>
    <row r="180" spans="1:4" x14ac:dyDescent="0.25">
      <c r="A180" s="586" t="s">
        <v>1908</v>
      </c>
      <c r="B180" s="586"/>
      <c r="C180" s="586"/>
      <c r="D180" s="586"/>
    </row>
    <row r="181" spans="1:4" x14ac:dyDescent="0.25">
      <c r="A181" s="586" t="s">
        <v>1909</v>
      </c>
      <c r="B181" s="586"/>
      <c r="C181" s="586"/>
      <c r="D181" s="586"/>
    </row>
    <row r="182" spans="1:4" x14ac:dyDescent="0.25">
      <c r="A182" s="586" t="s">
        <v>1910</v>
      </c>
      <c r="B182" s="586"/>
      <c r="C182" s="586"/>
      <c r="D182" s="586"/>
    </row>
    <row r="183" spans="1:4" x14ac:dyDescent="0.25">
      <c r="A183" s="586" t="s">
        <v>1911</v>
      </c>
      <c r="B183" s="586"/>
      <c r="C183" s="586"/>
      <c r="D183" s="586"/>
    </row>
    <row r="184" spans="1:4" x14ac:dyDescent="0.25">
      <c r="A184" s="586" t="s">
        <v>1912</v>
      </c>
      <c r="B184" s="586"/>
      <c r="C184" s="586"/>
      <c r="D184" s="586"/>
    </row>
    <row r="185" spans="1:4" x14ac:dyDescent="0.25">
      <c r="A185" s="586" t="s">
        <v>1913</v>
      </c>
      <c r="B185" s="586"/>
      <c r="C185" s="586"/>
      <c r="D185" s="586"/>
    </row>
    <row r="186" spans="1:4" x14ac:dyDescent="0.25">
      <c r="A186" s="586" t="s">
        <v>1914</v>
      </c>
      <c r="B186" s="586"/>
      <c r="C186" s="586"/>
      <c r="D186" s="586"/>
    </row>
    <row r="187" spans="1:4" x14ac:dyDescent="0.25">
      <c r="A187" s="586" t="s">
        <v>1915</v>
      </c>
      <c r="B187" s="586"/>
      <c r="C187" s="586"/>
      <c r="D187" s="586"/>
    </row>
    <row r="188" spans="1:4" x14ac:dyDescent="0.25">
      <c r="A188" s="586" t="s">
        <v>1916</v>
      </c>
      <c r="B188" s="586"/>
      <c r="C188" s="586"/>
      <c r="D188" s="586"/>
    </row>
    <row r="189" spans="1:4" x14ac:dyDescent="0.25">
      <c r="A189" s="586" t="s">
        <v>1917</v>
      </c>
      <c r="B189" s="586"/>
      <c r="C189" s="586"/>
      <c r="D189" s="586"/>
    </row>
    <row r="190" spans="1:4" x14ac:dyDescent="0.25">
      <c r="A190" s="586" t="s">
        <v>1918</v>
      </c>
      <c r="B190" s="586"/>
      <c r="C190" s="586"/>
      <c r="D190" s="586"/>
    </row>
    <row r="191" spans="1:4" x14ac:dyDescent="0.25">
      <c r="A191" s="586" t="s">
        <v>1919</v>
      </c>
      <c r="B191" s="586"/>
      <c r="C191" s="586"/>
      <c r="D191" s="586"/>
    </row>
    <row r="192" spans="1:4" x14ac:dyDescent="0.25">
      <c r="A192" s="586" t="s">
        <v>1920</v>
      </c>
      <c r="B192" s="586"/>
      <c r="C192" s="586"/>
      <c r="D192" s="586"/>
    </row>
    <row r="193" spans="1:4" x14ac:dyDescent="0.25">
      <c r="A193" s="586" t="s">
        <v>1921</v>
      </c>
      <c r="B193" s="586"/>
      <c r="C193" s="586"/>
      <c r="D193" s="586"/>
    </row>
    <row r="194" spans="1:4" x14ac:dyDescent="0.25">
      <c r="A194" s="586" t="s">
        <v>1922</v>
      </c>
      <c r="B194" s="586"/>
      <c r="C194" s="586"/>
      <c r="D194" s="586"/>
    </row>
    <row r="195" spans="1:4" x14ac:dyDescent="0.25">
      <c r="A195" s="586" t="s">
        <v>1923</v>
      </c>
      <c r="B195" s="586"/>
      <c r="C195" s="586"/>
      <c r="D195" s="586"/>
    </row>
    <row r="196" spans="1:4" x14ac:dyDescent="0.25">
      <c r="A196" s="586" t="s">
        <v>1924</v>
      </c>
      <c r="B196" s="586"/>
      <c r="C196" s="586"/>
      <c r="D196" s="586"/>
    </row>
    <row r="197" spans="1:4" x14ac:dyDescent="0.25">
      <c r="A197" s="586" t="s">
        <v>1925</v>
      </c>
      <c r="B197" s="586"/>
      <c r="C197" s="586"/>
      <c r="D197" s="586"/>
    </row>
    <row r="198" spans="1:4" x14ac:dyDescent="0.25">
      <c r="A198" s="586" t="s">
        <v>1920</v>
      </c>
      <c r="B198" s="586"/>
      <c r="C198" s="586"/>
      <c r="D198" s="586"/>
    </row>
    <row r="199" spans="1:4" x14ac:dyDescent="0.25">
      <c r="A199" s="586" t="s">
        <v>1921</v>
      </c>
      <c r="B199" s="586"/>
      <c r="C199" s="586"/>
      <c r="D199" s="586"/>
    </row>
    <row r="200" spans="1:4" x14ac:dyDescent="0.25">
      <c r="A200" s="586" t="s">
        <v>1922</v>
      </c>
      <c r="B200" s="586"/>
      <c r="C200" s="586"/>
      <c r="D200" s="586"/>
    </row>
    <row r="201" spans="1:4" x14ac:dyDescent="0.25">
      <c r="A201" s="586" t="s">
        <v>1926</v>
      </c>
      <c r="B201" s="586"/>
      <c r="C201" s="586"/>
      <c r="D201" s="586"/>
    </row>
    <row r="202" spans="1:4" x14ac:dyDescent="0.25">
      <c r="A202" s="586" t="s">
        <v>1927</v>
      </c>
      <c r="B202" s="586"/>
      <c r="C202" s="586"/>
      <c r="D202" s="586"/>
    </row>
    <row r="203" spans="1:4" x14ac:dyDescent="0.25">
      <c r="A203" s="586" t="s">
        <v>1928</v>
      </c>
      <c r="B203" s="586"/>
      <c r="C203" s="586"/>
      <c r="D203" s="586"/>
    </row>
    <row r="204" spans="1:4" x14ac:dyDescent="0.25">
      <c r="A204" s="500"/>
      <c r="B204" s="500"/>
      <c r="C204" s="500"/>
      <c r="D204" s="500"/>
    </row>
    <row r="205" spans="1:4" x14ac:dyDescent="0.25">
      <c r="A205" s="586" t="s">
        <v>1929</v>
      </c>
      <c r="B205" s="586"/>
      <c r="C205" s="586"/>
      <c r="D205" s="586"/>
    </row>
    <row r="206" spans="1:4" x14ac:dyDescent="0.25">
      <c r="A206" s="586" t="s">
        <v>1930</v>
      </c>
      <c r="B206" s="586"/>
      <c r="C206" s="586"/>
      <c r="D206" s="586"/>
    </row>
    <row r="207" spans="1:4" x14ac:dyDescent="0.25">
      <c r="A207" s="586" t="s">
        <v>1931</v>
      </c>
      <c r="B207" s="586"/>
      <c r="C207" s="586"/>
      <c r="D207" s="586"/>
    </row>
    <row r="208" spans="1:4" x14ac:dyDescent="0.25">
      <c r="A208" s="586" t="s">
        <v>1932</v>
      </c>
      <c r="B208" s="586"/>
      <c r="C208" s="586"/>
      <c r="D208" s="586"/>
    </row>
    <row r="209" spans="1:4" x14ac:dyDescent="0.25">
      <c r="A209" s="586" t="s">
        <v>1933</v>
      </c>
      <c r="B209" s="586"/>
      <c r="C209" s="586"/>
      <c r="D209" s="586"/>
    </row>
    <row r="210" spans="1:4" x14ac:dyDescent="0.25">
      <c r="A210" s="586" t="s">
        <v>1934</v>
      </c>
      <c r="B210" s="586"/>
      <c r="C210" s="586"/>
      <c r="D210" s="586"/>
    </row>
    <row r="211" spans="1:4" x14ac:dyDescent="0.25">
      <c r="A211" s="586" t="s">
        <v>1935</v>
      </c>
      <c r="B211" s="586"/>
      <c r="C211" s="586"/>
      <c r="D211" s="586"/>
    </row>
    <row r="212" spans="1:4" x14ac:dyDescent="0.25">
      <c r="A212" s="586" t="s">
        <v>1936</v>
      </c>
      <c r="B212" s="586"/>
      <c r="C212" s="586"/>
      <c r="D212" s="586"/>
    </row>
    <row r="213" spans="1:4" x14ac:dyDescent="0.25">
      <c r="A213" s="586" t="s">
        <v>1812</v>
      </c>
      <c r="B213" s="586"/>
      <c r="C213" s="586"/>
      <c r="D213" s="586"/>
    </row>
    <row r="214" spans="1:4" x14ac:dyDescent="0.25">
      <c r="A214" s="500"/>
      <c r="B214" s="500"/>
      <c r="C214" s="500"/>
      <c r="D214" s="500"/>
    </row>
    <row r="215" spans="1:4" x14ac:dyDescent="0.25">
      <c r="A215" s="586" t="s">
        <v>1362</v>
      </c>
      <c r="B215" s="586"/>
      <c r="C215" s="586"/>
      <c r="D215" s="586"/>
    </row>
    <row r="216" spans="1:4" x14ac:dyDescent="0.25">
      <c r="A216" s="586" t="s">
        <v>1937</v>
      </c>
      <c r="B216" s="586"/>
      <c r="C216" s="586"/>
      <c r="D216" s="586"/>
    </row>
  </sheetData>
  <mergeCells count="209">
    <mergeCell ref="A1:D1"/>
    <mergeCell ref="A2:D2"/>
    <mergeCell ref="A4:D4"/>
    <mergeCell ref="A5:D5"/>
    <mergeCell ref="A6:D6"/>
    <mergeCell ref="A7:D7"/>
    <mergeCell ref="A14:D14"/>
    <mergeCell ref="A15:D15"/>
    <mergeCell ref="A16:D16"/>
    <mergeCell ref="A17:D17"/>
    <mergeCell ref="A18:D18"/>
    <mergeCell ref="A19:D19"/>
    <mergeCell ref="A8:D8"/>
    <mergeCell ref="A9:D9"/>
    <mergeCell ref="A10:D10"/>
    <mergeCell ref="A11:D11"/>
    <mergeCell ref="A12:D12"/>
    <mergeCell ref="A13:D13"/>
    <mergeCell ref="A26:D26"/>
    <mergeCell ref="A27:D27"/>
    <mergeCell ref="A28:D28"/>
    <mergeCell ref="A29:D29"/>
    <mergeCell ref="A30:D30"/>
    <mergeCell ref="A31:D31"/>
    <mergeCell ref="A20:D20"/>
    <mergeCell ref="A21:D21"/>
    <mergeCell ref="A22:D22"/>
    <mergeCell ref="A23:D23"/>
    <mergeCell ref="A24:D24"/>
    <mergeCell ref="A25:D25"/>
    <mergeCell ref="A38:D38"/>
    <mergeCell ref="A39:D39"/>
    <mergeCell ref="A40:D40"/>
    <mergeCell ref="A41:D41"/>
    <mergeCell ref="A42:D42"/>
    <mergeCell ref="A43:D43"/>
    <mergeCell ref="A32:D32"/>
    <mergeCell ref="A33:D33"/>
    <mergeCell ref="A34:D34"/>
    <mergeCell ref="A35:D35"/>
    <mergeCell ref="A36:D36"/>
    <mergeCell ref="A37:D37"/>
    <mergeCell ref="A52:D52"/>
    <mergeCell ref="A53:D53"/>
    <mergeCell ref="A54:D54"/>
    <mergeCell ref="A55:D55"/>
    <mergeCell ref="A56:D56"/>
    <mergeCell ref="A57:D57"/>
    <mergeCell ref="A44:D44"/>
    <mergeCell ref="A45:D45"/>
    <mergeCell ref="A46:D46"/>
    <mergeCell ref="A47:D47"/>
    <mergeCell ref="A48:D48"/>
    <mergeCell ref="A49:D49"/>
    <mergeCell ref="A64:D64"/>
    <mergeCell ref="A65:D65"/>
    <mergeCell ref="A66:D66"/>
    <mergeCell ref="A67:D67"/>
    <mergeCell ref="A68:D68"/>
    <mergeCell ref="A69:D69"/>
    <mergeCell ref="A58:D58"/>
    <mergeCell ref="A59:D59"/>
    <mergeCell ref="A60:D60"/>
    <mergeCell ref="A61:D61"/>
    <mergeCell ref="A62:D62"/>
    <mergeCell ref="A63:D63"/>
    <mergeCell ref="A76:D76"/>
    <mergeCell ref="A77:D77"/>
    <mergeCell ref="A78:D78"/>
    <mergeCell ref="A79:D79"/>
    <mergeCell ref="A80:D80"/>
    <mergeCell ref="A81:D81"/>
    <mergeCell ref="A70:D70"/>
    <mergeCell ref="A71:D71"/>
    <mergeCell ref="A72:D72"/>
    <mergeCell ref="A73:D73"/>
    <mergeCell ref="A74:D74"/>
    <mergeCell ref="A75:D75"/>
    <mergeCell ref="A88:D88"/>
    <mergeCell ref="A89:D89"/>
    <mergeCell ref="A90:D90"/>
    <mergeCell ref="A91:D91"/>
    <mergeCell ref="A92:D92"/>
    <mergeCell ref="A93:D93"/>
    <mergeCell ref="A82:D82"/>
    <mergeCell ref="A83:D83"/>
    <mergeCell ref="A84:D84"/>
    <mergeCell ref="A85:D85"/>
    <mergeCell ref="A86:D86"/>
    <mergeCell ref="A87:D87"/>
    <mergeCell ref="A100:D100"/>
    <mergeCell ref="A101:D101"/>
    <mergeCell ref="A102:D102"/>
    <mergeCell ref="A103:D103"/>
    <mergeCell ref="A104:D104"/>
    <mergeCell ref="A105:D105"/>
    <mergeCell ref="A94:D94"/>
    <mergeCell ref="A95:D95"/>
    <mergeCell ref="A96:D96"/>
    <mergeCell ref="A97:D97"/>
    <mergeCell ref="A98:D98"/>
    <mergeCell ref="A99:D99"/>
    <mergeCell ref="A114:D114"/>
    <mergeCell ref="A115:D115"/>
    <mergeCell ref="A116:D116"/>
    <mergeCell ref="A117:D117"/>
    <mergeCell ref="A118:D118"/>
    <mergeCell ref="A119:D119"/>
    <mergeCell ref="A106:D106"/>
    <mergeCell ref="A109:D109"/>
    <mergeCell ref="A110:D110"/>
    <mergeCell ref="A111:D111"/>
    <mergeCell ref="A112:D112"/>
    <mergeCell ref="A113:D113"/>
    <mergeCell ref="A126:D126"/>
    <mergeCell ref="A127:D127"/>
    <mergeCell ref="A128:D128"/>
    <mergeCell ref="A129:D129"/>
    <mergeCell ref="A130:D130"/>
    <mergeCell ref="A131:D131"/>
    <mergeCell ref="A120:D120"/>
    <mergeCell ref="A121:D121"/>
    <mergeCell ref="A122:D122"/>
    <mergeCell ref="A123:D123"/>
    <mergeCell ref="A124:D124"/>
    <mergeCell ref="A125:D125"/>
    <mergeCell ref="A138:D138"/>
    <mergeCell ref="A139:D139"/>
    <mergeCell ref="A140:D140"/>
    <mergeCell ref="A141:D141"/>
    <mergeCell ref="A142:D142"/>
    <mergeCell ref="A143:D143"/>
    <mergeCell ref="A132:D132"/>
    <mergeCell ref="A133:D133"/>
    <mergeCell ref="A134:D134"/>
    <mergeCell ref="A135:D135"/>
    <mergeCell ref="A136:D136"/>
    <mergeCell ref="A137:D137"/>
    <mergeCell ref="A150:D150"/>
    <mergeCell ref="A151:D151"/>
    <mergeCell ref="A152:D152"/>
    <mergeCell ref="A155:D155"/>
    <mergeCell ref="A156:D156"/>
    <mergeCell ref="A157:D157"/>
    <mergeCell ref="A144:D144"/>
    <mergeCell ref="A145:D145"/>
    <mergeCell ref="A146:D146"/>
    <mergeCell ref="A147:D147"/>
    <mergeCell ref="A148:D148"/>
    <mergeCell ref="A149:D149"/>
    <mergeCell ref="A164:D164"/>
    <mergeCell ref="A165:D165"/>
    <mergeCell ref="A166:D166"/>
    <mergeCell ref="A167:D167"/>
    <mergeCell ref="A168:D168"/>
    <mergeCell ref="A169:D169"/>
    <mergeCell ref="A158:D158"/>
    <mergeCell ref="A159:D159"/>
    <mergeCell ref="A160:D160"/>
    <mergeCell ref="A161:D161"/>
    <mergeCell ref="A162:D162"/>
    <mergeCell ref="A163:D163"/>
    <mergeCell ref="A176:D176"/>
    <mergeCell ref="A177:D177"/>
    <mergeCell ref="A178:D178"/>
    <mergeCell ref="A179:D179"/>
    <mergeCell ref="A180:D180"/>
    <mergeCell ref="A181:D181"/>
    <mergeCell ref="A170:D170"/>
    <mergeCell ref="A171:D171"/>
    <mergeCell ref="A172:D172"/>
    <mergeCell ref="A173:D173"/>
    <mergeCell ref="A174:D174"/>
    <mergeCell ref="A175:D175"/>
    <mergeCell ref="A188:D188"/>
    <mergeCell ref="A189:D189"/>
    <mergeCell ref="A190:D190"/>
    <mergeCell ref="A191:D191"/>
    <mergeCell ref="A192:D192"/>
    <mergeCell ref="A193:D193"/>
    <mergeCell ref="A182:D182"/>
    <mergeCell ref="A183:D183"/>
    <mergeCell ref="A184:D184"/>
    <mergeCell ref="A185:D185"/>
    <mergeCell ref="A186:D186"/>
    <mergeCell ref="A187:D187"/>
    <mergeCell ref="A200:D200"/>
    <mergeCell ref="A201:D201"/>
    <mergeCell ref="A202:D202"/>
    <mergeCell ref="A203:D203"/>
    <mergeCell ref="A204:D204"/>
    <mergeCell ref="A205:D205"/>
    <mergeCell ref="A194:D194"/>
    <mergeCell ref="A195:D195"/>
    <mergeCell ref="A196:D196"/>
    <mergeCell ref="A197:D197"/>
    <mergeCell ref="A198:D198"/>
    <mergeCell ref="A199:D199"/>
    <mergeCell ref="A212:D212"/>
    <mergeCell ref="A213:D213"/>
    <mergeCell ref="A214:D214"/>
    <mergeCell ref="A215:D215"/>
    <mergeCell ref="A216:D216"/>
    <mergeCell ref="A206:D206"/>
    <mergeCell ref="A207:D207"/>
    <mergeCell ref="A208:D208"/>
    <mergeCell ref="A209:D209"/>
    <mergeCell ref="A210:D210"/>
    <mergeCell ref="A211:D21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317C-CD89-4CE0-A460-5CC8D67B2740}">
  <sheetPr>
    <tabColor rgb="FF2980B9"/>
  </sheetPr>
  <dimension ref="A1:L121"/>
  <sheetViews>
    <sheetView showGridLines="0" workbookViewId="0">
      <pane ySplit="3" topLeftCell="A4" activePane="bottomLeft" state="frozen"/>
      <selection pane="bottomLeft" activeCell="E31" sqref="E31"/>
    </sheetView>
  </sheetViews>
  <sheetFormatPr baseColWidth="10" defaultRowHeight="15" x14ac:dyDescent="0.25"/>
  <cols>
    <col min="1" max="1" width="5.7109375" customWidth="1"/>
    <col min="2" max="2" width="19" customWidth="1"/>
    <col min="3" max="3" width="14.28515625" customWidth="1"/>
    <col min="4" max="4" width="30.42578125" customWidth="1"/>
    <col min="5" max="5" width="19" customWidth="1"/>
    <col min="6" max="6" width="13.28515625" customWidth="1"/>
    <col min="7" max="7" width="34.28515625" customWidth="1"/>
    <col min="8" max="8" width="19" customWidth="1"/>
    <col min="9" max="10" width="15.28515625" customWidth="1"/>
    <col min="11" max="11" width="38.140625" customWidth="1"/>
  </cols>
  <sheetData>
    <row r="1" spans="1:12" ht="17.25" x14ac:dyDescent="0.3">
      <c r="A1" s="532" t="s">
        <v>1938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16"/>
    </row>
    <row r="2" spans="1:12" x14ac:dyDescent="0.25">
      <c r="A2" s="530" t="s">
        <v>1939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16"/>
    </row>
    <row r="3" spans="1:12" x14ac:dyDescent="0.25">
      <c r="A3" s="681" t="s">
        <v>12</v>
      </c>
      <c r="B3" s="682" t="s">
        <v>1940</v>
      </c>
      <c r="C3" s="682" t="s">
        <v>1941</v>
      </c>
      <c r="D3" s="682" t="s">
        <v>1942</v>
      </c>
      <c r="E3" s="682" t="s">
        <v>1943</v>
      </c>
      <c r="F3" s="682" t="s">
        <v>1944</v>
      </c>
      <c r="G3" s="682" t="s">
        <v>1945</v>
      </c>
      <c r="H3" s="682" t="s">
        <v>1946</v>
      </c>
      <c r="I3" s="682" t="s">
        <v>1641</v>
      </c>
      <c r="J3" s="682" t="s">
        <v>1947</v>
      </c>
      <c r="K3" s="684" t="s">
        <v>846</v>
      </c>
      <c r="L3" s="16"/>
    </row>
    <row r="4" spans="1:12" x14ac:dyDescent="0.25">
      <c r="A4" s="867">
        <v>1</v>
      </c>
      <c r="B4" s="807" t="s">
        <v>46</v>
      </c>
      <c r="C4" s="807" t="s">
        <v>1948</v>
      </c>
      <c r="D4" s="807" t="s">
        <v>1949</v>
      </c>
      <c r="E4" s="807" t="s">
        <v>26</v>
      </c>
      <c r="F4" s="807" t="s">
        <v>4478</v>
      </c>
      <c r="G4" s="861">
        <f>FR_ParentCo!D30</f>
        <v>571100</v>
      </c>
      <c r="H4" s="807" t="s">
        <v>1950</v>
      </c>
      <c r="I4" s="807" t="s">
        <v>274</v>
      </c>
      <c r="J4" s="807" t="s">
        <v>1951</v>
      </c>
      <c r="K4" s="808" t="s">
        <v>1952</v>
      </c>
      <c r="L4" s="16"/>
    </row>
    <row r="5" spans="1:12" x14ac:dyDescent="0.25">
      <c r="A5" s="867">
        <v>2</v>
      </c>
      <c r="B5" s="807" t="s">
        <v>46</v>
      </c>
      <c r="C5" s="807" t="s">
        <v>1953</v>
      </c>
      <c r="D5" s="807" t="s">
        <v>1954</v>
      </c>
      <c r="E5" s="807" t="s">
        <v>31</v>
      </c>
      <c r="F5" s="807" t="s">
        <v>4478</v>
      </c>
      <c r="G5" s="861">
        <f>DE_Filiale!D30</f>
        <v>168000</v>
      </c>
      <c r="H5" s="807" t="s">
        <v>1950</v>
      </c>
      <c r="I5" s="807" t="s">
        <v>274</v>
      </c>
      <c r="J5" s="807" t="s">
        <v>1951</v>
      </c>
      <c r="K5" s="808" t="s">
        <v>1956</v>
      </c>
      <c r="L5" s="16"/>
    </row>
    <row r="6" spans="1:12" x14ac:dyDescent="0.25">
      <c r="A6" s="867">
        <v>3</v>
      </c>
      <c r="B6" s="807" t="s">
        <v>46</v>
      </c>
      <c r="C6" s="807" t="s">
        <v>1957</v>
      </c>
      <c r="D6" s="807" t="s">
        <v>1958</v>
      </c>
      <c r="E6" s="807" t="s">
        <v>33</v>
      </c>
      <c r="F6" s="807" t="s">
        <v>4478</v>
      </c>
      <c r="G6" s="861">
        <f>UK_Filiale!D30*PQ_TAUX_CHANGE!F7</f>
        <v>163584</v>
      </c>
      <c r="H6" s="807" t="s">
        <v>1959</v>
      </c>
      <c r="I6" s="807" t="s">
        <v>346</v>
      </c>
      <c r="J6" s="807" t="s">
        <v>1951</v>
      </c>
      <c r="K6" s="808" t="s">
        <v>1960</v>
      </c>
      <c r="L6" s="16"/>
    </row>
    <row r="7" spans="1:12" x14ac:dyDescent="0.25">
      <c r="A7" s="867">
        <v>4</v>
      </c>
      <c r="B7" s="807" t="s">
        <v>46</v>
      </c>
      <c r="C7" s="807" t="s">
        <v>1961</v>
      </c>
      <c r="D7" s="807" t="s">
        <v>1962</v>
      </c>
      <c r="E7" s="807" t="s">
        <v>35</v>
      </c>
      <c r="F7" s="807" t="s">
        <v>4478</v>
      </c>
      <c r="G7" s="861">
        <f>US_Filiale!D30*PQ_TAUX_CHANGE!F11</f>
        <v>179010</v>
      </c>
      <c r="H7" s="807" t="s">
        <v>1963</v>
      </c>
      <c r="I7" s="807" t="s">
        <v>346</v>
      </c>
      <c r="J7" s="807" t="s">
        <v>1951</v>
      </c>
      <c r="K7" s="808" t="s">
        <v>1964</v>
      </c>
      <c r="L7" s="16"/>
    </row>
    <row r="8" spans="1:12" x14ac:dyDescent="0.25">
      <c r="A8" s="867">
        <v>5</v>
      </c>
      <c r="B8" s="807" t="s">
        <v>46</v>
      </c>
      <c r="C8" s="807" t="s">
        <v>1965</v>
      </c>
      <c r="D8" s="807" t="s">
        <v>1966</v>
      </c>
      <c r="E8" s="807" t="s">
        <v>37</v>
      </c>
      <c r="F8" s="807" t="s">
        <v>4478</v>
      </c>
      <c r="G8" s="861">
        <f>SG_Filiale!D30*PQ_TAUX_CHANGE!F14</f>
        <v>81400</v>
      </c>
      <c r="H8" s="807" t="s">
        <v>1967</v>
      </c>
      <c r="I8" s="807" t="s">
        <v>346</v>
      </c>
      <c r="J8" s="807" t="s">
        <v>1951</v>
      </c>
      <c r="K8" s="808" t="s">
        <v>1968</v>
      </c>
      <c r="L8" s="16"/>
    </row>
    <row r="9" spans="1:12" x14ac:dyDescent="0.25">
      <c r="A9" s="867">
        <v>6</v>
      </c>
      <c r="B9" s="807" t="s">
        <v>46</v>
      </c>
      <c r="C9" s="807" t="s">
        <v>1969</v>
      </c>
      <c r="D9" s="807" t="s">
        <v>1970</v>
      </c>
      <c r="E9" s="807" t="s">
        <v>39</v>
      </c>
      <c r="F9" s="807" t="s">
        <v>1971</v>
      </c>
      <c r="G9" s="861">
        <f>-ELIM!I13</f>
        <v>0</v>
      </c>
      <c r="H9" s="807" t="s">
        <v>1972</v>
      </c>
      <c r="I9" s="807" t="s">
        <v>244</v>
      </c>
      <c r="J9" s="807" t="s">
        <v>1951</v>
      </c>
      <c r="K9" s="808" t="s">
        <v>1973</v>
      </c>
      <c r="L9" s="16"/>
    </row>
    <row r="10" spans="1:12" x14ac:dyDescent="0.25">
      <c r="A10" s="867">
        <v>7</v>
      </c>
      <c r="B10" s="807" t="s">
        <v>46</v>
      </c>
      <c r="C10" s="807" t="s">
        <v>1974</v>
      </c>
      <c r="D10" s="807" t="s">
        <v>1975</v>
      </c>
      <c r="E10" s="807" t="s">
        <v>46</v>
      </c>
      <c r="F10" s="807" t="s">
        <v>1974</v>
      </c>
      <c r="G10" s="861">
        <f>CONSOL_CR!K7</f>
        <v>817075</v>
      </c>
      <c r="H10" s="807" t="s">
        <v>1976</v>
      </c>
      <c r="I10" s="807" t="s">
        <v>333</v>
      </c>
      <c r="J10" s="807" t="s">
        <v>1951</v>
      </c>
      <c r="K10" s="808" t="s">
        <v>1977</v>
      </c>
      <c r="L10" s="16"/>
    </row>
    <row r="11" spans="1:12" x14ac:dyDescent="0.25">
      <c r="A11" s="867">
        <v>8</v>
      </c>
      <c r="B11" s="807" t="s">
        <v>46</v>
      </c>
      <c r="C11" s="807" t="s">
        <v>1978</v>
      </c>
      <c r="D11" s="807" t="s">
        <v>1979</v>
      </c>
      <c r="E11" s="807" t="s">
        <v>46</v>
      </c>
      <c r="F11" s="807" t="s">
        <v>1978</v>
      </c>
      <c r="G11" s="861">
        <f>CONSOL_CR!K14</f>
        <v>153798</v>
      </c>
      <c r="H11" s="807" t="s">
        <v>1976</v>
      </c>
      <c r="I11" s="807" t="s">
        <v>1980</v>
      </c>
      <c r="J11" s="807" t="s">
        <v>1951</v>
      </c>
      <c r="K11" s="808" t="s">
        <v>1981</v>
      </c>
      <c r="L11" s="16"/>
    </row>
    <row r="12" spans="1:12" x14ac:dyDescent="0.25">
      <c r="A12" s="867">
        <v>9</v>
      </c>
      <c r="B12" s="807" t="s">
        <v>46</v>
      </c>
      <c r="C12" s="807" t="s">
        <v>1982</v>
      </c>
      <c r="D12" s="807" t="s">
        <v>1983</v>
      </c>
      <c r="E12" s="807" t="s">
        <v>46</v>
      </c>
      <c r="F12" s="807" t="s">
        <v>1982</v>
      </c>
      <c r="G12" s="861">
        <f>CONSOL_CR!K19</f>
        <v>6521</v>
      </c>
      <c r="H12" s="807" t="s">
        <v>1976</v>
      </c>
      <c r="I12" s="807" t="s">
        <v>287</v>
      </c>
      <c r="J12" s="807" t="s">
        <v>1951</v>
      </c>
      <c r="K12" s="808" t="s">
        <v>1984</v>
      </c>
      <c r="L12" s="16"/>
    </row>
    <row r="13" spans="1:12" x14ac:dyDescent="0.25">
      <c r="A13" s="867">
        <v>10</v>
      </c>
      <c r="B13" s="807" t="s">
        <v>46</v>
      </c>
      <c r="C13" s="807" t="s">
        <v>1985</v>
      </c>
      <c r="D13" s="807" t="s">
        <v>1986</v>
      </c>
      <c r="E13" s="807" t="s">
        <v>46</v>
      </c>
      <c r="F13" s="807" t="s">
        <v>1985</v>
      </c>
      <c r="G13" s="861">
        <f>CONSOL_CR!K24</f>
        <v>160319</v>
      </c>
      <c r="H13" s="807" t="s">
        <v>1976</v>
      </c>
      <c r="I13" s="807" t="s">
        <v>1987</v>
      </c>
      <c r="J13" s="807" t="s">
        <v>1951</v>
      </c>
      <c r="K13" s="808" t="s">
        <v>1988</v>
      </c>
      <c r="L13" s="16"/>
    </row>
    <row r="14" spans="1:12" x14ac:dyDescent="0.25">
      <c r="A14" s="867">
        <v>11</v>
      </c>
      <c r="B14" s="807" t="s">
        <v>43</v>
      </c>
      <c r="C14" s="807" t="s">
        <v>1989</v>
      </c>
      <c r="D14" s="807" t="s">
        <v>1990</v>
      </c>
      <c r="E14" s="807" t="s">
        <v>26</v>
      </c>
      <c r="F14" s="807" t="s">
        <v>4479</v>
      </c>
      <c r="G14" s="861">
        <f>FR_ParentCo!D16</f>
        <v>85000</v>
      </c>
      <c r="H14" s="807" t="s">
        <v>1992</v>
      </c>
      <c r="I14" s="807" t="s">
        <v>526</v>
      </c>
      <c r="J14" s="807" t="s">
        <v>1951</v>
      </c>
      <c r="K14" s="808" t="s">
        <v>1993</v>
      </c>
      <c r="L14" s="16"/>
    </row>
    <row r="15" spans="1:12" x14ac:dyDescent="0.25">
      <c r="A15" s="867">
        <v>12</v>
      </c>
      <c r="B15" s="807" t="s">
        <v>43</v>
      </c>
      <c r="C15" s="807" t="s">
        <v>1994</v>
      </c>
      <c r="D15" s="807" t="s">
        <v>1995</v>
      </c>
      <c r="E15" s="807" t="s">
        <v>31</v>
      </c>
      <c r="F15" s="807" t="s">
        <v>4479</v>
      </c>
      <c r="G15" s="861">
        <f>DE_Filiale!D16</f>
        <v>18000</v>
      </c>
      <c r="H15" s="807" t="s">
        <v>1950</v>
      </c>
      <c r="I15" s="807" t="s">
        <v>526</v>
      </c>
      <c r="J15" s="807" t="s">
        <v>1951</v>
      </c>
      <c r="K15" s="808" t="s">
        <v>1996</v>
      </c>
      <c r="L15" s="16"/>
    </row>
    <row r="16" spans="1:12" x14ac:dyDescent="0.25">
      <c r="A16" s="867">
        <v>13</v>
      </c>
      <c r="B16" s="807" t="s">
        <v>43</v>
      </c>
      <c r="C16" s="807" t="s">
        <v>1997</v>
      </c>
      <c r="D16" s="807" t="s">
        <v>1998</v>
      </c>
      <c r="E16" s="807" t="s">
        <v>33</v>
      </c>
      <c r="F16" s="807" t="s">
        <v>1991</v>
      </c>
      <c r="G16" s="861">
        <f>UK_Filiale!D16*PQ_TAUX_CHANGE!F6</f>
        <v>52425</v>
      </c>
      <c r="H16" s="807" t="s">
        <v>1999</v>
      </c>
      <c r="I16" s="807" t="s">
        <v>344</v>
      </c>
      <c r="J16" s="807" t="s">
        <v>1951</v>
      </c>
      <c r="K16" s="808" t="s">
        <v>2000</v>
      </c>
      <c r="L16" s="16"/>
    </row>
    <row r="17" spans="1:12" x14ac:dyDescent="0.25">
      <c r="A17" s="867">
        <v>14</v>
      </c>
      <c r="B17" s="807" t="s">
        <v>43</v>
      </c>
      <c r="C17" s="807" t="s">
        <v>2001</v>
      </c>
      <c r="D17" s="807" t="s">
        <v>2002</v>
      </c>
      <c r="E17" s="807" t="s">
        <v>35</v>
      </c>
      <c r="F17" s="807" t="s">
        <v>1991</v>
      </c>
      <c r="G17" s="861">
        <f>US_Filiale!D16*PQ_TAUX_CHANGE!F10</f>
        <v>13440.000000000002</v>
      </c>
      <c r="H17" s="807" t="s">
        <v>2003</v>
      </c>
      <c r="I17" s="807" t="s">
        <v>344</v>
      </c>
      <c r="J17" s="807" t="s">
        <v>1951</v>
      </c>
      <c r="K17" s="808" t="s">
        <v>2004</v>
      </c>
      <c r="L17" s="16"/>
    </row>
    <row r="18" spans="1:12" x14ac:dyDescent="0.25">
      <c r="A18" s="867">
        <v>15</v>
      </c>
      <c r="B18" s="807" t="s">
        <v>43</v>
      </c>
      <c r="C18" s="807" t="s">
        <v>2005</v>
      </c>
      <c r="D18" s="807" t="s">
        <v>2006</v>
      </c>
      <c r="E18" s="807" t="s">
        <v>37</v>
      </c>
      <c r="F18" s="807" t="s">
        <v>1991</v>
      </c>
      <c r="G18" s="861">
        <f>SG_Filiale!D16*PQ_TAUX_CHANGE!F13</f>
        <v>25816</v>
      </c>
      <c r="H18" s="807" t="s">
        <v>2007</v>
      </c>
      <c r="I18" s="807" t="s">
        <v>344</v>
      </c>
      <c r="J18" s="807" t="s">
        <v>1951</v>
      </c>
      <c r="K18" s="808" t="s">
        <v>2008</v>
      </c>
      <c r="L18" s="16"/>
    </row>
    <row r="19" spans="1:12" x14ac:dyDescent="0.25">
      <c r="A19" s="867">
        <v>16</v>
      </c>
      <c r="B19" s="807" t="s">
        <v>43</v>
      </c>
      <c r="C19" s="807" t="s">
        <v>2009</v>
      </c>
      <c r="D19" s="807" t="s">
        <v>2010</v>
      </c>
      <c r="E19" s="807" t="s">
        <v>39</v>
      </c>
      <c r="F19" s="807" t="s">
        <v>2011</v>
      </c>
      <c r="G19" s="861">
        <f>-ELIM!D17</f>
        <v>-85000</v>
      </c>
      <c r="H19" s="807" t="s">
        <v>1972</v>
      </c>
      <c r="I19" s="807" t="s">
        <v>526</v>
      </c>
      <c r="J19" s="807" t="s">
        <v>1951</v>
      </c>
      <c r="K19" s="808" t="s">
        <v>2012</v>
      </c>
      <c r="L19" s="16"/>
    </row>
    <row r="20" spans="1:12" x14ac:dyDescent="0.25">
      <c r="A20" s="867">
        <v>17</v>
      </c>
      <c r="B20" s="807" t="s">
        <v>43</v>
      </c>
      <c r="C20" s="807" t="s">
        <v>2013</v>
      </c>
      <c r="D20" s="807" t="s">
        <v>2014</v>
      </c>
      <c r="E20" s="807" t="s">
        <v>43</v>
      </c>
      <c r="F20" s="807" t="s">
        <v>2013</v>
      </c>
      <c r="G20" s="861">
        <f>CONSOL_BILAN!J6</f>
        <v>59135</v>
      </c>
      <c r="H20" s="807" t="s">
        <v>1976</v>
      </c>
      <c r="I20" s="807" t="s">
        <v>526</v>
      </c>
      <c r="J20" s="807" t="s">
        <v>1951</v>
      </c>
      <c r="K20" s="808" t="s">
        <v>2015</v>
      </c>
      <c r="L20" s="16"/>
    </row>
    <row r="21" spans="1:12" x14ac:dyDescent="0.25">
      <c r="A21" s="867">
        <v>18</v>
      </c>
      <c r="B21" s="807" t="s">
        <v>43</v>
      </c>
      <c r="C21" s="807" t="s">
        <v>2016</v>
      </c>
      <c r="D21" s="807" t="s">
        <v>2017</v>
      </c>
      <c r="E21" s="807" t="s">
        <v>49</v>
      </c>
      <c r="F21" s="807" t="s">
        <v>2018</v>
      </c>
      <c r="G21" s="861">
        <f>CONSOL_TRESORERIE!C28</f>
        <v>220091</v>
      </c>
      <c r="H21" s="807" t="s">
        <v>2019</v>
      </c>
      <c r="I21" s="807" t="s">
        <v>227</v>
      </c>
      <c r="J21" s="807" t="s">
        <v>1951</v>
      </c>
      <c r="K21" s="808" t="s">
        <v>2020</v>
      </c>
      <c r="L21" s="16"/>
    </row>
    <row r="22" spans="1:12" x14ac:dyDescent="0.25">
      <c r="A22" s="867">
        <v>19</v>
      </c>
      <c r="B22" s="807" t="s">
        <v>43</v>
      </c>
      <c r="C22" s="807" t="s">
        <v>2021</v>
      </c>
      <c r="D22" s="807" t="s">
        <v>229</v>
      </c>
      <c r="E22" s="807" t="s">
        <v>43</v>
      </c>
      <c r="F22" s="807" t="s">
        <v>2021</v>
      </c>
      <c r="G22" s="861">
        <f>CONSOL_BILAN!J20</f>
        <v>1385405</v>
      </c>
      <c r="H22" s="807" t="s">
        <v>2022</v>
      </c>
      <c r="I22" s="807" t="s">
        <v>1134</v>
      </c>
      <c r="J22" s="807" t="s">
        <v>1951</v>
      </c>
      <c r="K22" s="808" t="s">
        <v>2023</v>
      </c>
      <c r="L22" s="16"/>
    </row>
    <row r="23" spans="1:12" x14ac:dyDescent="0.25">
      <c r="A23" s="867">
        <v>20</v>
      </c>
      <c r="B23" s="807" t="s">
        <v>43</v>
      </c>
      <c r="C23" s="807" t="s">
        <v>2024</v>
      </c>
      <c r="D23" s="807" t="s">
        <v>265</v>
      </c>
      <c r="E23" s="807" t="s">
        <v>43</v>
      </c>
      <c r="F23" s="807" t="s">
        <v>2024</v>
      </c>
      <c r="G23" s="861">
        <f>CONSOL_BILAN!J41</f>
        <v>970454</v>
      </c>
      <c r="H23" s="807" t="s">
        <v>2022</v>
      </c>
      <c r="I23" s="807" t="s">
        <v>1134</v>
      </c>
      <c r="J23" s="807" t="s">
        <v>1951</v>
      </c>
      <c r="K23" s="808" t="s">
        <v>2025</v>
      </c>
      <c r="L23" s="16"/>
    </row>
    <row r="24" spans="1:12" x14ac:dyDescent="0.25">
      <c r="A24" s="867">
        <v>21</v>
      </c>
      <c r="B24" s="807" t="s">
        <v>43</v>
      </c>
      <c r="C24" s="807" t="s">
        <v>1985</v>
      </c>
      <c r="D24" s="807" t="s">
        <v>2026</v>
      </c>
      <c r="E24" s="807" t="s">
        <v>46</v>
      </c>
      <c r="F24" s="807" t="s">
        <v>2027</v>
      </c>
      <c r="G24" s="861">
        <f>CONSOL_CR!K30</f>
        <v>82110</v>
      </c>
      <c r="H24" s="807" t="s">
        <v>2028</v>
      </c>
      <c r="I24" s="807" t="s">
        <v>1134</v>
      </c>
      <c r="J24" s="807" t="s">
        <v>1951</v>
      </c>
      <c r="K24" s="808" t="s">
        <v>2029</v>
      </c>
      <c r="L24" s="16"/>
    </row>
    <row r="25" spans="1:12" x14ac:dyDescent="0.25">
      <c r="A25" s="868">
        <v>22</v>
      </c>
      <c r="B25" s="809" t="s">
        <v>43</v>
      </c>
      <c r="C25" s="809" t="s">
        <v>2030</v>
      </c>
      <c r="D25" s="809" t="s">
        <v>2031</v>
      </c>
      <c r="E25" s="809" t="s">
        <v>1722</v>
      </c>
      <c r="F25" s="809" t="s">
        <v>2032</v>
      </c>
      <c r="G25" s="862">
        <f>PQ_DETENTION!D17</f>
        <v>22050</v>
      </c>
      <c r="H25" s="809" t="s">
        <v>2033</v>
      </c>
      <c r="I25" s="809" t="s">
        <v>244</v>
      </c>
      <c r="J25" s="809" t="s">
        <v>1951</v>
      </c>
      <c r="K25" s="810" t="s">
        <v>2034</v>
      </c>
      <c r="L25" s="16"/>
    </row>
    <row r="26" spans="1:12" x14ac:dyDescent="0.25">
      <c r="A26" s="869">
        <v>23</v>
      </c>
      <c r="B26" s="123" t="s">
        <v>49</v>
      </c>
      <c r="C26" s="123" t="s">
        <v>1989</v>
      </c>
      <c r="D26" s="123" t="s">
        <v>2035</v>
      </c>
      <c r="E26" s="123" t="s">
        <v>46</v>
      </c>
      <c r="F26" s="123" t="s">
        <v>2027</v>
      </c>
      <c r="G26" s="863">
        <f>CONSOL_CR!K30</f>
        <v>82110</v>
      </c>
      <c r="H26" s="123" t="s">
        <v>2028</v>
      </c>
      <c r="I26" s="123" t="s">
        <v>513</v>
      </c>
      <c r="J26" s="123" t="s">
        <v>1951</v>
      </c>
      <c r="K26" s="123" t="s">
        <v>2036</v>
      </c>
      <c r="L26" s="16"/>
    </row>
    <row r="27" spans="1:12" x14ac:dyDescent="0.25">
      <c r="A27" s="869">
        <v>24</v>
      </c>
      <c r="B27" s="123" t="s">
        <v>49</v>
      </c>
      <c r="C27" s="123" t="s">
        <v>2037</v>
      </c>
      <c r="D27" s="123" t="s">
        <v>2038</v>
      </c>
      <c r="E27" s="123" t="s">
        <v>46</v>
      </c>
      <c r="F27" s="123" t="s">
        <v>2039</v>
      </c>
      <c r="G27" s="863">
        <f>-CONSOL_CR!K12</f>
        <v>62653</v>
      </c>
      <c r="H27" s="123" t="s">
        <v>2040</v>
      </c>
      <c r="I27" s="123" t="s">
        <v>513</v>
      </c>
      <c r="J27" s="123" t="s">
        <v>1951</v>
      </c>
      <c r="K27" s="123" t="s">
        <v>2041</v>
      </c>
      <c r="L27" s="16"/>
    </row>
    <row r="28" spans="1:12" x14ac:dyDescent="0.25">
      <c r="A28" s="870">
        <v>25</v>
      </c>
      <c r="B28" s="84" t="s">
        <v>49</v>
      </c>
      <c r="C28" s="84" t="s">
        <v>2042</v>
      </c>
      <c r="D28" s="84" t="s">
        <v>2043</v>
      </c>
      <c r="E28" s="84" t="s">
        <v>46</v>
      </c>
      <c r="F28" s="84" t="s">
        <v>798</v>
      </c>
      <c r="G28" s="864">
        <f>-48200</f>
        <v>-48200</v>
      </c>
      <c r="H28" s="84" t="s">
        <v>377</v>
      </c>
      <c r="I28" s="84" t="s">
        <v>2044</v>
      </c>
      <c r="J28" s="84" t="s">
        <v>2045</v>
      </c>
      <c r="K28" s="84" t="s">
        <v>2046</v>
      </c>
      <c r="L28" s="16"/>
    </row>
    <row r="29" spans="1:12" x14ac:dyDescent="0.25">
      <c r="A29" s="869">
        <v>26</v>
      </c>
      <c r="B29" s="123" t="s">
        <v>49</v>
      </c>
      <c r="C29" s="123" t="s">
        <v>2018</v>
      </c>
      <c r="D29" s="123" t="s">
        <v>2047</v>
      </c>
      <c r="E29" s="123" t="s">
        <v>43</v>
      </c>
      <c r="F29" s="123" t="s">
        <v>2016</v>
      </c>
      <c r="G29" s="863">
        <f>CONSOL_BILAN!J18</f>
        <v>170012</v>
      </c>
      <c r="H29" s="123" t="s">
        <v>2019</v>
      </c>
      <c r="I29" s="123" t="s">
        <v>544</v>
      </c>
      <c r="J29" s="123" t="s">
        <v>1951</v>
      </c>
      <c r="K29" s="123" t="s">
        <v>2048</v>
      </c>
      <c r="L29" s="16"/>
    </row>
    <row r="30" spans="1:12" x14ac:dyDescent="0.25">
      <c r="A30" s="870">
        <v>27</v>
      </c>
      <c r="B30" s="84" t="s">
        <v>64</v>
      </c>
      <c r="C30" s="84" t="s">
        <v>1989</v>
      </c>
      <c r="D30" s="84" t="s">
        <v>2049</v>
      </c>
      <c r="E30" s="84" t="s">
        <v>46</v>
      </c>
      <c r="F30" s="84" t="s">
        <v>1974</v>
      </c>
      <c r="G30" s="864">
        <f>CONSOL_CR!K7</f>
        <v>817075</v>
      </c>
      <c r="H30" s="84" t="s">
        <v>2028</v>
      </c>
      <c r="I30" s="84" t="s">
        <v>274</v>
      </c>
      <c r="J30" s="84" t="s">
        <v>2045</v>
      </c>
      <c r="K30" s="84" t="s">
        <v>2050</v>
      </c>
      <c r="L30" s="16"/>
    </row>
    <row r="31" spans="1:12" x14ac:dyDescent="0.25">
      <c r="A31" s="870">
        <v>28</v>
      </c>
      <c r="B31" s="84" t="s">
        <v>64</v>
      </c>
      <c r="C31" s="84" t="s">
        <v>2051</v>
      </c>
      <c r="D31" s="84" t="s">
        <v>2052</v>
      </c>
      <c r="E31" s="84" t="s">
        <v>46</v>
      </c>
      <c r="F31" s="84" t="s">
        <v>1978</v>
      </c>
      <c r="G31" s="864">
        <f>CONSOL_CR!K14</f>
        <v>153798</v>
      </c>
      <c r="H31" s="84" t="s">
        <v>2028</v>
      </c>
      <c r="I31" s="84" t="s">
        <v>333</v>
      </c>
      <c r="J31" s="84" t="s">
        <v>2045</v>
      </c>
      <c r="K31" s="84" t="s">
        <v>2053</v>
      </c>
      <c r="L31" s="16"/>
    </row>
    <row r="32" spans="1:12" x14ac:dyDescent="0.25">
      <c r="A32" s="870">
        <v>29</v>
      </c>
      <c r="B32" s="84" t="s">
        <v>64</v>
      </c>
      <c r="C32" s="84" t="s">
        <v>2054</v>
      </c>
      <c r="D32" s="84" t="s">
        <v>785</v>
      </c>
      <c r="E32" s="84" t="s">
        <v>46</v>
      </c>
      <c r="F32" s="84" t="s">
        <v>798</v>
      </c>
      <c r="G32" s="864">
        <f>CONSOL_CR!K14-CONSOL_CR!K12</f>
        <v>216451</v>
      </c>
      <c r="H32" s="84" t="s">
        <v>2055</v>
      </c>
      <c r="I32" s="84" t="s">
        <v>2056</v>
      </c>
      <c r="J32" s="84" t="s">
        <v>2045</v>
      </c>
      <c r="K32" s="84" t="s">
        <v>2057</v>
      </c>
      <c r="L32" s="16"/>
    </row>
    <row r="33" spans="1:12" x14ac:dyDescent="0.25">
      <c r="A33" s="869">
        <v>30</v>
      </c>
      <c r="B33" s="123" t="s">
        <v>64</v>
      </c>
      <c r="C33" s="123" t="s">
        <v>2058</v>
      </c>
      <c r="D33" s="123" t="s">
        <v>2059</v>
      </c>
      <c r="E33" s="123" t="s">
        <v>46</v>
      </c>
      <c r="F33" s="123" t="s">
        <v>1985</v>
      </c>
      <c r="G33" s="863">
        <f>CONSOL_CR!K24</f>
        <v>160319</v>
      </c>
      <c r="H33" s="123" t="s">
        <v>2028</v>
      </c>
      <c r="I33" s="123" t="s">
        <v>1987</v>
      </c>
      <c r="J33" s="123" t="s">
        <v>1951</v>
      </c>
      <c r="K33" s="123" t="s">
        <v>2060</v>
      </c>
      <c r="L33" s="16"/>
    </row>
    <row r="34" spans="1:12" x14ac:dyDescent="0.25">
      <c r="A34" s="871">
        <v>31</v>
      </c>
      <c r="B34" s="52" t="s">
        <v>64</v>
      </c>
      <c r="C34" s="52" t="s">
        <v>2061</v>
      </c>
      <c r="D34" s="52" t="s">
        <v>2062</v>
      </c>
      <c r="E34" s="52" t="s">
        <v>1722</v>
      </c>
      <c r="F34" s="52" t="s">
        <v>2063</v>
      </c>
      <c r="G34" s="865">
        <f>PQ_DETENTION!F17</f>
        <v>3950</v>
      </c>
      <c r="H34" s="52" t="s">
        <v>2028</v>
      </c>
      <c r="I34" s="52" t="s">
        <v>244</v>
      </c>
      <c r="J34" s="52" t="s">
        <v>2064</v>
      </c>
      <c r="K34" s="52" t="s">
        <v>2065</v>
      </c>
      <c r="L34" s="16"/>
    </row>
    <row r="35" spans="1:12" x14ac:dyDescent="0.25">
      <c r="A35" s="870">
        <v>32</v>
      </c>
      <c r="B35" s="84" t="s">
        <v>67</v>
      </c>
      <c r="C35" s="84" t="s">
        <v>2037</v>
      </c>
      <c r="D35" s="84" t="s">
        <v>2066</v>
      </c>
      <c r="E35" s="84" t="s">
        <v>58</v>
      </c>
      <c r="F35" s="84" t="s">
        <v>4480</v>
      </c>
      <c r="G35" s="864">
        <f>ESG_DATA!I6+ESG_DATA!I7</f>
        <v>112500</v>
      </c>
      <c r="H35" s="84" t="s">
        <v>1976</v>
      </c>
      <c r="I35" s="84" t="s">
        <v>2067</v>
      </c>
      <c r="J35" s="84" t="s">
        <v>2045</v>
      </c>
      <c r="K35" s="84" t="s">
        <v>2068</v>
      </c>
      <c r="L35" s="16"/>
    </row>
    <row r="36" spans="1:12" x14ac:dyDescent="0.25">
      <c r="A36" s="871">
        <v>33</v>
      </c>
      <c r="B36" s="52" t="s">
        <v>67</v>
      </c>
      <c r="C36" s="52" t="s">
        <v>2069</v>
      </c>
      <c r="D36" s="52" t="s">
        <v>2070</v>
      </c>
      <c r="E36" s="52" t="s">
        <v>58</v>
      </c>
      <c r="F36" s="52" t="s">
        <v>2071</v>
      </c>
      <c r="G36" s="866" t="str">
        <f>ESG_DATA!J21</f>
        <v>🟢</v>
      </c>
      <c r="H36" s="52" t="s">
        <v>2028</v>
      </c>
      <c r="I36" s="52" t="s">
        <v>2072</v>
      </c>
      <c r="J36" s="52" t="s">
        <v>2064</v>
      </c>
      <c r="K36" s="52" t="s">
        <v>2073</v>
      </c>
      <c r="L36" s="16"/>
    </row>
    <row r="37" spans="1:12" x14ac:dyDescent="0.25">
      <c r="A37" s="871">
        <v>34</v>
      </c>
      <c r="B37" s="52" t="s">
        <v>67</v>
      </c>
      <c r="C37" s="52" t="s">
        <v>2074</v>
      </c>
      <c r="D37" s="52" t="s">
        <v>839</v>
      </c>
      <c r="E37" s="52" t="s">
        <v>58</v>
      </c>
      <c r="F37" s="52" t="s">
        <v>2075</v>
      </c>
      <c r="G37" s="866" t="str">
        <f>ESG_DATA!J22</f>
        <v>🟢</v>
      </c>
      <c r="H37" s="52" t="s">
        <v>2028</v>
      </c>
      <c r="I37" s="52" t="s">
        <v>2072</v>
      </c>
      <c r="J37" s="52" t="s">
        <v>2064</v>
      </c>
      <c r="K37" s="52" t="s">
        <v>2076</v>
      </c>
      <c r="L37" s="16"/>
    </row>
    <row r="38" spans="1:12" x14ac:dyDescent="0.25">
      <c r="A38" s="869">
        <v>35</v>
      </c>
      <c r="B38" s="123" t="s">
        <v>46</v>
      </c>
      <c r="C38" s="123" t="s">
        <v>1957</v>
      </c>
      <c r="D38" s="123" t="s">
        <v>2077</v>
      </c>
      <c r="E38" s="123" t="s">
        <v>2078</v>
      </c>
      <c r="F38" s="123" t="s">
        <v>1957</v>
      </c>
      <c r="G38" s="863">
        <f>PQ_TAUX_CHANGE!F7</f>
        <v>1.1519999999999999</v>
      </c>
      <c r="H38" s="123" t="s">
        <v>2079</v>
      </c>
      <c r="I38" s="123" t="s">
        <v>346</v>
      </c>
      <c r="J38" s="123" t="s">
        <v>1951</v>
      </c>
      <c r="K38" s="123" t="s">
        <v>2080</v>
      </c>
      <c r="L38" s="16"/>
    </row>
    <row r="39" spans="1:12" x14ac:dyDescent="0.25">
      <c r="A39" s="869">
        <v>36</v>
      </c>
      <c r="B39" s="123" t="s">
        <v>43</v>
      </c>
      <c r="C39" s="123" t="s">
        <v>1997</v>
      </c>
      <c r="D39" s="123" t="s">
        <v>2081</v>
      </c>
      <c r="E39" s="123" t="s">
        <v>2078</v>
      </c>
      <c r="F39" s="123" t="s">
        <v>2001</v>
      </c>
      <c r="G39" s="863">
        <f>PQ_TAUX_CHANGE!F6</f>
        <v>1.165</v>
      </c>
      <c r="H39" s="123" t="s">
        <v>2079</v>
      </c>
      <c r="I39" s="123" t="s">
        <v>344</v>
      </c>
      <c r="J39" s="123" t="s">
        <v>1951</v>
      </c>
      <c r="K39" s="123" t="s">
        <v>2080</v>
      </c>
      <c r="L39" s="16"/>
    </row>
    <row r="40" spans="1:12" x14ac:dyDescent="0.25">
      <c r="A40" s="869">
        <v>37</v>
      </c>
      <c r="B40" s="123" t="s">
        <v>2082</v>
      </c>
      <c r="C40" s="123" t="s">
        <v>1971</v>
      </c>
      <c r="D40" s="123" t="s">
        <v>2083</v>
      </c>
      <c r="E40" s="123" t="s">
        <v>39</v>
      </c>
      <c r="F40" s="123" t="s">
        <v>1971</v>
      </c>
      <c r="G40" s="863">
        <f>ELIM!I13</f>
        <v>0</v>
      </c>
      <c r="H40" s="123" t="s">
        <v>2028</v>
      </c>
      <c r="I40" s="123" t="s">
        <v>244</v>
      </c>
      <c r="J40" s="123" t="s">
        <v>1951</v>
      </c>
      <c r="K40" s="123" t="s">
        <v>2084</v>
      </c>
      <c r="L40" s="16"/>
    </row>
    <row r="41" spans="1:12" x14ac:dyDescent="0.25">
      <c r="A41" s="84">
        <v>38</v>
      </c>
      <c r="B41" s="84" t="s">
        <v>55</v>
      </c>
      <c r="C41" s="84" t="s">
        <v>2042</v>
      </c>
      <c r="D41" s="84" t="s">
        <v>610</v>
      </c>
      <c r="E41" s="84" t="s">
        <v>39</v>
      </c>
      <c r="F41" s="84" t="s">
        <v>2085</v>
      </c>
      <c r="G41" s="124">
        <f>ELIM!D21</f>
        <v>290000</v>
      </c>
      <c r="H41" s="84" t="s">
        <v>2028</v>
      </c>
      <c r="I41" s="84" t="s">
        <v>526</v>
      </c>
      <c r="J41" s="84" t="s">
        <v>2045</v>
      </c>
      <c r="K41" s="84" t="s">
        <v>2086</v>
      </c>
      <c r="L41" s="16"/>
    </row>
    <row r="42" spans="1:12" x14ac:dyDescent="0.25">
      <c r="A42" s="84">
        <v>39</v>
      </c>
      <c r="B42" s="84" t="s">
        <v>55</v>
      </c>
      <c r="C42" s="84" t="s">
        <v>2087</v>
      </c>
      <c r="D42" s="84" t="s">
        <v>2088</v>
      </c>
      <c r="E42" s="84" t="s">
        <v>39</v>
      </c>
      <c r="F42" s="84" t="s">
        <v>2089</v>
      </c>
      <c r="G42" s="124">
        <f>ELIM!G21</f>
        <v>14700</v>
      </c>
      <c r="H42" s="84" t="s">
        <v>2028</v>
      </c>
      <c r="I42" s="84" t="s">
        <v>1062</v>
      </c>
      <c r="J42" s="84" t="s">
        <v>2045</v>
      </c>
      <c r="K42" s="84" t="s">
        <v>2090</v>
      </c>
      <c r="L42" s="16"/>
    </row>
    <row r="43" spans="1:12" x14ac:dyDescent="0.25">
      <c r="A43" s="52">
        <v>40</v>
      </c>
      <c r="B43" s="52" t="s">
        <v>55</v>
      </c>
      <c r="C43" s="52" t="s">
        <v>1955</v>
      </c>
      <c r="D43" s="52" t="s">
        <v>2091</v>
      </c>
      <c r="E43" s="52" t="s">
        <v>26</v>
      </c>
      <c r="F43" s="52" t="s">
        <v>798</v>
      </c>
      <c r="G43" s="125">
        <f>22400</f>
        <v>22400</v>
      </c>
      <c r="H43" s="52" t="s">
        <v>2092</v>
      </c>
      <c r="I43" s="52" t="s">
        <v>242</v>
      </c>
      <c r="J43" s="52" t="s">
        <v>2064</v>
      </c>
      <c r="K43" s="52" t="s">
        <v>2093</v>
      </c>
      <c r="L43" s="16"/>
    </row>
    <row r="44" spans="1:12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x14ac:dyDescent="0.25">
      <c r="A46" s="593" t="s">
        <v>2094</v>
      </c>
      <c r="B46" s="593"/>
      <c r="C46" s="593"/>
      <c r="D46" s="593"/>
      <c r="E46" s="593"/>
      <c r="F46" s="593"/>
      <c r="G46" s="593"/>
      <c r="H46" s="593"/>
      <c r="I46" s="593"/>
      <c r="J46" s="593"/>
      <c r="K46" s="593"/>
      <c r="L46" s="16"/>
    </row>
    <row r="47" spans="1:12" x14ac:dyDescent="0.25">
      <c r="A47" s="14" t="s">
        <v>2095</v>
      </c>
      <c r="B47" s="14" t="s">
        <v>2096</v>
      </c>
      <c r="C47" s="14" t="s">
        <v>2097</v>
      </c>
      <c r="D47" s="14" t="s">
        <v>2098</v>
      </c>
      <c r="E47" s="14" t="s">
        <v>2099</v>
      </c>
      <c r="F47" s="16"/>
      <c r="G47" s="16"/>
      <c r="H47" s="16"/>
      <c r="I47" s="16"/>
      <c r="J47" s="16"/>
      <c r="K47" s="16"/>
      <c r="L47" s="16"/>
    </row>
    <row r="48" spans="1:12" x14ac:dyDescent="0.25">
      <c r="A48" s="52">
        <v>40</v>
      </c>
      <c r="B48" s="52">
        <v>29</v>
      </c>
      <c r="C48" s="52">
        <v>7</v>
      </c>
      <c r="D48" s="52">
        <v>4</v>
      </c>
      <c r="E48" s="52">
        <v>7</v>
      </c>
      <c r="F48" s="16"/>
      <c r="G48" s="16"/>
      <c r="H48" s="16"/>
      <c r="I48" s="16"/>
      <c r="J48" s="16"/>
      <c r="K48" s="16"/>
      <c r="L48" s="16"/>
    </row>
    <row r="49" spans="1:12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1:12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1:12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1:12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 spans="1:12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1:12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1:12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spans="1:12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 spans="1:12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spans="1:12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spans="1:12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1:12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1:12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 spans="1:12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1:12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1:12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2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spans="1:12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2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spans="1:12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spans="1:12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1:12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 spans="1:12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 spans="1:12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 spans="1:12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 spans="1:12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1:12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1:12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 spans="1:12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1:12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2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 spans="1:12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spans="1:12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spans="1:12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spans="1:12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 spans="1:12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 spans="1:12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spans="1:12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spans="1:12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 spans="1:12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 spans="1:12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spans="1:12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spans="1:12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 spans="1:12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 spans="1:12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2" spans="1:12" x14ac:dyDescent="0.25">
      <c r="A102" s="480" t="s">
        <v>2691</v>
      </c>
      <c r="B102" s="480"/>
      <c r="C102" s="480"/>
      <c r="D102" s="480"/>
      <c r="E102" s="480"/>
      <c r="F102" s="480"/>
      <c r="G102" s="480"/>
      <c r="H102" s="480"/>
      <c r="I102" s="480"/>
      <c r="J102" s="480"/>
      <c r="K102" s="480"/>
      <c r="L102" s="480"/>
    </row>
    <row r="103" spans="1:12" x14ac:dyDescent="0.25">
      <c r="A103" s="145" t="s">
        <v>12</v>
      </c>
      <c r="B103" s="145" t="s">
        <v>2692</v>
      </c>
      <c r="C103" s="145" t="s">
        <v>2693</v>
      </c>
      <c r="D103" s="145" t="s">
        <v>2694</v>
      </c>
      <c r="E103" s="145" t="s">
        <v>2695</v>
      </c>
      <c r="F103" s="145" t="s">
        <v>2696</v>
      </c>
      <c r="G103" s="145" t="s">
        <v>2697</v>
      </c>
      <c r="H103" s="145" t="s">
        <v>1641</v>
      </c>
      <c r="I103" s="145" t="s">
        <v>2698</v>
      </c>
      <c r="J103" s="145" t="s">
        <v>2699</v>
      </c>
      <c r="K103" s="145" t="s">
        <v>2700</v>
      </c>
      <c r="L103" s="145" t="s">
        <v>846</v>
      </c>
    </row>
    <row r="104" spans="1:12" x14ac:dyDescent="0.25">
      <c r="A104">
        <v>41</v>
      </c>
      <c r="B104" t="s">
        <v>2316</v>
      </c>
      <c r="C104" t="s">
        <v>2701</v>
      </c>
    </row>
    <row r="107" spans="1:12" x14ac:dyDescent="0.25">
      <c r="A107" s="480" t="s">
        <v>2702</v>
      </c>
      <c r="B107" s="480"/>
      <c r="C107" s="480"/>
      <c r="D107" s="480"/>
      <c r="E107" s="480"/>
      <c r="F107" s="480"/>
      <c r="G107" s="480"/>
      <c r="H107" s="480"/>
      <c r="I107" s="480"/>
      <c r="J107" s="480"/>
      <c r="K107" s="480"/>
      <c r="L107" s="480"/>
    </row>
    <row r="108" spans="1:12" x14ac:dyDescent="0.25">
      <c r="A108" s="144" t="s">
        <v>2703</v>
      </c>
      <c r="B108" s="144" t="s">
        <v>2692</v>
      </c>
      <c r="C108" s="144" t="s">
        <v>2704</v>
      </c>
      <c r="D108" s="144" t="s">
        <v>2705</v>
      </c>
      <c r="E108" s="144" t="s">
        <v>2695</v>
      </c>
      <c r="F108" s="144" t="s">
        <v>2706</v>
      </c>
      <c r="G108" s="144" t="s">
        <v>369</v>
      </c>
      <c r="H108" s="144" t="s">
        <v>1641</v>
      </c>
      <c r="I108" s="144" t="s">
        <v>2698</v>
      </c>
      <c r="J108" s="144" t="s">
        <v>2707</v>
      </c>
      <c r="K108" s="144" t="s">
        <v>2708</v>
      </c>
      <c r="L108" s="144" t="s">
        <v>193</v>
      </c>
    </row>
    <row r="109" spans="1:12" x14ac:dyDescent="0.25">
      <c r="A109" s="98">
        <v>41</v>
      </c>
      <c r="B109" s="98" t="s">
        <v>2316</v>
      </c>
      <c r="C109" s="98" t="s">
        <v>2709</v>
      </c>
      <c r="D109" s="98" t="s">
        <v>2710</v>
      </c>
      <c r="E109" s="98" t="s">
        <v>67</v>
      </c>
      <c r="F109" s="98" t="s">
        <v>2037</v>
      </c>
      <c r="G109" s="98" t="s">
        <v>2711</v>
      </c>
      <c r="H109" s="98" t="s">
        <v>2712</v>
      </c>
      <c r="I109" s="98" t="s">
        <v>2713</v>
      </c>
      <c r="J109" s="98" t="s">
        <v>2714</v>
      </c>
      <c r="K109" s="98" t="s">
        <v>2715</v>
      </c>
      <c r="L109" s="98" t="s">
        <v>2716</v>
      </c>
    </row>
    <row r="110" spans="1:12" x14ac:dyDescent="0.25">
      <c r="A110" s="21">
        <v>42</v>
      </c>
      <c r="B110" s="21" t="s">
        <v>2316</v>
      </c>
      <c r="C110" s="21" t="s">
        <v>2709</v>
      </c>
      <c r="D110" s="21" t="s">
        <v>2717</v>
      </c>
      <c r="E110" s="21" t="s">
        <v>67</v>
      </c>
      <c r="F110" s="21" t="s">
        <v>2323</v>
      </c>
      <c r="G110" s="21" t="s">
        <v>2711</v>
      </c>
      <c r="H110" s="21" t="s">
        <v>2718</v>
      </c>
      <c r="I110" s="21" t="s">
        <v>2713</v>
      </c>
      <c r="J110" s="21" t="s">
        <v>2714</v>
      </c>
      <c r="K110" s="21" t="s">
        <v>2715</v>
      </c>
      <c r="L110" s="21" t="s">
        <v>2716</v>
      </c>
    </row>
    <row r="111" spans="1:12" x14ac:dyDescent="0.25">
      <c r="A111" s="98">
        <v>43</v>
      </c>
      <c r="B111" s="98" t="s">
        <v>2316</v>
      </c>
      <c r="C111" s="98" t="s">
        <v>2709</v>
      </c>
      <c r="D111" s="98" t="s">
        <v>2719</v>
      </c>
      <c r="E111" s="98" t="s">
        <v>67</v>
      </c>
      <c r="F111" s="98" t="s">
        <v>2042</v>
      </c>
      <c r="G111" s="98" t="s">
        <v>2711</v>
      </c>
      <c r="H111" s="98" t="s">
        <v>2720</v>
      </c>
      <c r="I111" s="98" t="s">
        <v>2713</v>
      </c>
      <c r="J111" s="98" t="s">
        <v>2714</v>
      </c>
      <c r="K111" s="98" t="s">
        <v>2715</v>
      </c>
      <c r="L111" s="98" t="s">
        <v>2716</v>
      </c>
    </row>
    <row r="112" spans="1:12" x14ac:dyDescent="0.25">
      <c r="A112" s="21">
        <v>44</v>
      </c>
      <c r="B112" s="21" t="s">
        <v>2316</v>
      </c>
      <c r="C112" s="21" t="s">
        <v>2721</v>
      </c>
      <c r="D112" s="21" t="s">
        <v>2722</v>
      </c>
      <c r="E112" s="21" t="s">
        <v>64</v>
      </c>
      <c r="F112" s="21" t="s">
        <v>2334</v>
      </c>
      <c r="G112" s="21" t="s">
        <v>2723</v>
      </c>
      <c r="H112" s="21" t="s">
        <v>2724</v>
      </c>
      <c r="I112" s="21" t="s">
        <v>2713</v>
      </c>
      <c r="J112" s="21" t="s">
        <v>2714</v>
      </c>
      <c r="K112" s="21" t="s">
        <v>2725</v>
      </c>
      <c r="L112" s="21" t="s">
        <v>2726</v>
      </c>
    </row>
    <row r="113" spans="1:12" x14ac:dyDescent="0.25">
      <c r="A113" s="98">
        <v>45</v>
      </c>
      <c r="B113" s="98" t="s">
        <v>2316</v>
      </c>
      <c r="C113" s="98" t="s">
        <v>2727</v>
      </c>
      <c r="D113" s="98" t="s">
        <v>2728</v>
      </c>
      <c r="E113" s="98" t="s">
        <v>64</v>
      </c>
      <c r="F113" s="98" t="s">
        <v>2349</v>
      </c>
      <c r="G113" s="98" t="s">
        <v>2729</v>
      </c>
      <c r="H113" s="98" t="s">
        <v>2730</v>
      </c>
      <c r="I113" s="98" t="s">
        <v>2713</v>
      </c>
      <c r="J113" s="98" t="s">
        <v>2714</v>
      </c>
      <c r="K113" s="98" t="s">
        <v>2725</v>
      </c>
      <c r="L113" s="98" t="s">
        <v>2731</v>
      </c>
    </row>
    <row r="114" spans="1:12" x14ac:dyDescent="0.25">
      <c r="A114" s="21">
        <v>46</v>
      </c>
      <c r="B114" s="21" t="s">
        <v>2316</v>
      </c>
      <c r="C114" s="21" t="s">
        <v>2732</v>
      </c>
      <c r="D114" s="21" t="s">
        <v>2733</v>
      </c>
      <c r="E114" s="21" t="s">
        <v>64</v>
      </c>
      <c r="F114" s="21" t="s">
        <v>2355</v>
      </c>
      <c r="G114" s="21" t="s">
        <v>2723</v>
      </c>
      <c r="H114" s="21" t="s">
        <v>2730</v>
      </c>
      <c r="I114" s="21" t="s">
        <v>2713</v>
      </c>
      <c r="J114" s="21" t="s">
        <v>2714</v>
      </c>
      <c r="K114" s="21" t="s">
        <v>2725</v>
      </c>
      <c r="L114" s="21" t="s">
        <v>2734</v>
      </c>
    </row>
    <row r="115" spans="1:12" x14ac:dyDescent="0.25">
      <c r="A115" s="98">
        <v>47</v>
      </c>
      <c r="B115" s="98" t="s">
        <v>2381</v>
      </c>
      <c r="C115" s="98" t="s">
        <v>2387</v>
      </c>
      <c r="D115" s="98" t="s">
        <v>2735</v>
      </c>
      <c r="E115" s="98" t="s">
        <v>67</v>
      </c>
      <c r="F115" s="98" t="s">
        <v>2388</v>
      </c>
      <c r="G115" s="98" t="s">
        <v>2723</v>
      </c>
      <c r="H115" s="98" t="s">
        <v>2533</v>
      </c>
      <c r="I115" s="98" t="s">
        <v>2736</v>
      </c>
      <c r="J115" s="98" t="s">
        <v>2714</v>
      </c>
      <c r="K115" s="98" t="s">
        <v>2715</v>
      </c>
      <c r="L115" s="98" t="s">
        <v>2737</v>
      </c>
    </row>
    <row r="116" spans="1:12" x14ac:dyDescent="0.25">
      <c r="A116" s="21">
        <v>48</v>
      </c>
      <c r="B116" s="21" t="s">
        <v>2381</v>
      </c>
      <c r="C116" s="21" t="s">
        <v>2391</v>
      </c>
      <c r="D116" s="21" t="s">
        <v>2738</v>
      </c>
      <c r="E116" s="21" t="s">
        <v>67</v>
      </c>
      <c r="F116" s="21" t="s">
        <v>2392</v>
      </c>
      <c r="G116" s="21" t="s">
        <v>2723</v>
      </c>
      <c r="H116" s="21" t="s">
        <v>2533</v>
      </c>
      <c r="I116" s="21" t="s">
        <v>2736</v>
      </c>
      <c r="J116" s="21" t="s">
        <v>2714</v>
      </c>
      <c r="K116" s="21" t="s">
        <v>2715</v>
      </c>
      <c r="L116" s="21" t="s">
        <v>2739</v>
      </c>
    </row>
    <row r="117" spans="1:12" x14ac:dyDescent="0.25">
      <c r="A117" s="98">
        <v>49</v>
      </c>
      <c r="B117" s="98" t="s">
        <v>2381</v>
      </c>
      <c r="C117" s="98" t="s">
        <v>2429</v>
      </c>
      <c r="D117" s="98" t="s">
        <v>2740</v>
      </c>
      <c r="E117" s="98" t="s">
        <v>67</v>
      </c>
      <c r="F117" s="98" t="s">
        <v>2430</v>
      </c>
      <c r="G117" s="98" t="s">
        <v>2723</v>
      </c>
      <c r="H117" s="98" t="s">
        <v>2561</v>
      </c>
      <c r="I117" s="98" t="s">
        <v>2736</v>
      </c>
      <c r="J117" s="98" t="s">
        <v>2714</v>
      </c>
      <c r="K117" s="98" t="s">
        <v>2715</v>
      </c>
      <c r="L117" s="98" t="s">
        <v>2741</v>
      </c>
    </row>
    <row r="118" spans="1:12" x14ac:dyDescent="0.25">
      <c r="A118" s="21">
        <v>50</v>
      </c>
      <c r="B118" s="21" t="s">
        <v>2340</v>
      </c>
      <c r="C118" s="21" t="s">
        <v>2742</v>
      </c>
      <c r="D118" s="21" t="s">
        <v>2743</v>
      </c>
      <c r="E118" s="21" t="s">
        <v>67</v>
      </c>
      <c r="F118" s="21" t="s">
        <v>2374</v>
      </c>
      <c r="G118" s="21" t="s">
        <v>2744</v>
      </c>
      <c r="H118" s="21" t="s">
        <v>2745</v>
      </c>
      <c r="I118" s="21" t="s">
        <v>2713</v>
      </c>
      <c r="J118" s="21" t="s">
        <v>2714</v>
      </c>
      <c r="K118" s="21" t="s">
        <v>2715</v>
      </c>
      <c r="L118" s="21" t="s">
        <v>2746</v>
      </c>
    </row>
    <row r="119" spans="1:12" x14ac:dyDescent="0.25">
      <c r="A119" s="98">
        <v>51</v>
      </c>
      <c r="B119" s="98" t="s">
        <v>2747</v>
      </c>
      <c r="C119" s="98" t="s">
        <v>2748</v>
      </c>
      <c r="D119" s="98" t="s">
        <v>2749</v>
      </c>
      <c r="E119" s="98" t="s">
        <v>2340</v>
      </c>
      <c r="F119" s="98" t="s">
        <v>2750</v>
      </c>
      <c r="G119" s="98" t="s">
        <v>2751</v>
      </c>
      <c r="H119" s="98" t="s">
        <v>2752</v>
      </c>
      <c r="I119" s="98" t="s">
        <v>638</v>
      </c>
      <c r="J119" s="98" t="s">
        <v>2714</v>
      </c>
      <c r="K119" s="98" t="s">
        <v>2753</v>
      </c>
      <c r="L119" s="98" t="s">
        <v>2754</v>
      </c>
    </row>
    <row r="120" spans="1:12" x14ac:dyDescent="0.25">
      <c r="A120" s="21">
        <v>52</v>
      </c>
      <c r="B120" s="21" t="s">
        <v>2755</v>
      </c>
      <c r="C120" s="21" t="s">
        <v>2756</v>
      </c>
      <c r="D120" s="21" t="s">
        <v>2757</v>
      </c>
      <c r="E120" s="21" t="s">
        <v>2758</v>
      </c>
      <c r="F120" s="21" t="s">
        <v>2759</v>
      </c>
      <c r="G120" s="21" t="s">
        <v>2760</v>
      </c>
      <c r="H120" s="21" t="s">
        <v>2761</v>
      </c>
      <c r="I120" s="21" t="s">
        <v>2713</v>
      </c>
      <c r="J120" s="21" t="s">
        <v>2714</v>
      </c>
      <c r="K120" s="21" t="s">
        <v>2762</v>
      </c>
      <c r="L120" s="21" t="s">
        <v>2763</v>
      </c>
    </row>
    <row r="121" spans="1:12" x14ac:dyDescent="0.25">
      <c r="A121" s="98">
        <v>53</v>
      </c>
      <c r="B121" s="98" t="s">
        <v>46</v>
      </c>
      <c r="C121" s="98" t="s">
        <v>1974</v>
      </c>
      <c r="D121" s="98" t="s">
        <v>2764</v>
      </c>
      <c r="E121" s="98" t="s">
        <v>2316</v>
      </c>
      <c r="F121" s="98" t="s">
        <v>2765</v>
      </c>
      <c r="G121" s="98" t="s">
        <v>2766</v>
      </c>
      <c r="H121" s="98" t="s">
        <v>2724</v>
      </c>
      <c r="I121" s="98" t="s">
        <v>2713</v>
      </c>
      <c r="J121" s="98" t="s">
        <v>2714</v>
      </c>
      <c r="K121" s="98" t="s">
        <v>2767</v>
      </c>
      <c r="L121" s="98" t="s">
        <v>2768</v>
      </c>
    </row>
  </sheetData>
  <mergeCells count="5">
    <mergeCell ref="A1:K1"/>
    <mergeCell ref="A2:K2"/>
    <mergeCell ref="A46:K46"/>
    <mergeCell ref="A102:L102"/>
    <mergeCell ref="A107:L10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ADD2-4BCA-43ED-BF0E-731ED41E4C8C}">
  <sheetPr>
    <tabColor rgb="FF1B5E20"/>
  </sheetPr>
  <dimension ref="A1:T120"/>
  <sheetViews>
    <sheetView workbookViewId="0">
      <selection activeCell="B56" sqref="B56"/>
    </sheetView>
  </sheetViews>
  <sheetFormatPr baseColWidth="10" defaultRowHeight="15" x14ac:dyDescent="0.25"/>
  <cols>
    <col min="1" max="1" width="29.28515625" customWidth="1"/>
    <col min="2" max="2" width="26" customWidth="1"/>
    <col min="3" max="3" width="37.28515625" customWidth="1"/>
    <col min="4" max="6" width="16" customWidth="1"/>
    <col min="7" max="8" width="18.7109375" customWidth="1"/>
    <col min="9" max="10" width="16" customWidth="1"/>
    <col min="11" max="12" width="18.7109375" customWidth="1"/>
    <col min="13" max="13" width="24" customWidth="1"/>
    <col min="14" max="14" width="18.7109375" customWidth="1"/>
    <col min="15" max="15" width="21.28515625" customWidth="1"/>
    <col min="16" max="16" width="18.7109375" customWidth="1"/>
    <col min="17" max="17" width="21.28515625" customWidth="1"/>
    <col min="18" max="18" width="18.7109375" customWidth="1"/>
  </cols>
  <sheetData>
    <row r="1" spans="1:20" ht="17.25" x14ac:dyDescent="0.3">
      <c r="A1" s="595" t="s">
        <v>2126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142"/>
    </row>
    <row r="2" spans="1:20" x14ac:dyDescent="0.25">
      <c r="A2" s="596" t="s">
        <v>2127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142"/>
    </row>
    <row r="3" spans="1:20" x14ac:dyDescent="0.2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</row>
    <row r="4" spans="1:20" x14ac:dyDescent="0.25">
      <c r="A4" s="597" t="s">
        <v>2128</v>
      </c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R4" s="597"/>
      <c r="S4" s="142"/>
      <c r="T4" s="142"/>
    </row>
    <row r="5" spans="1:20" x14ac:dyDescent="0.25">
      <c r="A5" s="145" t="s">
        <v>2129</v>
      </c>
      <c r="B5" s="145" t="s">
        <v>71</v>
      </c>
      <c r="C5" s="145" t="s">
        <v>2130</v>
      </c>
      <c r="D5" s="145" t="s">
        <v>2131</v>
      </c>
      <c r="E5" s="145" t="s">
        <v>2132</v>
      </c>
      <c r="F5" s="145" t="s">
        <v>639</v>
      </c>
      <c r="G5" s="145" t="s">
        <v>2133</v>
      </c>
      <c r="H5" s="145" t="s">
        <v>2134</v>
      </c>
      <c r="I5" s="145" t="s">
        <v>2135</v>
      </c>
      <c r="J5" s="145" t="s">
        <v>830</v>
      </c>
      <c r="K5" s="142"/>
      <c r="L5" s="142"/>
      <c r="M5" s="142"/>
      <c r="N5" s="142"/>
      <c r="O5" s="142"/>
      <c r="P5" s="142"/>
      <c r="Q5" s="142"/>
      <c r="R5" s="142"/>
      <c r="S5" s="142"/>
      <c r="T5" s="142"/>
    </row>
    <row r="6" spans="1:20" x14ac:dyDescent="0.25">
      <c r="A6" s="98" t="s">
        <v>26</v>
      </c>
      <c r="B6" s="98" t="s">
        <v>2136</v>
      </c>
      <c r="C6" s="98" t="s">
        <v>2137</v>
      </c>
      <c r="D6" s="98" t="s">
        <v>2138</v>
      </c>
      <c r="E6" s="98">
        <v>5.6899999999999999E-2</v>
      </c>
      <c r="F6" s="98" t="s">
        <v>2139</v>
      </c>
      <c r="G6" s="98">
        <v>5.6899999999999999E-2</v>
      </c>
      <c r="H6" s="98" t="s">
        <v>2140</v>
      </c>
      <c r="I6" s="98">
        <v>2025</v>
      </c>
      <c r="J6" s="98" t="s">
        <v>2141</v>
      </c>
      <c r="K6" s="142"/>
      <c r="L6" s="142"/>
      <c r="M6" s="142"/>
      <c r="N6" s="142"/>
      <c r="O6" s="142"/>
      <c r="P6" s="142"/>
      <c r="Q6" s="142"/>
      <c r="R6" s="142"/>
      <c r="S6" s="142"/>
      <c r="T6" s="142"/>
    </row>
    <row r="7" spans="1:20" x14ac:dyDescent="0.25">
      <c r="A7" s="98" t="s">
        <v>26</v>
      </c>
      <c r="B7" s="98" t="s">
        <v>2136</v>
      </c>
      <c r="C7" s="98" t="s">
        <v>2142</v>
      </c>
      <c r="D7" s="98" t="s">
        <v>2143</v>
      </c>
      <c r="E7" s="98">
        <v>0.20100000000000001</v>
      </c>
      <c r="F7" s="98" t="s">
        <v>2139</v>
      </c>
      <c r="G7" s="98">
        <v>0.20100000000000001</v>
      </c>
      <c r="H7" s="98" t="s">
        <v>2144</v>
      </c>
      <c r="I7" s="98">
        <v>2025</v>
      </c>
      <c r="J7" s="98" t="s">
        <v>2145</v>
      </c>
      <c r="K7" s="142"/>
      <c r="L7" s="142"/>
      <c r="M7" s="142"/>
      <c r="N7" s="142"/>
      <c r="O7" s="142"/>
      <c r="P7" s="142"/>
      <c r="Q7" s="142"/>
      <c r="R7" s="142"/>
      <c r="S7" s="142"/>
      <c r="T7" s="142"/>
    </row>
    <row r="8" spans="1:20" x14ac:dyDescent="0.25">
      <c r="A8" s="98" t="s">
        <v>26</v>
      </c>
      <c r="B8" s="98" t="s">
        <v>2136</v>
      </c>
      <c r="C8" s="98" t="s">
        <v>2146</v>
      </c>
      <c r="D8" s="98" t="s">
        <v>2143</v>
      </c>
      <c r="E8" s="98">
        <v>0.26369999999999999</v>
      </c>
      <c r="F8" s="98" t="s">
        <v>2147</v>
      </c>
      <c r="G8" s="98">
        <v>0.26369999999999999</v>
      </c>
      <c r="H8" s="98" t="s">
        <v>2144</v>
      </c>
      <c r="I8" s="98">
        <v>2025</v>
      </c>
      <c r="J8" s="98" t="s">
        <v>2145</v>
      </c>
      <c r="K8" s="142"/>
      <c r="L8" s="142"/>
      <c r="M8" s="142"/>
      <c r="N8" s="142"/>
      <c r="O8" s="142"/>
      <c r="P8" s="142"/>
      <c r="Q8" s="142"/>
      <c r="R8" s="142"/>
      <c r="S8" s="142"/>
      <c r="T8" s="142"/>
    </row>
    <row r="9" spans="1:20" x14ac:dyDescent="0.25">
      <c r="A9" s="98" t="s">
        <v>26</v>
      </c>
      <c r="B9" s="98" t="s">
        <v>2136</v>
      </c>
      <c r="C9" s="98" t="s">
        <v>2148</v>
      </c>
      <c r="D9" s="98" t="s">
        <v>2143</v>
      </c>
      <c r="E9" s="98">
        <v>0.19320000000000001</v>
      </c>
      <c r="F9" s="98" t="s">
        <v>2147</v>
      </c>
      <c r="G9" s="98">
        <v>0.19320000000000001</v>
      </c>
      <c r="H9" s="98" t="s">
        <v>2149</v>
      </c>
      <c r="I9" s="98">
        <v>2025</v>
      </c>
      <c r="J9" s="98" t="s">
        <v>2145</v>
      </c>
      <c r="K9" s="142"/>
      <c r="L9" s="142"/>
      <c r="M9" s="142"/>
      <c r="N9" s="142"/>
      <c r="O9" s="142"/>
      <c r="P9" s="142"/>
      <c r="Q9" s="142"/>
      <c r="R9" s="142"/>
      <c r="S9" s="142"/>
      <c r="T9" s="142"/>
    </row>
    <row r="10" spans="1:20" x14ac:dyDescent="0.25">
      <c r="A10" s="98" t="s">
        <v>26</v>
      </c>
      <c r="B10" s="98" t="s">
        <v>2136</v>
      </c>
      <c r="C10" s="98" t="s">
        <v>2150</v>
      </c>
      <c r="D10" s="98" t="s">
        <v>2151</v>
      </c>
      <c r="E10" s="98">
        <v>0.42</v>
      </c>
      <c r="F10" s="98" t="s">
        <v>2152</v>
      </c>
      <c r="G10" s="98">
        <v>0.42</v>
      </c>
      <c r="H10" s="98" t="s">
        <v>2153</v>
      </c>
      <c r="I10" s="98">
        <v>2025</v>
      </c>
      <c r="J10" s="98" t="s">
        <v>2154</v>
      </c>
      <c r="K10" s="142"/>
      <c r="L10" s="142"/>
      <c r="M10" s="142"/>
      <c r="N10" s="142"/>
      <c r="O10" s="142"/>
      <c r="P10" s="142"/>
      <c r="Q10" s="142"/>
      <c r="R10" s="142"/>
      <c r="S10" s="142"/>
      <c r="T10" s="142"/>
    </row>
    <row r="11" spans="1:20" x14ac:dyDescent="0.25">
      <c r="A11" s="146" t="s">
        <v>31</v>
      </c>
      <c r="B11" s="146" t="s">
        <v>2155</v>
      </c>
      <c r="C11" s="146" t="s">
        <v>2137</v>
      </c>
      <c r="D11" s="146" t="s">
        <v>2138</v>
      </c>
      <c r="E11" s="146">
        <v>0.39400000000000002</v>
      </c>
      <c r="F11" s="146" t="s">
        <v>2139</v>
      </c>
      <c r="G11" s="146">
        <v>0.39400000000000002</v>
      </c>
      <c r="H11" s="146" t="s">
        <v>2156</v>
      </c>
      <c r="I11" s="146">
        <v>2025</v>
      </c>
      <c r="J11" s="146" t="s">
        <v>2157</v>
      </c>
      <c r="K11" s="142"/>
      <c r="L11" s="142"/>
      <c r="M11" s="142"/>
      <c r="N11" s="142"/>
      <c r="O11" s="142"/>
      <c r="P11" s="142"/>
      <c r="Q11" s="142"/>
      <c r="R11" s="142"/>
      <c r="S11" s="142"/>
      <c r="T11" s="142"/>
    </row>
    <row r="12" spans="1:20" x14ac:dyDescent="0.25">
      <c r="A12" s="146" t="s">
        <v>31</v>
      </c>
      <c r="B12" s="146" t="s">
        <v>2155</v>
      </c>
      <c r="C12" s="146" t="s">
        <v>2142</v>
      </c>
      <c r="D12" s="146" t="s">
        <v>2143</v>
      </c>
      <c r="E12" s="146">
        <v>0.20100000000000001</v>
      </c>
      <c r="F12" s="146" t="s">
        <v>2139</v>
      </c>
      <c r="G12" s="146">
        <v>0.20100000000000001</v>
      </c>
      <c r="H12" s="146" t="s">
        <v>2144</v>
      </c>
      <c r="I12" s="146">
        <v>2025</v>
      </c>
      <c r="J12" s="146" t="s">
        <v>2158</v>
      </c>
      <c r="K12" s="142"/>
      <c r="L12" s="142"/>
      <c r="M12" s="142"/>
      <c r="N12" s="142"/>
      <c r="O12" s="142"/>
      <c r="P12" s="142"/>
      <c r="Q12" s="142"/>
      <c r="R12" s="142"/>
      <c r="S12" s="142"/>
      <c r="T12" s="142"/>
    </row>
    <row r="13" spans="1:20" x14ac:dyDescent="0.25">
      <c r="A13" s="146" t="s">
        <v>31</v>
      </c>
      <c r="B13" s="146" t="s">
        <v>2155</v>
      </c>
      <c r="C13" s="146" t="s">
        <v>2159</v>
      </c>
      <c r="D13" s="146" t="s">
        <v>2143</v>
      </c>
      <c r="E13" s="146">
        <v>1.85</v>
      </c>
      <c r="F13" s="146" t="s">
        <v>2160</v>
      </c>
      <c r="G13" s="146">
        <v>1.85</v>
      </c>
      <c r="H13" s="146" t="s">
        <v>2161</v>
      </c>
      <c r="I13" s="146">
        <v>2025</v>
      </c>
      <c r="J13" s="146" t="s">
        <v>2162</v>
      </c>
      <c r="K13" s="142"/>
      <c r="L13" s="142"/>
      <c r="M13" s="142"/>
      <c r="N13" s="142"/>
      <c r="O13" s="142"/>
      <c r="P13" s="142"/>
      <c r="Q13" s="142"/>
      <c r="R13" s="142"/>
      <c r="S13" s="142"/>
      <c r="T13" s="142"/>
    </row>
    <row r="14" spans="1:20" x14ac:dyDescent="0.25">
      <c r="A14" s="146" t="s">
        <v>31</v>
      </c>
      <c r="B14" s="146" t="s">
        <v>2155</v>
      </c>
      <c r="C14" s="146" t="s">
        <v>2150</v>
      </c>
      <c r="D14" s="146" t="s">
        <v>2151</v>
      </c>
      <c r="E14" s="146">
        <v>0.57999999999999996</v>
      </c>
      <c r="F14" s="146" t="s">
        <v>2152</v>
      </c>
      <c r="G14" s="146">
        <v>0.57999999999999996</v>
      </c>
      <c r="H14" s="146" t="s">
        <v>81</v>
      </c>
      <c r="I14" s="146">
        <v>2025</v>
      </c>
      <c r="J14" s="146" t="s">
        <v>2154</v>
      </c>
      <c r="K14" s="142"/>
      <c r="L14" s="142"/>
      <c r="M14" s="142"/>
      <c r="N14" s="142"/>
      <c r="O14" s="142"/>
      <c r="P14" s="142"/>
      <c r="Q14" s="142"/>
      <c r="R14" s="142"/>
      <c r="S14" s="142"/>
      <c r="T14" s="142"/>
    </row>
    <row r="15" spans="1:20" x14ac:dyDescent="0.25">
      <c r="A15" s="147" t="s">
        <v>33</v>
      </c>
      <c r="B15" s="147" t="s">
        <v>1483</v>
      </c>
      <c r="C15" s="147" t="s">
        <v>2137</v>
      </c>
      <c r="D15" s="147" t="s">
        <v>2138</v>
      </c>
      <c r="E15" s="147">
        <v>0.20699999999999999</v>
      </c>
      <c r="F15" s="147" t="s">
        <v>2139</v>
      </c>
      <c r="G15" s="147">
        <v>0.20699999999999999</v>
      </c>
      <c r="H15" s="147" t="s">
        <v>2163</v>
      </c>
      <c r="I15" s="147">
        <v>2025</v>
      </c>
      <c r="J15" s="147" t="s">
        <v>2164</v>
      </c>
      <c r="K15" s="142"/>
      <c r="L15" s="142"/>
      <c r="M15" s="142"/>
      <c r="N15" s="142"/>
      <c r="O15" s="142"/>
      <c r="P15" s="142"/>
      <c r="Q15" s="142"/>
      <c r="R15" s="142"/>
      <c r="S15" s="142"/>
      <c r="T15" s="142"/>
    </row>
    <row r="16" spans="1:20" x14ac:dyDescent="0.25">
      <c r="A16" s="147" t="s">
        <v>33</v>
      </c>
      <c r="B16" s="147" t="s">
        <v>1483</v>
      </c>
      <c r="C16" s="147" t="s">
        <v>2142</v>
      </c>
      <c r="D16" s="147" t="s">
        <v>2143</v>
      </c>
      <c r="E16" s="147">
        <v>0.20300000000000001</v>
      </c>
      <c r="F16" s="147" t="s">
        <v>2139</v>
      </c>
      <c r="G16" s="147">
        <v>0.20300000000000001</v>
      </c>
      <c r="H16" s="147" t="s">
        <v>2144</v>
      </c>
      <c r="I16" s="147">
        <v>2025</v>
      </c>
      <c r="J16" s="147" t="s">
        <v>2158</v>
      </c>
      <c r="K16" s="142"/>
      <c r="L16" s="142"/>
      <c r="M16" s="142"/>
      <c r="N16" s="142"/>
      <c r="O16" s="142"/>
      <c r="P16" s="142"/>
      <c r="Q16" s="142"/>
      <c r="R16" s="142"/>
      <c r="S16" s="142"/>
      <c r="T16" s="142"/>
    </row>
    <row r="17" spans="1:20" x14ac:dyDescent="0.25">
      <c r="A17" s="147" t="s">
        <v>33</v>
      </c>
      <c r="B17" s="147" t="s">
        <v>1483</v>
      </c>
      <c r="C17" s="147" t="s">
        <v>2165</v>
      </c>
      <c r="D17" s="147" t="s">
        <v>2166</v>
      </c>
      <c r="E17" s="147">
        <v>0.255</v>
      </c>
      <c r="F17" s="147" t="s">
        <v>2167</v>
      </c>
      <c r="G17" s="147">
        <v>0.255</v>
      </c>
      <c r="H17" s="147" t="s">
        <v>2168</v>
      </c>
      <c r="I17" s="147">
        <v>2025</v>
      </c>
      <c r="J17" s="147" t="s">
        <v>2169</v>
      </c>
      <c r="K17" s="142"/>
      <c r="L17" s="142"/>
      <c r="M17" s="142"/>
      <c r="N17" s="142"/>
      <c r="O17" s="142"/>
      <c r="P17" s="142"/>
      <c r="Q17" s="142"/>
      <c r="R17" s="142"/>
      <c r="S17" s="142"/>
      <c r="T17" s="142"/>
    </row>
    <row r="18" spans="1:20" x14ac:dyDescent="0.25">
      <c r="A18" s="147" t="s">
        <v>33</v>
      </c>
      <c r="B18" s="147" t="s">
        <v>1483</v>
      </c>
      <c r="C18" s="147" t="s">
        <v>2170</v>
      </c>
      <c r="D18" s="147" t="s">
        <v>2151</v>
      </c>
      <c r="E18" s="147">
        <v>0.12</v>
      </c>
      <c r="F18" s="147" t="s">
        <v>2152</v>
      </c>
      <c r="G18" s="147">
        <v>0.12</v>
      </c>
      <c r="H18" s="147" t="s">
        <v>2171</v>
      </c>
      <c r="I18" s="147">
        <v>2025</v>
      </c>
      <c r="J18" s="147" t="s">
        <v>2154</v>
      </c>
      <c r="K18" s="142"/>
      <c r="L18" s="142"/>
      <c r="M18" s="142"/>
      <c r="N18" s="142"/>
      <c r="O18" s="142"/>
      <c r="P18" s="142"/>
      <c r="Q18" s="142"/>
      <c r="R18" s="142"/>
      <c r="S18" s="142"/>
      <c r="T18" s="142"/>
    </row>
    <row r="19" spans="1:20" x14ac:dyDescent="0.25">
      <c r="A19" s="148" t="s">
        <v>35</v>
      </c>
      <c r="B19" s="148" t="s">
        <v>1502</v>
      </c>
      <c r="C19" s="148" t="s">
        <v>2137</v>
      </c>
      <c r="D19" s="148" t="s">
        <v>2138</v>
      </c>
      <c r="E19" s="148">
        <v>0.38600000000000001</v>
      </c>
      <c r="F19" s="148" t="s">
        <v>2139</v>
      </c>
      <c r="G19" s="148">
        <v>0.38600000000000001</v>
      </c>
      <c r="H19" s="148" t="s">
        <v>2172</v>
      </c>
      <c r="I19" s="148">
        <v>2025</v>
      </c>
      <c r="J19" s="148" t="s">
        <v>2173</v>
      </c>
      <c r="K19" s="142"/>
      <c r="L19" s="142"/>
      <c r="M19" s="142"/>
      <c r="N19" s="142"/>
      <c r="O19" s="142"/>
      <c r="P19" s="142"/>
      <c r="Q19" s="142"/>
      <c r="R19" s="142"/>
      <c r="S19" s="142"/>
      <c r="T19" s="142"/>
    </row>
    <row r="20" spans="1:20" x14ac:dyDescent="0.25">
      <c r="A20" s="148" t="s">
        <v>35</v>
      </c>
      <c r="B20" s="148" t="s">
        <v>1502</v>
      </c>
      <c r="C20" s="148" t="s">
        <v>2142</v>
      </c>
      <c r="D20" s="148" t="s">
        <v>2143</v>
      </c>
      <c r="E20" s="148">
        <v>0.20200000000000001</v>
      </c>
      <c r="F20" s="148" t="s">
        <v>2139</v>
      </c>
      <c r="G20" s="148">
        <v>0.20200000000000001</v>
      </c>
      <c r="H20" s="148" t="s">
        <v>2144</v>
      </c>
      <c r="I20" s="148">
        <v>2025</v>
      </c>
      <c r="J20" s="148" t="s">
        <v>2174</v>
      </c>
      <c r="K20" s="142"/>
      <c r="L20" s="142"/>
      <c r="M20" s="142"/>
      <c r="N20" s="142"/>
      <c r="O20" s="142"/>
      <c r="P20" s="142"/>
      <c r="Q20" s="142"/>
      <c r="R20" s="142"/>
      <c r="S20" s="142"/>
      <c r="T20" s="142"/>
    </row>
    <row r="21" spans="1:20" x14ac:dyDescent="0.25">
      <c r="A21" s="148" t="s">
        <v>35</v>
      </c>
      <c r="B21" s="148" t="s">
        <v>1502</v>
      </c>
      <c r="C21" s="148" t="s">
        <v>2175</v>
      </c>
      <c r="D21" s="148" t="s">
        <v>2176</v>
      </c>
      <c r="E21" s="148">
        <v>9.6199999999999994E-2</v>
      </c>
      <c r="F21" s="148" t="s">
        <v>2177</v>
      </c>
      <c r="G21" s="148">
        <v>9.6199999999999994E-2</v>
      </c>
      <c r="H21" s="148" t="s">
        <v>2178</v>
      </c>
      <c r="I21" s="148">
        <v>2025</v>
      </c>
      <c r="J21" s="148" t="s">
        <v>2179</v>
      </c>
      <c r="K21" s="142"/>
      <c r="L21" s="142"/>
      <c r="M21" s="142"/>
      <c r="N21" s="142"/>
      <c r="O21" s="142"/>
      <c r="P21" s="142"/>
      <c r="Q21" s="142"/>
      <c r="R21" s="142"/>
      <c r="S21" s="142"/>
      <c r="T21" s="142"/>
    </row>
    <row r="22" spans="1:20" x14ac:dyDescent="0.25">
      <c r="A22" s="148" t="s">
        <v>35</v>
      </c>
      <c r="B22" s="148" t="s">
        <v>1502</v>
      </c>
      <c r="C22" s="148" t="s">
        <v>2150</v>
      </c>
      <c r="D22" s="148" t="s">
        <v>2151</v>
      </c>
      <c r="E22" s="148">
        <v>0.45</v>
      </c>
      <c r="F22" s="148" t="s">
        <v>2152</v>
      </c>
      <c r="G22" s="148">
        <v>0.45</v>
      </c>
      <c r="H22" s="148" t="s">
        <v>2180</v>
      </c>
      <c r="I22" s="148">
        <v>2025</v>
      </c>
      <c r="J22" s="148" t="s">
        <v>2154</v>
      </c>
      <c r="K22" s="142"/>
      <c r="L22" s="142"/>
      <c r="M22" s="142"/>
      <c r="N22" s="142"/>
      <c r="O22" s="142"/>
      <c r="P22" s="142"/>
      <c r="Q22" s="142"/>
      <c r="R22" s="142"/>
      <c r="S22" s="142"/>
      <c r="T22" s="142"/>
    </row>
    <row r="23" spans="1:20" x14ac:dyDescent="0.25">
      <c r="A23" s="100" t="s">
        <v>37</v>
      </c>
      <c r="B23" s="100" t="s">
        <v>1505</v>
      </c>
      <c r="C23" s="100" t="s">
        <v>2137</v>
      </c>
      <c r="D23" s="100" t="s">
        <v>2138</v>
      </c>
      <c r="E23" s="100">
        <v>0.40799999999999997</v>
      </c>
      <c r="F23" s="100" t="s">
        <v>2139</v>
      </c>
      <c r="G23" s="100">
        <v>0.40799999999999997</v>
      </c>
      <c r="H23" s="100" t="s">
        <v>2181</v>
      </c>
      <c r="I23" s="100">
        <v>2025</v>
      </c>
      <c r="J23" s="100" t="s">
        <v>2182</v>
      </c>
      <c r="K23" s="142"/>
      <c r="L23" s="142"/>
      <c r="M23" s="142"/>
      <c r="N23" s="142"/>
      <c r="O23" s="142"/>
      <c r="P23" s="142"/>
      <c r="Q23" s="142"/>
      <c r="R23" s="142"/>
      <c r="S23" s="142"/>
      <c r="T23" s="142"/>
    </row>
    <row r="24" spans="1:20" x14ac:dyDescent="0.25">
      <c r="A24" s="100" t="s">
        <v>37</v>
      </c>
      <c r="B24" s="100" t="s">
        <v>1505</v>
      </c>
      <c r="C24" s="100" t="s">
        <v>2142</v>
      </c>
      <c r="D24" s="100" t="s">
        <v>2143</v>
      </c>
      <c r="E24" s="100">
        <v>0.20100000000000001</v>
      </c>
      <c r="F24" s="100" t="s">
        <v>2139</v>
      </c>
      <c r="G24" s="100">
        <v>0.20100000000000001</v>
      </c>
      <c r="H24" s="100" t="s">
        <v>2144</v>
      </c>
      <c r="I24" s="100">
        <v>2025</v>
      </c>
      <c r="J24" s="100" t="s">
        <v>2158</v>
      </c>
      <c r="K24" s="142"/>
      <c r="L24" s="142"/>
      <c r="M24" s="142"/>
      <c r="N24" s="142"/>
      <c r="O24" s="142"/>
      <c r="P24" s="142"/>
      <c r="Q24" s="142"/>
      <c r="R24" s="142"/>
      <c r="S24" s="142"/>
      <c r="T24" s="142"/>
    </row>
    <row r="25" spans="1:20" x14ac:dyDescent="0.25">
      <c r="A25" s="100" t="s">
        <v>37</v>
      </c>
      <c r="B25" s="100" t="s">
        <v>1505</v>
      </c>
      <c r="C25" s="100" t="s">
        <v>2183</v>
      </c>
      <c r="D25" s="100" t="s">
        <v>2166</v>
      </c>
      <c r="E25" s="100">
        <v>0.182</v>
      </c>
      <c r="F25" s="100" t="s">
        <v>2167</v>
      </c>
      <c r="G25" s="100">
        <v>0.182</v>
      </c>
      <c r="H25" s="100" t="s">
        <v>2184</v>
      </c>
      <c r="I25" s="100">
        <v>2025</v>
      </c>
      <c r="J25" s="100" t="s">
        <v>2185</v>
      </c>
      <c r="K25" s="142"/>
      <c r="L25" s="142"/>
      <c r="M25" s="142"/>
      <c r="N25" s="142"/>
      <c r="O25" s="142"/>
      <c r="P25" s="142"/>
      <c r="Q25" s="142"/>
      <c r="R25" s="142"/>
      <c r="S25" s="142"/>
      <c r="T25" s="142"/>
    </row>
    <row r="26" spans="1:20" x14ac:dyDescent="0.25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1:20" x14ac:dyDescent="0.25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</row>
    <row r="28" spans="1:20" x14ac:dyDescent="0.25">
      <c r="A28" s="597" t="s">
        <v>2186</v>
      </c>
      <c r="B28" s="597"/>
      <c r="C28" s="597"/>
      <c r="D28" s="597"/>
      <c r="E28" s="597"/>
      <c r="F28" s="597"/>
      <c r="G28" s="597"/>
      <c r="H28" s="597"/>
      <c r="I28" s="597"/>
      <c r="J28" s="597"/>
      <c r="K28" s="597"/>
      <c r="L28" s="597"/>
      <c r="M28" s="597"/>
      <c r="N28" s="597"/>
      <c r="O28" s="597"/>
      <c r="P28" s="597"/>
      <c r="Q28" s="597"/>
      <c r="R28" s="597"/>
      <c r="S28" s="142"/>
      <c r="T28" s="142"/>
    </row>
    <row r="29" spans="1:20" x14ac:dyDescent="0.25">
      <c r="A29" s="145" t="s">
        <v>70</v>
      </c>
      <c r="B29" s="145" t="s">
        <v>2187</v>
      </c>
      <c r="C29" s="145" t="s">
        <v>1427</v>
      </c>
      <c r="D29" s="145" t="s">
        <v>1430</v>
      </c>
      <c r="E29" s="145" t="s">
        <v>1431</v>
      </c>
      <c r="F29" s="145" t="s">
        <v>1432</v>
      </c>
      <c r="G29" s="145" t="s">
        <v>2188</v>
      </c>
      <c r="H29" s="145" t="s">
        <v>2189</v>
      </c>
      <c r="I29" s="145" t="s">
        <v>269</v>
      </c>
      <c r="J29" s="145" t="s">
        <v>2190</v>
      </c>
      <c r="K29" s="145" t="s">
        <v>2191</v>
      </c>
      <c r="L29" s="145" t="s">
        <v>2192</v>
      </c>
      <c r="M29" s="145" t="s">
        <v>2193</v>
      </c>
      <c r="N29" s="145" t="s">
        <v>2194</v>
      </c>
      <c r="O29" s="145" t="s">
        <v>2195</v>
      </c>
      <c r="P29" s="145" t="s">
        <v>2196</v>
      </c>
      <c r="Q29" s="145" t="s">
        <v>2197</v>
      </c>
      <c r="R29" s="145" t="s">
        <v>378</v>
      </c>
      <c r="S29" s="142"/>
      <c r="T29" s="142"/>
    </row>
    <row r="30" spans="1:20" x14ac:dyDescent="0.25">
      <c r="A30" s="149" t="s">
        <v>26</v>
      </c>
      <c r="B30" s="149" t="s">
        <v>2198</v>
      </c>
      <c r="C30" s="149">
        <v>3050</v>
      </c>
      <c r="D30" s="149">
        <v>3120</v>
      </c>
      <c r="E30" s="149">
        <v>3180</v>
      </c>
      <c r="F30" s="149">
        <v>3050</v>
      </c>
      <c r="G30" s="149">
        <f t="shared" ref="G30:G44" si="0">SUM(C30:F30)</f>
        <v>12400</v>
      </c>
      <c r="H30" s="149">
        <v>13200</v>
      </c>
      <c r="I30" s="150">
        <f t="shared" ref="I30:I44" si="1">IFERROR((G30-H30)/ABS(H30),"")</f>
        <v>-6.0606060606060608E-2</v>
      </c>
      <c r="J30" s="149">
        <v>7800</v>
      </c>
      <c r="K30" s="149">
        <f t="shared" ref="K30:K44" si="2">G30-J30</f>
        <v>4600</v>
      </c>
      <c r="L30" s="151">
        <f t="shared" ref="L30:L44" si="3">IFERROR(G30/J30,"")</f>
        <v>1.5897435897435896</v>
      </c>
      <c r="M30" s="152">
        <f>IFERROR(G30/(CONSOL_CR!D7/1000),"")</f>
        <v>43.508771929824562</v>
      </c>
      <c r="N30" s="149"/>
      <c r="O30" s="151">
        <f>IFERROR(CONSOL_CR!D7/CONSOL_CR!K7,"")</f>
        <v>0.34880518924211362</v>
      </c>
      <c r="P30" s="149" t="s">
        <v>2199</v>
      </c>
      <c r="Q30" s="149" t="s">
        <v>2200</v>
      </c>
      <c r="R30" s="149" t="s">
        <v>2201</v>
      </c>
      <c r="S30" s="142"/>
      <c r="T30" s="142"/>
    </row>
    <row r="31" spans="1:20" x14ac:dyDescent="0.25">
      <c r="A31" s="153" t="s">
        <v>26</v>
      </c>
      <c r="B31" s="153" t="s">
        <v>2202</v>
      </c>
      <c r="C31" s="153">
        <v>2180</v>
      </c>
      <c r="D31" s="153">
        <v>2200</v>
      </c>
      <c r="E31" s="153">
        <v>2250</v>
      </c>
      <c r="F31" s="153">
        <v>2270</v>
      </c>
      <c r="G31" s="153">
        <f t="shared" si="0"/>
        <v>8900</v>
      </c>
      <c r="H31" s="153">
        <v>9600</v>
      </c>
      <c r="I31" s="154">
        <f t="shared" si="1"/>
        <v>-7.2916666666666671E-2</v>
      </c>
      <c r="J31" s="153">
        <v>5000</v>
      </c>
      <c r="K31" s="153">
        <f t="shared" si="2"/>
        <v>3900</v>
      </c>
      <c r="L31" s="155">
        <f t="shared" si="3"/>
        <v>1.78</v>
      </c>
      <c r="M31" s="156">
        <f>IFERROR(G31/(CONSOL_CR!D7/1000),"")</f>
        <v>31.228070175438596</v>
      </c>
      <c r="N31" s="153"/>
      <c r="O31" s="155">
        <f>IFERROR(CONSOL_CR!D7/CONSOL_CR!K7,"")</f>
        <v>0.34880518924211362</v>
      </c>
      <c r="P31" s="153" t="s">
        <v>2203</v>
      </c>
      <c r="Q31" s="153" t="s">
        <v>2200</v>
      </c>
      <c r="R31" s="153" t="s">
        <v>2201</v>
      </c>
      <c r="S31" s="142"/>
      <c r="T31" s="142"/>
    </row>
    <row r="32" spans="1:20" x14ac:dyDescent="0.25">
      <c r="A32" s="157" t="s">
        <v>26</v>
      </c>
      <c r="B32" s="157" t="s">
        <v>2204</v>
      </c>
      <c r="C32" s="157">
        <v>20500</v>
      </c>
      <c r="D32" s="157">
        <v>21800</v>
      </c>
      <c r="E32" s="157">
        <v>22200</v>
      </c>
      <c r="F32" s="157">
        <v>20500</v>
      </c>
      <c r="G32" s="157">
        <f t="shared" si="0"/>
        <v>85000</v>
      </c>
      <c r="H32" s="157">
        <v>92000</v>
      </c>
      <c r="I32" s="158">
        <f t="shared" si="1"/>
        <v>-7.6086956521739135E-2</v>
      </c>
      <c r="J32" s="157">
        <v>55000</v>
      </c>
      <c r="K32" s="157">
        <f t="shared" si="2"/>
        <v>30000</v>
      </c>
      <c r="L32" s="159">
        <f t="shared" si="3"/>
        <v>1.5454545454545454</v>
      </c>
      <c r="M32" s="160">
        <f>IFERROR(G32/(CONSOL_CR!D7/1000),"")</f>
        <v>298.24561403508773</v>
      </c>
      <c r="N32" s="157"/>
      <c r="O32" s="159">
        <f>IFERROR(CONSOL_CR!D7/CONSOL_CR!K7,"")</f>
        <v>0.34880518924211362</v>
      </c>
      <c r="P32" s="157" t="s">
        <v>2205</v>
      </c>
      <c r="Q32" s="157" t="s">
        <v>2206</v>
      </c>
      <c r="R32" s="157" t="s">
        <v>2207</v>
      </c>
      <c r="S32" s="142"/>
      <c r="T32" s="142"/>
    </row>
    <row r="33" spans="1:20" x14ac:dyDescent="0.25">
      <c r="A33" s="149" t="s">
        <v>31</v>
      </c>
      <c r="B33" s="149" t="s">
        <v>2198</v>
      </c>
      <c r="C33" s="149">
        <v>7200</v>
      </c>
      <c r="D33" s="149">
        <v>7350</v>
      </c>
      <c r="E33" s="149">
        <v>7480</v>
      </c>
      <c r="F33" s="149">
        <v>7570</v>
      </c>
      <c r="G33" s="149">
        <f t="shared" si="0"/>
        <v>29600</v>
      </c>
      <c r="H33" s="149">
        <v>30200</v>
      </c>
      <c r="I33" s="150">
        <f t="shared" si="1"/>
        <v>-1.9867549668874173E-2</v>
      </c>
      <c r="J33" s="149">
        <v>18000</v>
      </c>
      <c r="K33" s="149">
        <f t="shared" si="2"/>
        <v>11600</v>
      </c>
      <c r="L33" s="151">
        <f t="shared" si="3"/>
        <v>1.6444444444444444</v>
      </c>
      <c r="M33" s="152">
        <f>IFERROR(G33/(CONSOL_CR!E7/1000),"")</f>
        <v>176.1904761904762</v>
      </c>
      <c r="N33" s="149"/>
      <c r="O33" s="151">
        <f>IFERROR(CONSOL_CR!E7/CONSOL_CR!K7,"")</f>
        <v>0.20561147997429857</v>
      </c>
      <c r="P33" s="149" t="s">
        <v>2199</v>
      </c>
      <c r="Q33" s="149" t="s">
        <v>2200</v>
      </c>
      <c r="R33" s="149" t="s">
        <v>2201</v>
      </c>
      <c r="S33" s="142"/>
      <c r="T33" s="142"/>
    </row>
    <row r="34" spans="1:20" x14ac:dyDescent="0.25">
      <c r="A34" s="153" t="s">
        <v>31</v>
      </c>
      <c r="B34" s="153" t="s">
        <v>2202</v>
      </c>
      <c r="C34" s="153">
        <v>3800</v>
      </c>
      <c r="D34" s="153">
        <v>3920</v>
      </c>
      <c r="E34" s="153">
        <v>4010</v>
      </c>
      <c r="F34" s="153">
        <v>3870</v>
      </c>
      <c r="G34" s="153">
        <f t="shared" si="0"/>
        <v>15600</v>
      </c>
      <c r="H34" s="153">
        <v>16400</v>
      </c>
      <c r="I34" s="154">
        <f t="shared" si="1"/>
        <v>-4.878048780487805E-2</v>
      </c>
      <c r="J34" s="153">
        <v>9000</v>
      </c>
      <c r="K34" s="153">
        <f t="shared" si="2"/>
        <v>6600</v>
      </c>
      <c r="L34" s="155">
        <f t="shared" si="3"/>
        <v>1.7333333333333334</v>
      </c>
      <c r="M34" s="156">
        <f>IFERROR(G34/(CONSOL_CR!E7/1000),"")</f>
        <v>92.857142857142861</v>
      </c>
      <c r="N34" s="153"/>
      <c r="O34" s="155">
        <f>IFERROR(CONSOL_CR!E7/CONSOL_CR!K7,"")</f>
        <v>0.20561147997429857</v>
      </c>
      <c r="P34" s="153" t="s">
        <v>2203</v>
      </c>
      <c r="Q34" s="153" t="s">
        <v>2200</v>
      </c>
      <c r="R34" s="153" t="s">
        <v>2201</v>
      </c>
      <c r="S34" s="142"/>
      <c r="T34" s="142"/>
    </row>
    <row r="35" spans="1:20" x14ac:dyDescent="0.25">
      <c r="A35" s="157" t="s">
        <v>31</v>
      </c>
      <c r="B35" s="157" t="s">
        <v>2204</v>
      </c>
      <c r="C35" s="157">
        <v>34500</v>
      </c>
      <c r="D35" s="157">
        <v>36200</v>
      </c>
      <c r="E35" s="157">
        <v>37100</v>
      </c>
      <c r="F35" s="157">
        <v>34200</v>
      </c>
      <c r="G35" s="157">
        <f t="shared" si="0"/>
        <v>142000</v>
      </c>
      <c r="H35" s="157">
        <v>152000</v>
      </c>
      <c r="I35" s="158">
        <f t="shared" si="1"/>
        <v>-6.5789473684210523E-2</v>
      </c>
      <c r="J35" s="157">
        <v>85000</v>
      </c>
      <c r="K35" s="157">
        <f t="shared" si="2"/>
        <v>57000</v>
      </c>
      <c r="L35" s="159">
        <f t="shared" si="3"/>
        <v>1.6705882352941177</v>
      </c>
      <c r="M35" s="160">
        <f>IFERROR(G35/(CONSOL_CR!E7/1000),"")</f>
        <v>845.23809523809518</v>
      </c>
      <c r="N35" s="157"/>
      <c r="O35" s="159">
        <f>IFERROR(CONSOL_CR!E7/CONSOL_CR!K7,"")</f>
        <v>0.20561147997429857</v>
      </c>
      <c r="P35" s="157" t="s">
        <v>2205</v>
      </c>
      <c r="Q35" s="157" t="s">
        <v>2206</v>
      </c>
      <c r="R35" s="157" t="s">
        <v>2207</v>
      </c>
      <c r="S35" s="142"/>
      <c r="T35" s="142"/>
    </row>
    <row r="36" spans="1:20" x14ac:dyDescent="0.25">
      <c r="A36" s="149" t="s">
        <v>33</v>
      </c>
      <c r="B36" s="149" t="s">
        <v>2198</v>
      </c>
      <c r="C36" s="149">
        <v>1980</v>
      </c>
      <c r="D36" s="149">
        <v>2020</v>
      </c>
      <c r="E36" s="149">
        <v>2050</v>
      </c>
      <c r="F36" s="149">
        <v>2150</v>
      </c>
      <c r="G36" s="149">
        <f t="shared" si="0"/>
        <v>8200</v>
      </c>
      <c r="H36" s="149">
        <v>8600</v>
      </c>
      <c r="I36" s="150">
        <f t="shared" si="1"/>
        <v>-4.6511627906976744E-2</v>
      </c>
      <c r="J36" s="149">
        <v>5000</v>
      </c>
      <c r="K36" s="149">
        <f t="shared" si="2"/>
        <v>3200</v>
      </c>
      <c r="L36" s="151">
        <f t="shared" si="3"/>
        <v>1.64</v>
      </c>
      <c r="M36" s="152">
        <f>IFERROR(G36/(CONSOL_CR!F7/1000),"")</f>
        <v>50.127151799687013</v>
      </c>
      <c r="N36" s="149"/>
      <c r="O36" s="151">
        <f>IFERROR(CONSOL_CR!F7/CONSOL_CR!K7,"")</f>
        <v>0.20020683535783129</v>
      </c>
      <c r="P36" s="149" t="s">
        <v>2199</v>
      </c>
      <c r="Q36" s="149" t="s">
        <v>2200</v>
      </c>
      <c r="R36" s="149" t="s">
        <v>2201</v>
      </c>
      <c r="S36" s="142"/>
      <c r="T36" s="142"/>
    </row>
    <row r="37" spans="1:20" x14ac:dyDescent="0.25">
      <c r="A37" s="153" t="s">
        <v>33</v>
      </c>
      <c r="B37" s="153" t="s">
        <v>2202</v>
      </c>
      <c r="C37" s="153">
        <v>1520</v>
      </c>
      <c r="D37" s="153">
        <v>1580</v>
      </c>
      <c r="E37" s="153">
        <v>1600</v>
      </c>
      <c r="F37" s="153">
        <v>1400</v>
      </c>
      <c r="G37" s="153">
        <f t="shared" si="0"/>
        <v>6100</v>
      </c>
      <c r="H37" s="153">
        <v>6500</v>
      </c>
      <c r="I37" s="154">
        <f t="shared" si="1"/>
        <v>-6.1538461538461542E-2</v>
      </c>
      <c r="J37" s="153">
        <v>3500</v>
      </c>
      <c r="K37" s="153">
        <f t="shared" si="2"/>
        <v>2600</v>
      </c>
      <c r="L37" s="155">
        <f t="shared" si="3"/>
        <v>1.7428571428571429</v>
      </c>
      <c r="M37" s="156">
        <f>IFERROR(G37/(CONSOL_CR!F7/1000),"")</f>
        <v>37.289710485133021</v>
      </c>
      <c r="N37" s="153"/>
      <c r="O37" s="155">
        <f>IFERROR(CONSOL_CR!F7/CONSOL_CR!K7,"")</f>
        <v>0.20020683535783129</v>
      </c>
      <c r="P37" s="153" t="s">
        <v>2203</v>
      </c>
      <c r="Q37" s="153" t="s">
        <v>2200</v>
      </c>
      <c r="R37" s="153" t="s">
        <v>2201</v>
      </c>
      <c r="S37" s="142"/>
      <c r="T37" s="142"/>
    </row>
    <row r="38" spans="1:20" x14ac:dyDescent="0.25">
      <c r="A38" s="157" t="s">
        <v>33</v>
      </c>
      <c r="B38" s="157" t="s">
        <v>2204</v>
      </c>
      <c r="C38" s="157">
        <v>15200</v>
      </c>
      <c r="D38" s="157">
        <v>15800</v>
      </c>
      <c r="E38" s="157">
        <v>16100</v>
      </c>
      <c r="F38" s="157">
        <v>14900</v>
      </c>
      <c r="G38" s="157">
        <f t="shared" si="0"/>
        <v>62000</v>
      </c>
      <c r="H38" s="157">
        <v>64000</v>
      </c>
      <c r="I38" s="158">
        <f t="shared" si="1"/>
        <v>-3.125E-2</v>
      </c>
      <c r="J38" s="157">
        <v>35000</v>
      </c>
      <c r="K38" s="157">
        <f t="shared" si="2"/>
        <v>27000</v>
      </c>
      <c r="L38" s="159">
        <f t="shared" si="3"/>
        <v>1.7714285714285714</v>
      </c>
      <c r="M38" s="160">
        <f>IFERROR(G38/(CONSOL_CR!F7/1000),"")</f>
        <v>379.01017214397496</v>
      </c>
      <c r="N38" s="157"/>
      <c r="O38" s="159">
        <f>IFERROR(CONSOL_CR!F7/CONSOL_CR!K7,"")</f>
        <v>0.20020683535783129</v>
      </c>
      <c r="P38" s="157" t="s">
        <v>2205</v>
      </c>
      <c r="Q38" s="157" t="s">
        <v>2206</v>
      </c>
      <c r="R38" s="157" t="s">
        <v>2207</v>
      </c>
      <c r="S38" s="142"/>
      <c r="T38" s="142"/>
    </row>
    <row r="39" spans="1:20" x14ac:dyDescent="0.25">
      <c r="A39" s="149" t="s">
        <v>35</v>
      </c>
      <c r="B39" s="149" t="s">
        <v>2198</v>
      </c>
      <c r="C39" s="149">
        <v>4620</v>
      </c>
      <c r="D39" s="149">
        <v>4750</v>
      </c>
      <c r="E39" s="149">
        <v>4830</v>
      </c>
      <c r="F39" s="149">
        <v>4700</v>
      </c>
      <c r="G39" s="149">
        <f t="shared" si="0"/>
        <v>18900</v>
      </c>
      <c r="H39" s="149">
        <v>19800</v>
      </c>
      <c r="I39" s="150">
        <f t="shared" si="1"/>
        <v>-4.5454545454545456E-2</v>
      </c>
      <c r="J39" s="149">
        <v>11000</v>
      </c>
      <c r="K39" s="149">
        <f t="shared" si="2"/>
        <v>7900</v>
      </c>
      <c r="L39" s="151">
        <f t="shared" si="3"/>
        <v>1.7181818181818183</v>
      </c>
      <c r="M39" s="152">
        <f>IFERROR(G39/(CONSOL_CR!G7/1000),"")</f>
        <v>104.78170478170478</v>
      </c>
      <c r="N39" s="149"/>
      <c r="O39" s="151">
        <f>IFERROR(CONSOL_CR!G7/CONSOL_CR!K7,"")</f>
        <v>0.22075696845454823</v>
      </c>
      <c r="P39" s="149" t="s">
        <v>2199</v>
      </c>
      <c r="Q39" s="149" t="s">
        <v>2200</v>
      </c>
      <c r="R39" s="149" t="s">
        <v>2201</v>
      </c>
      <c r="S39" s="142"/>
      <c r="T39" s="142"/>
    </row>
    <row r="40" spans="1:20" x14ac:dyDescent="0.25">
      <c r="A40" s="153" t="s">
        <v>35</v>
      </c>
      <c r="B40" s="153" t="s">
        <v>2202</v>
      </c>
      <c r="C40" s="153">
        <v>3480</v>
      </c>
      <c r="D40" s="153">
        <v>3550</v>
      </c>
      <c r="E40" s="153">
        <v>3620</v>
      </c>
      <c r="F40" s="153">
        <v>3450</v>
      </c>
      <c r="G40" s="153">
        <f t="shared" si="0"/>
        <v>14100</v>
      </c>
      <c r="H40" s="153">
        <v>14700</v>
      </c>
      <c r="I40" s="154">
        <f t="shared" si="1"/>
        <v>-4.0816326530612242E-2</v>
      </c>
      <c r="J40" s="153">
        <v>8000</v>
      </c>
      <c r="K40" s="153">
        <f t="shared" si="2"/>
        <v>6100</v>
      </c>
      <c r="L40" s="155">
        <f t="shared" si="3"/>
        <v>1.7625</v>
      </c>
      <c r="M40" s="156">
        <f>IFERROR(G40/(CONSOL_CR!G7/1000),"")</f>
        <v>78.170478170478177</v>
      </c>
      <c r="N40" s="153"/>
      <c r="O40" s="155">
        <f>IFERROR(CONSOL_CR!G7/CONSOL_CR!K7,"")</f>
        <v>0.22075696845454823</v>
      </c>
      <c r="P40" s="153" t="s">
        <v>2203</v>
      </c>
      <c r="Q40" s="153" t="s">
        <v>2200</v>
      </c>
      <c r="R40" s="153" t="s">
        <v>2201</v>
      </c>
      <c r="S40" s="142"/>
      <c r="T40" s="142"/>
    </row>
    <row r="41" spans="1:20" x14ac:dyDescent="0.25">
      <c r="A41" s="157" t="s">
        <v>35</v>
      </c>
      <c r="B41" s="157" t="s">
        <v>2204</v>
      </c>
      <c r="C41" s="157">
        <v>47500</v>
      </c>
      <c r="D41" s="157">
        <v>48200</v>
      </c>
      <c r="E41" s="157">
        <v>49100</v>
      </c>
      <c r="F41" s="157">
        <v>50200</v>
      </c>
      <c r="G41" s="157">
        <f t="shared" si="0"/>
        <v>195000</v>
      </c>
      <c r="H41" s="157">
        <v>202000</v>
      </c>
      <c r="I41" s="158">
        <f t="shared" si="1"/>
        <v>-3.4653465346534656E-2</v>
      </c>
      <c r="J41" s="157">
        <v>110000</v>
      </c>
      <c r="K41" s="157">
        <f t="shared" si="2"/>
        <v>85000</v>
      </c>
      <c r="L41" s="159">
        <f t="shared" si="3"/>
        <v>1.7727272727272727</v>
      </c>
      <c r="M41" s="160">
        <f>IFERROR(G41/(CONSOL_CR!G7/1000),"")</f>
        <v>1081.081081081081</v>
      </c>
      <c r="N41" s="157"/>
      <c r="O41" s="159">
        <f>IFERROR(CONSOL_CR!G7/CONSOL_CR!K7,"")</f>
        <v>0.22075696845454823</v>
      </c>
      <c r="P41" s="157" t="s">
        <v>2205</v>
      </c>
      <c r="Q41" s="157" t="s">
        <v>2206</v>
      </c>
      <c r="R41" s="157" t="s">
        <v>2207</v>
      </c>
      <c r="S41" s="142"/>
      <c r="T41" s="142"/>
    </row>
    <row r="42" spans="1:20" x14ac:dyDescent="0.25">
      <c r="A42" s="149" t="s">
        <v>37</v>
      </c>
      <c r="B42" s="149" t="s">
        <v>2198</v>
      </c>
      <c r="C42" s="149">
        <v>1340</v>
      </c>
      <c r="D42" s="149">
        <v>1380</v>
      </c>
      <c r="E42" s="149">
        <v>1400</v>
      </c>
      <c r="F42" s="149">
        <v>1280</v>
      </c>
      <c r="G42" s="149">
        <f t="shared" si="0"/>
        <v>5400</v>
      </c>
      <c r="H42" s="149">
        <v>5800</v>
      </c>
      <c r="I42" s="150">
        <f t="shared" si="1"/>
        <v>-6.8965517241379309E-2</v>
      </c>
      <c r="J42" s="149">
        <v>3200</v>
      </c>
      <c r="K42" s="149">
        <f t="shared" si="2"/>
        <v>2200</v>
      </c>
      <c r="L42" s="151">
        <f t="shared" si="3"/>
        <v>1.6875</v>
      </c>
      <c r="M42" s="152">
        <f>IFERROR(G42/(CONSOL_CR!H7/1000),"")</f>
        <v>89.976006398293791</v>
      </c>
      <c r="N42" s="149"/>
      <c r="O42" s="151">
        <f>IFERROR(CONSOL_CR!H7/CONSOL_CR!K7,"")</f>
        <v>7.3452253465104186E-2</v>
      </c>
      <c r="P42" s="149" t="s">
        <v>2199</v>
      </c>
      <c r="Q42" s="149" t="s">
        <v>2200</v>
      </c>
      <c r="R42" s="149" t="s">
        <v>2201</v>
      </c>
      <c r="S42" s="142"/>
      <c r="T42" s="142"/>
    </row>
    <row r="43" spans="1:20" x14ac:dyDescent="0.25">
      <c r="A43" s="153" t="s">
        <v>37</v>
      </c>
      <c r="B43" s="153" t="s">
        <v>2202</v>
      </c>
      <c r="C43" s="153">
        <v>940</v>
      </c>
      <c r="D43" s="153">
        <v>980</v>
      </c>
      <c r="E43" s="153">
        <v>1010</v>
      </c>
      <c r="F43" s="153">
        <v>870</v>
      </c>
      <c r="G43" s="153">
        <f t="shared" si="0"/>
        <v>3800</v>
      </c>
      <c r="H43" s="153">
        <v>4100</v>
      </c>
      <c r="I43" s="154">
        <f t="shared" si="1"/>
        <v>-7.3170731707317069E-2</v>
      </c>
      <c r="J43" s="153">
        <v>2000</v>
      </c>
      <c r="K43" s="153">
        <f t="shared" si="2"/>
        <v>1800</v>
      </c>
      <c r="L43" s="155">
        <f t="shared" si="3"/>
        <v>1.9</v>
      </c>
      <c r="M43" s="156">
        <f>IFERROR(G43/(CONSOL_CR!H7/1000),"")</f>
        <v>63.316448946947482</v>
      </c>
      <c r="N43" s="153"/>
      <c r="O43" s="155">
        <f>IFERROR(CONSOL_CR!H7/CONSOL_CR!K7,"")</f>
        <v>7.3452253465104186E-2</v>
      </c>
      <c r="P43" s="153" t="s">
        <v>2203</v>
      </c>
      <c r="Q43" s="153" t="s">
        <v>2200</v>
      </c>
      <c r="R43" s="153" t="s">
        <v>2201</v>
      </c>
      <c r="S43" s="142"/>
      <c r="T43" s="142"/>
    </row>
    <row r="44" spans="1:20" x14ac:dyDescent="0.25">
      <c r="A44" s="157" t="s">
        <v>37</v>
      </c>
      <c r="B44" s="157" t="s">
        <v>2204</v>
      </c>
      <c r="C44" s="157">
        <v>7000</v>
      </c>
      <c r="D44" s="157">
        <v>7200</v>
      </c>
      <c r="E44" s="157">
        <v>7500</v>
      </c>
      <c r="F44" s="157">
        <v>6300</v>
      </c>
      <c r="G44" s="157">
        <f t="shared" si="0"/>
        <v>28000</v>
      </c>
      <c r="H44" s="157">
        <v>28000</v>
      </c>
      <c r="I44" s="158">
        <f t="shared" si="1"/>
        <v>0</v>
      </c>
      <c r="J44" s="157">
        <v>15000</v>
      </c>
      <c r="K44" s="157">
        <f t="shared" si="2"/>
        <v>13000</v>
      </c>
      <c r="L44" s="159">
        <f t="shared" si="3"/>
        <v>1.8666666666666667</v>
      </c>
      <c r="M44" s="160">
        <f>IFERROR(G44/(CONSOL_CR!H7/1000),"")</f>
        <v>466.54225539856037</v>
      </c>
      <c r="N44" s="157"/>
      <c r="O44" s="159">
        <f>IFERROR(CONSOL_CR!H7/CONSOL_CR!K7,"")</f>
        <v>7.3452253465104186E-2</v>
      </c>
      <c r="P44" s="157" t="s">
        <v>2205</v>
      </c>
      <c r="Q44" s="157" t="s">
        <v>2206</v>
      </c>
      <c r="R44" s="157" t="s">
        <v>2207</v>
      </c>
      <c r="S44" s="142"/>
      <c r="T44" s="142"/>
    </row>
    <row r="45" spans="1:20" x14ac:dyDescent="0.2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</row>
    <row r="46" spans="1:20" x14ac:dyDescent="0.25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</row>
    <row r="47" spans="1:20" x14ac:dyDescent="0.25">
      <c r="A47" s="597" t="s">
        <v>2208</v>
      </c>
      <c r="B47" s="597"/>
      <c r="C47" s="597"/>
      <c r="D47" s="597"/>
      <c r="E47" s="597"/>
      <c r="F47" s="597"/>
      <c r="G47" s="597"/>
      <c r="H47" s="597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142"/>
      <c r="T47" s="142"/>
    </row>
    <row r="48" spans="1:20" x14ac:dyDescent="0.25">
      <c r="A48" s="145" t="s">
        <v>2187</v>
      </c>
      <c r="B48" s="145" t="s">
        <v>2209</v>
      </c>
      <c r="C48" s="145" t="s">
        <v>2210</v>
      </c>
      <c r="D48" s="145" t="s">
        <v>269</v>
      </c>
      <c r="E48" s="145" t="s">
        <v>2190</v>
      </c>
      <c r="F48" s="145" t="s">
        <v>2191</v>
      </c>
      <c r="G48" s="145" t="s">
        <v>2192</v>
      </c>
      <c r="H48" s="145" t="s">
        <v>2211</v>
      </c>
      <c r="I48" s="145" t="s">
        <v>2212</v>
      </c>
      <c r="J48" s="145" t="s">
        <v>2213</v>
      </c>
      <c r="K48" s="145" t="s">
        <v>2214</v>
      </c>
      <c r="L48" s="145" t="s">
        <v>2215</v>
      </c>
      <c r="M48" s="142"/>
      <c r="N48" s="142"/>
      <c r="O48" s="142"/>
      <c r="P48" s="142"/>
      <c r="Q48" s="142"/>
      <c r="R48" s="142"/>
      <c r="S48" s="142"/>
      <c r="T48" s="142"/>
    </row>
    <row r="49" spans="1:20" x14ac:dyDescent="0.25">
      <c r="A49" s="149" t="s">
        <v>2198</v>
      </c>
      <c r="B49" s="149">
        <f>G30+G33+G36+G39+G42</f>
        <v>74500</v>
      </c>
      <c r="C49" s="149">
        <v>116800</v>
      </c>
      <c r="D49" s="151">
        <f>IFERROR((B49-C49)/ABS(C49),"")</f>
        <v>-0.36215753424657532</v>
      </c>
      <c r="E49" s="149">
        <v>54000</v>
      </c>
      <c r="F49" s="149">
        <f>B49-E49</f>
        <v>20500</v>
      </c>
      <c r="G49" s="151">
        <f>IFERROR(B49/E49,"")</f>
        <v>1.3796296296296295</v>
      </c>
      <c r="H49" s="152">
        <f>IFERROR(B49/(CONSOL_CR!K7/1000),"")</f>
        <v>91.17890034574549</v>
      </c>
      <c r="I49" s="149">
        <v>145</v>
      </c>
      <c r="J49" s="161">
        <f>IFERROR(H49/I49,"")</f>
        <v>0.62882000238445168</v>
      </c>
      <c r="K49" s="151">
        <f>IFERROR(B49/SUM(B49:B51),"")</f>
        <v>0.1173228346456693</v>
      </c>
      <c r="L49" s="149" t="s">
        <v>2199</v>
      </c>
      <c r="M49" s="142"/>
      <c r="N49" s="142"/>
      <c r="O49" s="142"/>
      <c r="P49" s="142"/>
      <c r="Q49" s="142"/>
      <c r="R49" s="142"/>
      <c r="S49" s="142"/>
      <c r="T49" s="142"/>
    </row>
    <row r="50" spans="1:20" x14ac:dyDescent="0.25">
      <c r="A50" s="153" t="s">
        <v>2202</v>
      </c>
      <c r="B50" s="153">
        <f>G31+G34+G37+G40+G43</f>
        <v>48500</v>
      </c>
      <c r="C50" s="153">
        <v>51200</v>
      </c>
      <c r="D50" s="155">
        <f>IFERROR((B50-C50)/ABS(C50),"")</f>
        <v>-5.2734375E-2</v>
      </c>
      <c r="E50" s="153">
        <v>27500</v>
      </c>
      <c r="F50" s="153">
        <f>B50-E50</f>
        <v>21000</v>
      </c>
      <c r="G50" s="155">
        <f>IFERROR(B50/E50,"")</f>
        <v>1.7636363636363637</v>
      </c>
      <c r="H50" s="156">
        <f>IFERROR(B50/(CONSOL_CR!K7/1000),"")</f>
        <v>59.358076064008806</v>
      </c>
      <c r="I50" s="153">
        <v>82</v>
      </c>
      <c r="J50" s="162">
        <f>IFERROR(H50/I50,"")</f>
        <v>0.72387897639035126</v>
      </c>
      <c r="K50" s="155">
        <f>IFERROR(B50/SUM(B49:B51),"")</f>
        <v>7.6377952755905518E-2</v>
      </c>
      <c r="L50" s="153" t="s">
        <v>2203</v>
      </c>
      <c r="M50" s="142"/>
      <c r="N50" s="142"/>
      <c r="O50" s="142"/>
      <c r="P50" s="142"/>
      <c r="Q50" s="142"/>
      <c r="R50" s="142"/>
      <c r="S50" s="142"/>
      <c r="T50" s="142"/>
    </row>
    <row r="51" spans="1:20" x14ac:dyDescent="0.25">
      <c r="A51" s="157" t="s">
        <v>2204</v>
      </c>
      <c r="B51" s="157">
        <f>G32+G35+G38+G41+G44</f>
        <v>512000</v>
      </c>
      <c r="C51" s="157">
        <v>538000</v>
      </c>
      <c r="D51" s="159">
        <f>IFERROR((B51-C51)/ABS(C51),"")</f>
        <v>-4.8327137546468404E-2</v>
      </c>
      <c r="E51" s="157">
        <v>300000</v>
      </c>
      <c r="F51" s="157">
        <f>B51-E51</f>
        <v>212000</v>
      </c>
      <c r="G51" s="159">
        <f>IFERROR(B51/E51,"")</f>
        <v>1.7066666666666668</v>
      </c>
      <c r="H51" s="160">
        <f>IFERROR(B51/(CONSOL_CR!K7/1000),"")</f>
        <v>626.62546277881461</v>
      </c>
      <c r="I51" s="157">
        <v>680</v>
      </c>
      <c r="J51" s="163">
        <f>IFERROR(H51/I51,"")</f>
        <v>0.92150803349825683</v>
      </c>
      <c r="K51" s="159">
        <f>IFERROR(B51/SUM(B49:B51),"")</f>
        <v>0.80629921259842519</v>
      </c>
      <c r="L51" s="157" t="s">
        <v>2205</v>
      </c>
      <c r="M51" s="142"/>
      <c r="N51" s="142"/>
      <c r="O51" s="142"/>
      <c r="P51" s="142"/>
      <c r="Q51" s="142"/>
      <c r="R51" s="142"/>
      <c r="S51" s="142"/>
      <c r="T51" s="142"/>
    </row>
    <row r="52" spans="1:20" x14ac:dyDescent="0.25">
      <c r="A52" s="145" t="s">
        <v>2216</v>
      </c>
      <c r="B52" s="145">
        <f>SUM(B49:B51)</f>
        <v>635000</v>
      </c>
      <c r="C52" s="145">
        <v>706000</v>
      </c>
      <c r="D52" s="165">
        <f>IFERROR((B52-C52)/ABS(C52),"")</f>
        <v>-0.10056657223796034</v>
      </c>
      <c r="E52" s="145">
        <v>381500</v>
      </c>
      <c r="F52" s="145">
        <f>B52-E52</f>
        <v>253500</v>
      </c>
      <c r="G52" s="165">
        <f>IFERROR(B52/E52,"")</f>
        <v>1.6644823066841417</v>
      </c>
      <c r="H52" s="166">
        <f>IFERROR(B52/(CONSOL_CR!K7/1000),"")</f>
        <v>777.1624391885689</v>
      </c>
      <c r="I52" s="145"/>
      <c r="J52" s="145"/>
      <c r="K52" s="145"/>
      <c r="L52" s="145"/>
      <c r="M52" s="142"/>
      <c r="N52" s="142"/>
      <c r="O52" s="142"/>
      <c r="P52" s="142"/>
      <c r="Q52" s="142"/>
      <c r="R52" s="142"/>
      <c r="S52" s="142"/>
      <c r="T52" s="142"/>
    </row>
    <row r="53" spans="1:20" x14ac:dyDescent="0.25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</row>
    <row r="54" spans="1:20" x14ac:dyDescent="0.25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</row>
    <row r="55" spans="1:20" x14ac:dyDescent="0.25">
      <c r="A55" s="597" t="s">
        <v>2217</v>
      </c>
      <c r="B55" s="597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142"/>
      <c r="N55" s="142"/>
      <c r="O55" s="142"/>
      <c r="P55" s="142"/>
      <c r="Q55" s="142"/>
      <c r="R55" s="142"/>
      <c r="S55" s="142"/>
      <c r="T55" s="142"/>
    </row>
    <row r="56" spans="1:20" x14ac:dyDescent="0.25">
      <c r="A56" s="143" t="s">
        <v>2218</v>
      </c>
      <c r="B56" s="167">
        <v>35</v>
      </c>
      <c r="C56" s="594" t="s">
        <v>2219</v>
      </c>
      <c r="D56" s="594"/>
      <c r="E56" s="594"/>
      <c r="F56" s="594"/>
      <c r="G56" s="594"/>
      <c r="H56" s="594"/>
      <c r="I56" s="594"/>
      <c r="J56" s="594"/>
      <c r="K56" s="142"/>
      <c r="L56" s="142"/>
      <c r="M56" s="142"/>
      <c r="N56" s="142"/>
      <c r="O56" s="142"/>
      <c r="P56" s="142"/>
      <c r="Q56" s="142"/>
      <c r="R56" s="142"/>
      <c r="S56" s="142"/>
      <c r="T56" s="142"/>
    </row>
    <row r="57" spans="1:20" x14ac:dyDescent="0.25">
      <c r="A57" s="14" t="s">
        <v>70</v>
      </c>
      <c r="B57" s="14" t="s">
        <v>831</v>
      </c>
      <c r="C57" s="14" t="s">
        <v>2220</v>
      </c>
      <c r="D57" s="14" t="s">
        <v>2221</v>
      </c>
      <c r="E57" s="14" t="s">
        <v>2222</v>
      </c>
      <c r="F57" s="14" t="s">
        <v>2223</v>
      </c>
      <c r="G57" s="14" t="s">
        <v>2224</v>
      </c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</row>
    <row r="58" spans="1:20" x14ac:dyDescent="0.25">
      <c r="A58" s="98" t="s">
        <v>26</v>
      </c>
      <c r="B58" s="98">
        <f>G30+G31</f>
        <v>21300</v>
      </c>
      <c r="C58" s="98">
        <f>G32</f>
        <v>85000</v>
      </c>
      <c r="D58" s="98">
        <f>B58+C58</f>
        <v>106300</v>
      </c>
      <c r="E58" s="98">
        <f>ROUND(B58*B56/1000,1)</f>
        <v>745.5</v>
      </c>
      <c r="F58" s="98">
        <f>ROUND(C58*B56/1000,1)</f>
        <v>2975</v>
      </c>
      <c r="G58" s="98">
        <f>E58+F58</f>
        <v>3720.5</v>
      </c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</row>
    <row r="59" spans="1:20" x14ac:dyDescent="0.25">
      <c r="A59" s="21" t="s">
        <v>31</v>
      </c>
      <c r="B59" s="21">
        <f>G33+G34</f>
        <v>45200</v>
      </c>
      <c r="C59" s="21">
        <f>G35</f>
        <v>142000</v>
      </c>
      <c r="D59" s="21">
        <f>B59+C59</f>
        <v>187200</v>
      </c>
      <c r="E59" s="21">
        <f>ROUND(B59*B56/1000,1)</f>
        <v>1582</v>
      </c>
      <c r="F59" s="21">
        <f>ROUND(C59*B56/1000,1)</f>
        <v>4970</v>
      </c>
      <c r="G59" s="21">
        <f>E59+F59</f>
        <v>6552</v>
      </c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</row>
    <row r="60" spans="1:20" x14ac:dyDescent="0.25">
      <c r="A60" s="98" t="s">
        <v>33</v>
      </c>
      <c r="B60" s="98">
        <f>G36+G37</f>
        <v>14300</v>
      </c>
      <c r="C60" s="98">
        <f>G38</f>
        <v>62000</v>
      </c>
      <c r="D60" s="98">
        <f>B60+C60</f>
        <v>76300</v>
      </c>
      <c r="E60" s="98">
        <f>ROUND(B60*B56/1000,1)</f>
        <v>500.5</v>
      </c>
      <c r="F60" s="98">
        <f>ROUND(C60*B56/1000,1)</f>
        <v>2170</v>
      </c>
      <c r="G60" s="98">
        <f>E60+F60</f>
        <v>2670.5</v>
      </c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</row>
    <row r="61" spans="1:20" x14ac:dyDescent="0.25">
      <c r="A61" s="21" t="s">
        <v>35</v>
      </c>
      <c r="B61" s="21">
        <f>G39+G40</f>
        <v>33000</v>
      </c>
      <c r="C61" s="21">
        <f>G41</f>
        <v>195000</v>
      </c>
      <c r="D61" s="21">
        <f>B61+C61</f>
        <v>228000</v>
      </c>
      <c r="E61" s="21">
        <f>ROUND(B61*B56/1000,1)</f>
        <v>1155</v>
      </c>
      <c r="F61" s="21">
        <f>ROUND(C61*B56/1000,1)</f>
        <v>6825</v>
      </c>
      <c r="G61" s="21">
        <f>E61+F61</f>
        <v>7980</v>
      </c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</row>
    <row r="62" spans="1:20" x14ac:dyDescent="0.25">
      <c r="A62" s="98" t="s">
        <v>37</v>
      </c>
      <c r="B62" s="98">
        <f>G42+G43</f>
        <v>9200</v>
      </c>
      <c r="C62" s="98">
        <f>G44</f>
        <v>28000</v>
      </c>
      <c r="D62" s="98">
        <f>B62+C62</f>
        <v>37200</v>
      </c>
      <c r="E62" s="98">
        <f>ROUND(B62*B56/1000,1)</f>
        <v>322</v>
      </c>
      <c r="F62" s="98">
        <f>ROUND(C62*B56/1000,1)</f>
        <v>980</v>
      </c>
      <c r="G62" s="98">
        <f>E62+F62</f>
        <v>1302</v>
      </c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</row>
    <row r="63" spans="1:20" x14ac:dyDescent="0.25">
      <c r="A63" s="122" t="s">
        <v>640</v>
      </c>
      <c r="B63" s="122">
        <f t="shared" ref="B63:G63" si="4">SUM(B58:B62)</f>
        <v>123000</v>
      </c>
      <c r="C63" s="122">
        <f t="shared" si="4"/>
        <v>512000</v>
      </c>
      <c r="D63" s="122">
        <f t="shared" si="4"/>
        <v>635000</v>
      </c>
      <c r="E63" s="122">
        <f t="shared" si="4"/>
        <v>4305</v>
      </c>
      <c r="F63" s="122">
        <f t="shared" si="4"/>
        <v>17920</v>
      </c>
      <c r="G63" s="122">
        <f t="shared" si="4"/>
        <v>22225</v>
      </c>
      <c r="H63" s="164">
        <f>IFERROR(G63/(CONSOL_CR!K14/1000),"")</f>
        <v>144.50773091977788</v>
      </c>
      <c r="I63" s="594" t="s">
        <v>2225</v>
      </c>
      <c r="J63" s="594"/>
      <c r="K63" s="594"/>
      <c r="L63" s="594"/>
      <c r="M63" s="142"/>
      <c r="N63" s="142"/>
      <c r="O63" s="142"/>
      <c r="P63" s="142"/>
      <c r="Q63" s="142"/>
      <c r="R63" s="142"/>
      <c r="S63" s="142"/>
      <c r="T63" s="142"/>
    </row>
    <row r="64" spans="1:20" x14ac:dyDescent="0.25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</row>
    <row r="65" spans="1:20" x14ac:dyDescent="0.2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</row>
    <row r="66" spans="1:20" x14ac:dyDescent="0.25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</row>
    <row r="67" spans="1:20" x14ac:dyDescent="0.25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</row>
    <row r="68" spans="1:20" x14ac:dyDescent="0.25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</row>
    <row r="69" spans="1:20" x14ac:dyDescent="0.25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</row>
    <row r="70" spans="1:20" x14ac:dyDescent="0.2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</row>
    <row r="71" spans="1:20" x14ac:dyDescent="0.2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</row>
    <row r="72" spans="1:20" x14ac:dyDescent="0.2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</row>
    <row r="73" spans="1:20" x14ac:dyDescent="0.2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</row>
    <row r="74" spans="1:20" x14ac:dyDescent="0.2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</row>
    <row r="75" spans="1:20" x14ac:dyDescent="0.2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</row>
    <row r="76" spans="1:20" x14ac:dyDescent="0.2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</row>
    <row r="77" spans="1:20" x14ac:dyDescent="0.25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</row>
    <row r="78" spans="1:20" x14ac:dyDescent="0.25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</row>
    <row r="79" spans="1:20" x14ac:dyDescent="0.25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</row>
    <row r="80" spans="1:20" x14ac:dyDescent="0.25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</row>
    <row r="81" spans="1:20" x14ac:dyDescent="0.25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</row>
    <row r="82" spans="1:20" x14ac:dyDescent="0.25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</row>
    <row r="83" spans="1:20" x14ac:dyDescent="0.25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</row>
    <row r="84" spans="1:20" x14ac:dyDescent="0.25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</row>
    <row r="85" spans="1:20" x14ac:dyDescent="0.2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</row>
    <row r="86" spans="1:20" x14ac:dyDescent="0.25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</row>
    <row r="87" spans="1:20" x14ac:dyDescent="0.25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</row>
    <row r="88" spans="1:20" x14ac:dyDescent="0.25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</row>
    <row r="89" spans="1:20" x14ac:dyDescent="0.25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</row>
    <row r="90" spans="1:20" x14ac:dyDescent="0.25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</row>
    <row r="91" spans="1:20" x14ac:dyDescent="0.25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</row>
    <row r="92" spans="1:20" x14ac:dyDescent="0.25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</row>
    <row r="93" spans="1:20" x14ac:dyDescent="0.25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</row>
    <row r="94" spans="1:20" x14ac:dyDescent="0.25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</row>
    <row r="95" spans="1:20" x14ac:dyDescent="0.2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</row>
    <row r="96" spans="1:20" x14ac:dyDescent="0.25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</row>
    <row r="97" spans="1:20" x14ac:dyDescent="0.25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</row>
    <row r="98" spans="1:20" x14ac:dyDescent="0.25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</row>
    <row r="99" spans="1:20" x14ac:dyDescent="0.25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</row>
    <row r="100" spans="1:20" x14ac:dyDescent="0.25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</row>
    <row r="101" spans="1:20" x14ac:dyDescent="0.25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</row>
    <row r="102" spans="1:20" x14ac:dyDescent="0.25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</row>
    <row r="103" spans="1:20" x14ac:dyDescent="0.25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</row>
    <row r="104" spans="1:20" x14ac:dyDescent="0.25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</row>
    <row r="105" spans="1:20" x14ac:dyDescent="0.2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</row>
    <row r="106" spans="1:20" x14ac:dyDescent="0.25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</row>
    <row r="107" spans="1:20" x14ac:dyDescent="0.25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</row>
    <row r="108" spans="1:20" x14ac:dyDescent="0.25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</row>
    <row r="109" spans="1:20" x14ac:dyDescent="0.25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</row>
    <row r="110" spans="1:20" x14ac:dyDescent="0.25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</row>
    <row r="111" spans="1:20" x14ac:dyDescent="0.25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</row>
    <row r="112" spans="1:20" x14ac:dyDescent="0.25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</row>
    <row r="113" spans="1:20" x14ac:dyDescent="0.25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</row>
    <row r="114" spans="1:20" x14ac:dyDescent="0.25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</row>
    <row r="115" spans="1:20" x14ac:dyDescent="0.2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</row>
    <row r="116" spans="1:20" x14ac:dyDescent="0.25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</row>
    <row r="117" spans="1:20" x14ac:dyDescent="0.25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</row>
    <row r="118" spans="1:20" x14ac:dyDescent="0.25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</row>
    <row r="119" spans="1:20" x14ac:dyDescent="0.25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</row>
    <row r="120" spans="1:20" x14ac:dyDescent="0.25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</row>
  </sheetData>
  <mergeCells count="8">
    <mergeCell ref="C56:J56"/>
    <mergeCell ref="I63:L63"/>
    <mergeCell ref="A1:S1"/>
    <mergeCell ref="A2:S2"/>
    <mergeCell ref="A4:R4"/>
    <mergeCell ref="A28:R28"/>
    <mergeCell ref="A47:R47"/>
    <mergeCell ref="A55:L5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9BC0-BE30-493F-B806-7AD025C28B7A}">
  <sheetPr>
    <tabColor rgb="FF1B5E20"/>
  </sheetPr>
  <dimension ref="A1:T100"/>
  <sheetViews>
    <sheetView topLeftCell="A12" workbookViewId="0">
      <selection activeCell="D49" sqref="D49"/>
    </sheetView>
  </sheetViews>
  <sheetFormatPr baseColWidth="10" defaultRowHeight="15" x14ac:dyDescent="0.25"/>
  <cols>
    <col min="1" max="1" width="46.7109375" customWidth="1"/>
    <col min="2" max="2" width="21.28515625" customWidth="1"/>
    <col min="3" max="3" width="18.7109375" customWidth="1"/>
    <col min="4" max="4" width="50.7109375" customWidth="1"/>
    <col min="5" max="5" width="16" customWidth="1"/>
    <col min="6" max="6" width="18.7109375" customWidth="1"/>
    <col min="7" max="7" width="16" customWidth="1"/>
    <col min="8" max="8" width="18.7109375" customWidth="1"/>
    <col min="9" max="9" width="21.28515625" customWidth="1"/>
    <col min="10" max="10" width="16" customWidth="1"/>
    <col min="11" max="11" width="21.28515625" customWidth="1"/>
    <col min="12" max="12" width="16" customWidth="1"/>
    <col min="13" max="15" width="18.7109375" customWidth="1"/>
  </cols>
  <sheetData>
    <row r="1" spans="1:20" ht="17.25" x14ac:dyDescent="0.3">
      <c r="A1" s="598" t="s">
        <v>2226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168"/>
    </row>
    <row r="2" spans="1:20" x14ac:dyDescent="0.2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</row>
    <row r="3" spans="1:20" x14ac:dyDescent="0.25">
      <c r="A3" s="599" t="s">
        <v>2227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  <c r="S3" s="599"/>
      <c r="T3" s="168"/>
    </row>
    <row r="4" spans="1:20" x14ac:dyDescent="0.25">
      <c r="A4" s="170" t="s">
        <v>70</v>
      </c>
      <c r="B4" s="170" t="s">
        <v>2228</v>
      </c>
      <c r="C4" s="170" t="s">
        <v>2229</v>
      </c>
      <c r="D4" s="170" t="s">
        <v>2230</v>
      </c>
      <c r="E4" s="170" t="s">
        <v>2231</v>
      </c>
      <c r="F4" s="170" t="s">
        <v>2232</v>
      </c>
      <c r="G4" s="170" t="s">
        <v>2233</v>
      </c>
      <c r="H4" s="170" t="s">
        <v>2234</v>
      </c>
      <c r="I4" s="170" t="s">
        <v>2235</v>
      </c>
      <c r="J4" s="170" t="s">
        <v>2236</v>
      </c>
      <c r="K4" s="170" t="s">
        <v>2191</v>
      </c>
      <c r="L4" s="170" t="s">
        <v>2237</v>
      </c>
      <c r="M4" s="170" t="s">
        <v>2238</v>
      </c>
      <c r="N4" s="170" t="s">
        <v>2239</v>
      </c>
      <c r="O4" s="170" t="s">
        <v>2240</v>
      </c>
      <c r="P4" s="168"/>
      <c r="Q4" s="168"/>
      <c r="R4" s="168"/>
      <c r="S4" s="168"/>
      <c r="T4" s="168"/>
    </row>
    <row r="5" spans="1:20" x14ac:dyDescent="0.25">
      <c r="A5" s="96" t="s">
        <v>26</v>
      </c>
      <c r="B5" s="96">
        <v>1850</v>
      </c>
      <c r="C5" s="96">
        <v>1683</v>
      </c>
      <c r="D5" s="171">
        <f>IFERROR(C5/B5,"")</f>
        <v>0.90972972972972976</v>
      </c>
      <c r="E5" s="96">
        <v>795</v>
      </c>
      <c r="F5" s="171">
        <f t="shared" ref="F5:F10" si="0">IFERROR(E5/B5,"")</f>
        <v>0.42972972972972973</v>
      </c>
      <c r="G5" s="96">
        <v>85</v>
      </c>
      <c r="H5" s="96">
        <v>32</v>
      </c>
      <c r="I5" s="171">
        <f t="shared" ref="I5:I10" si="1">IFERROR(H5/G5,"")</f>
        <v>0.37647058823529411</v>
      </c>
      <c r="J5" s="171">
        <v>0.45</v>
      </c>
      <c r="K5" s="171">
        <f>I5-J5</f>
        <v>-7.3529411764705899E-2</v>
      </c>
      <c r="L5" s="96">
        <v>245</v>
      </c>
      <c r="M5" s="171">
        <f t="shared" ref="M5:M10" si="2">IFERROR(L5/B5,"")</f>
        <v>0.13243243243243244</v>
      </c>
      <c r="N5" s="96">
        <v>43.2</v>
      </c>
      <c r="O5" s="96" t="s">
        <v>2241</v>
      </c>
      <c r="P5" s="168"/>
      <c r="Q5" s="168"/>
      <c r="R5" s="168"/>
      <c r="S5" s="168"/>
      <c r="T5" s="168"/>
    </row>
    <row r="6" spans="1:20" x14ac:dyDescent="0.25">
      <c r="A6" s="21" t="s">
        <v>31</v>
      </c>
      <c r="B6" s="21">
        <v>2640</v>
      </c>
      <c r="C6" s="21">
        <v>2323</v>
      </c>
      <c r="D6" s="30">
        <f>IFERROR(C6/B6,"")</f>
        <v>0.87992424242424239</v>
      </c>
      <c r="E6" s="21">
        <v>950</v>
      </c>
      <c r="F6" s="30">
        <f t="shared" si="0"/>
        <v>0.35984848484848486</v>
      </c>
      <c r="G6" s="21">
        <v>120</v>
      </c>
      <c r="H6" s="21">
        <v>34</v>
      </c>
      <c r="I6" s="30">
        <f t="shared" si="1"/>
        <v>0.28333333333333333</v>
      </c>
      <c r="J6" s="30">
        <v>0.4</v>
      </c>
      <c r="K6" s="30">
        <f>I6-J6</f>
        <v>-0.1166666666666667</v>
      </c>
      <c r="L6" s="21">
        <v>310</v>
      </c>
      <c r="M6" s="30">
        <f t="shared" si="2"/>
        <v>0.11742424242424243</v>
      </c>
      <c r="N6" s="21">
        <v>41.8</v>
      </c>
      <c r="O6" s="21" t="s">
        <v>2241</v>
      </c>
      <c r="P6" s="168"/>
      <c r="Q6" s="168"/>
      <c r="R6" s="168"/>
      <c r="S6" s="168"/>
      <c r="T6" s="168"/>
    </row>
    <row r="7" spans="1:20" x14ac:dyDescent="0.25">
      <c r="A7" s="96" t="s">
        <v>33</v>
      </c>
      <c r="B7" s="96">
        <v>980</v>
      </c>
      <c r="C7" s="96">
        <v>833</v>
      </c>
      <c r="D7" s="171">
        <f>IFERROR(C7/B7,"")</f>
        <v>0.85</v>
      </c>
      <c r="E7" s="96">
        <v>470</v>
      </c>
      <c r="F7" s="171">
        <f t="shared" si="0"/>
        <v>0.47959183673469385</v>
      </c>
      <c r="G7" s="96">
        <v>62</v>
      </c>
      <c r="H7" s="96">
        <v>26</v>
      </c>
      <c r="I7" s="171">
        <f t="shared" si="1"/>
        <v>0.41935483870967744</v>
      </c>
      <c r="J7" s="171">
        <v>0.45</v>
      </c>
      <c r="K7" s="171">
        <f>I7-J7</f>
        <v>-3.0645161290322576E-2</v>
      </c>
      <c r="L7" s="96">
        <v>142</v>
      </c>
      <c r="M7" s="171">
        <f t="shared" si="2"/>
        <v>0.14489795918367346</v>
      </c>
      <c r="N7" s="96">
        <v>38.6</v>
      </c>
      <c r="O7" s="96" t="s">
        <v>2241</v>
      </c>
      <c r="P7" s="168"/>
      <c r="Q7" s="168"/>
      <c r="R7" s="168"/>
      <c r="S7" s="168"/>
      <c r="T7" s="168"/>
    </row>
    <row r="8" spans="1:20" x14ac:dyDescent="0.25">
      <c r="A8" s="21" t="s">
        <v>35</v>
      </c>
      <c r="B8" s="21">
        <v>1420</v>
      </c>
      <c r="C8" s="21">
        <v>1123</v>
      </c>
      <c r="D8" s="30">
        <f>IFERROR(C8/B8,"")</f>
        <v>0.79084507042253516</v>
      </c>
      <c r="E8" s="21">
        <v>625</v>
      </c>
      <c r="F8" s="30">
        <f t="shared" si="0"/>
        <v>0.44014084507042256</v>
      </c>
      <c r="G8" s="21">
        <v>78</v>
      </c>
      <c r="H8" s="21">
        <v>28</v>
      </c>
      <c r="I8" s="30">
        <f t="shared" si="1"/>
        <v>0.35897435897435898</v>
      </c>
      <c r="J8" s="30">
        <v>0.4</v>
      </c>
      <c r="K8" s="30">
        <f>I8-J8</f>
        <v>-4.1025641025641046E-2</v>
      </c>
      <c r="L8" s="21">
        <v>198</v>
      </c>
      <c r="M8" s="30">
        <f t="shared" si="2"/>
        <v>0.13943661971830987</v>
      </c>
      <c r="N8" s="21">
        <v>37.4</v>
      </c>
      <c r="O8" s="21" t="s">
        <v>2241</v>
      </c>
      <c r="P8" s="168"/>
      <c r="Q8" s="168"/>
      <c r="R8" s="168"/>
      <c r="S8" s="168"/>
      <c r="T8" s="168"/>
    </row>
    <row r="9" spans="1:20" x14ac:dyDescent="0.25">
      <c r="A9" s="96" t="s">
        <v>37</v>
      </c>
      <c r="B9" s="96">
        <v>380</v>
      </c>
      <c r="C9" s="96">
        <v>357</v>
      </c>
      <c r="D9" s="171">
        <f>IFERROR(C9/B9,"")</f>
        <v>0.93947368421052635</v>
      </c>
      <c r="E9" s="96">
        <v>198</v>
      </c>
      <c r="F9" s="171">
        <f t="shared" si="0"/>
        <v>0.52105263157894732</v>
      </c>
      <c r="G9" s="96">
        <v>28</v>
      </c>
      <c r="H9" s="96">
        <v>13</v>
      </c>
      <c r="I9" s="171">
        <f t="shared" si="1"/>
        <v>0.4642857142857143</v>
      </c>
      <c r="J9" s="171">
        <v>0.45</v>
      </c>
      <c r="K9" s="171">
        <f>I9-J9</f>
        <v>1.428571428571429E-2</v>
      </c>
      <c r="L9" s="96">
        <v>58</v>
      </c>
      <c r="M9" s="171">
        <f t="shared" si="2"/>
        <v>0.15263157894736842</v>
      </c>
      <c r="N9" s="96">
        <v>34.799999999999997</v>
      </c>
      <c r="O9" s="96" t="s">
        <v>2241</v>
      </c>
      <c r="P9" s="168"/>
      <c r="Q9" s="168"/>
      <c r="R9" s="168"/>
      <c r="S9" s="168"/>
      <c r="T9" s="168"/>
    </row>
    <row r="10" spans="1:20" x14ac:dyDescent="0.25">
      <c r="A10" s="169" t="s">
        <v>640</v>
      </c>
      <c r="B10" s="169">
        <f>SUM(B5:B9)</f>
        <v>7270</v>
      </c>
      <c r="C10" s="169">
        <f>SUM(C5:C9)</f>
        <v>6319</v>
      </c>
      <c r="D10" s="169"/>
      <c r="E10" s="169">
        <f>SUM(E5:E9)</f>
        <v>3038</v>
      </c>
      <c r="F10" s="172">
        <f t="shared" si="0"/>
        <v>0.41788170563961485</v>
      </c>
      <c r="G10" s="169">
        <f>SUM(G5:G9)</f>
        <v>373</v>
      </c>
      <c r="H10" s="169">
        <f>SUM(H5:H9)</f>
        <v>133</v>
      </c>
      <c r="I10" s="172">
        <f t="shared" si="1"/>
        <v>0.35656836461126007</v>
      </c>
      <c r="J10" s="169"/>
      <c r="K10" s="169"/>
      <c r="L10" s="169">
        <f>SUM(L5:L9)</f>
        <v>953</v>
      </c>
      <c r="M10" s="172">
        <f t="shared" si="2"/>
        <v>0.1310866574965612</v>
      </c>
      <c r="N10" s="169"/>
      <c r="O10" s="169"/>
      <c r="P10" s="168"/>
      <c r="Q10" s="168"/>
      <c r="R10" s="168"/>
      <c r="S10" s="168"/>
      <c r="T10" s="168"/>
    </row>
    <row r="11" spans="1:20" x14ac:dyDescent="0.25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</row>
    <row r="12" spans="1:20" x14ac:dyDescent="0.25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</row>
    <row r="13" spans="1:20" x14ac:dyDescent="0.25">
      <c r="A13" s="599" t="s">
        <v>2242</v>
      </c>
      <c r="B13" s="599"/>
      <c r="C13" s="599"/>
      <c r="D13" s="599"/>
      <c r="E13" s="599"/>
      <c r="F13" s="599"/>
      <c r="G13" s="599"/>
      <c r="H13" s="599"/>
      <c r="I13" s="599"/>
      <c r="J13" s="599"/>
      <c r="K13" s="599"/>
      <c r="L13" s="168"/>
      <c r="M13" s="168"/>
      <c r="N13" s="168"/>
      <c r="O13" s="168"/>
      <c r="P13" s="168"/>
      <c r="Q13" s="168"/>
      <c r="R13" s="168"/>
      <c r="S13" s="168"/>
      <c r="T13" s="168"/>
    </row>
    <row r="14" spans="1:20" x14ac:dyDescent="0.25">
      <c r="A14" s="170" t="s">
        <v>70</v>
      </c>
      <c r="B14" s="170" t="s">
        <v>72</v>
      </c>
      <c r="C14" s="170" t="s">
        <v>2243</v>
      </c>
      <c r="D14" s="170" t="s">
        <v>2244</v>
      </c>
      <c r="E14" s="170" t="s">
        <v>2245</v>
      </c>
      <c r="F14" s="170" t="s">
        <v>2246</v>
      </c>
      <c r="G14" s="170" t="s">
        <v>378</v>
      </c>
      <c r="H14" s="170" t="s">
        <v>2247</v>
      </c>
      <c r="I14" s="170" t="s">
        <v>2248</v>
      </c>
      <c r="J14" s="170" t="s">
        <v>2249</v>
      </c>
      <c r="K14" s="170" t="s">
        <v>2240</v>
      </c>
      <c r="L14" s="168"/>
      <c r="M14" s="168"/>
      <c r="N14" s="168"/>
      <c r="O14" s="168"/>
      <c r="P14" s="168"/>
      <c r="Q14" s="168"/>
      <c r="R14" s="168"/>
      <c r="S14" s="168"/>
      <c r="T14" s="168"/>
    </row>
    <row r="15" spans="1:20" x14ac:dyDescent="0.25">
      <c r="A15" s="96" t="s">
        <v>26</v>
      </c>
      <c r="B15" s="96" t="s">
        <v>77</v>
      </c>
      <c r="C15" s="96">
        <v>48200</v>
      </c>
      <c r="D15" s="96">
        <v>55100</v>
      </c>
      <c r="E15" s="171">
        <f>IFERROR((C15-D15)/D15,"")</f>
        <v>-0.12522686025408347</v>
      </c>
      <c r="F15" s="171">
        <v>-0.08</v>
      </c>
      <c r="G15" s="96" t="str">
        <f>IF(E15&gt;=F15,"✅ Atteint","⚠️ Sous objectif")</f>
        <v>⚠️ Sous objectif</v>
      </c>
      <c r="H15" s="96">
        <v>285000</v>
      </c>
      <c r="I15" s="96">
        <v>52400</v>
      </c>
      <c r="J15" s="173">
        <f>IFERROR(H15/I15,"")</f>
        <v>5.4389312977099236</v>
      </c>
      <c r="K15" s="96" t="s">
        <v>677</v>
      </c>
      <c r="L15" s="168"/>
      <c r="M15" s="168"/>
      <c r="N15" s="168"/>
      <c r="O15" s="168"/>
      <c r="P15" s="168"/>
      <c r="Q15" s="168"/>
      <c r="R15" s="168"/>
      <c r="S15" s="168"/>
      <c r="T15" s="168"/>
    </row>
    <row r="16" spans="1:20" x14ac:dyDescent="0.25">
      <c r="A16" s="21" t="s">
        <v>31</v>
      </c>
      <c r="B16" s="21" t="s">
        <v>77</v>
      </c>
      <c r="C16" s="21">
        <v>44800</v>
      </c>
      <c r="D16" s="21">
        <v>52600</v>
      </c>
      <c r="E16" s="30">
        <f>IFERROR((C16-D16)/D16,"")</f>
        <v>-0.14828897338403041</v>
      </c>
      <c r="F16" s="30">
        <v>-0.08</v>
      </c>
      <c r="G16" s="21" t="str">
        <f>IF(E16&gt;=F16,"✅ Atteint","⚠️ Sous objectif")</f>
        <v>⚠️ Sous objectif</v>
      </c>
      <c r="H16" s="21">
        <v>320000</v>
      </c>
      <c r="I16" s="21">
        <v>48200</v>
      </c>
      <c r="J16" s="174">
        <f>IFERROR(H16/I16,"")</f>
        <v>6.6390041493775938</v>
      </c>
      <c r="K16" s="21" t="s">
        <v>677</v>
      </c>
      <c r="L16" s="168"/>
      <c r="M16" s="168"/>
      <c r="N16" s="168"/>
      <c r="O16" s="168"/>
      <c r="P16" s="168"/>
      <c r="Q16" s="168"/>
      <c r="R16" s="168"/>
      <c r="S16" s="168"/>
      <c r="T16" s="168"/>
    </row>
    <row r="17" spans="1:20" x14ac:dyDescent="0.25">
      <c r="A17" s="96" t="s">
        <v>33</v>
      </c>
      <c r="B17" s="96" t="s">
        <v>82</v>
      </c>
      <c r="C17" s="96">
        <v>58200</v>
      </c>
      <c r="D17" s="96">
        <v>63100</v>
      </c>
      <c r="E17" s="171">
        <f>IFERROR((C17-D17)/D17,"")</f>
        <v>-7.7654516640253565E-2</v>
      </c>
      <c r="F17" s="171">
        <v>-0.08</v>
      </c>
      <c r="G17" s="96" t="str">
        <f>IF(E17&gt;=F17,"✅ Atteint","⚠️ Sous objectif")</f>
        <v>✅ Atteint</v>
      </c>
      <c r="H17" s="96">
        <v>410000</v>
      </c>
      <c r="I17" s="96">
        <v>60400</v>
      </c>
      <c r="J17" s="173">
        <f>IFERROR(H17/I17,"")</f>
        <v>6.7880794701986753</v>
      </c>
      <c r="K17" s="96" t="s">
        <v>677</v>
      </c>
      <c r="L17" s="168"/>
      <c r="M17" s="168"/>
      <c r="N17" s="168"/>
      <c r="O17" s="168"/>
      <c r="P17" s="168"/>
      <c r="Q17" s="168"/>
      <c r="R17" s="168"/>
      <c r="S17" s="168"/>
      <c r="T17" s="168"/>
    </row>
    <row r="18" spans="1:20" x14ac:dyDescent="0.25">
      <c r="A18" s="21" t="s">
        <v>35</v>
      </c>
      <c r="B18" s="21" t="s">
        <v>84</v>
      </c>
      <c r="C18" s="21">
        <v>62400</v>
      </c>
      <c r="D18" s="21">
        <v>76200</v>
      </c>
      <c r="E18" s="30">
        <f>IFERROR((C18-D18)/D18,"")</f>
        <v>-0.18110236220472442</v>
      </c>
      <c r="F18" s="30">
        <v>-0.08</v>
      </c>
      <c r="G18" s="21" t="str">
        <f>IF(E18&gt;=F18,"✅ Atteint","⚠️ Sous objectif")</f>
        <v>⚠️ Sous objectif</v>
      </c>
      <c r="H18" s="21">
        <v>520000</v>
      </c>
      <c r="I18" s="21">
        <v>71200</v>
      </c>
      <c r="J18" s="174">
        <f>IFERROR(H18/I18,"")</f>
        <v>7.3033707865168536</v>
      </c>
      <c r="K18" s="21" t="s">
        <v>677</v>
      </c>
      <c r="L18" s="168"/>
      <c r="M18" s="168"/>
      <c r="N18" s="168"/>
      <c r="O18" s="168"/>
      <c r="P18" s="168"/>
      <c r="Q18" s="168"/>
      <c r="R18" s="168"/>
      <c r="S18" s="168"/>
      <c r="T18" s="168"/>
    </row>
    <row r="19" spans="1:20" x14ac:dyDescent="0.25">
      <c r="A19" s="96" t="s">
        <v>37</v>
      </c>
      <c r="B19" s="96" t="s">
        <v>86</v>
      </c>
      <c r="C19" s="96">
        <v>52800</v>
      </c>
      <c r="D19" s="96">
        <v>56400</v>
      </c>
      <c r="E19" s="171">
        <f>IFERROR((C19-D19)/D19,"")</f>
        <v>-6.3829787234042548E-2</v>
      </c>
      <c r="F19" s="171">
        <v>-0.05</v>
      </c>
      <c r="G19" s="96" t="str">
        <f>IF(E19&gt;=F19,"✅ Atteint","⚠️ Sous objectif")</f>
        <v>⚠️ Sous objectif</v>
      </c>
      <c r="H19" s="96">
        <v>380000</v>
      </c>
      <c r="I19" s="96">
        <v>54600</v>
      </c>
      <c r="J19" s="173">
        <f>IFERROR(H19/I19,"")</f>
        <v>6.9597069597069599</v>
      </c>
      <c r="K19" s="96" t="s">
        <v>677</v>
      </c>
      <c r="L19" s="168"/>
      <c r="M19" s="168"/>
      <c r="N19" s="168"/>
      <c r="O19" s="168"/>
      <c r="P19" s="168"/>
      <c r="Q19" s="168"/>
      <c r="R19" s="168"/>
      <c r="S19" s="168"/>
      <c r="T19" s="168"/>
    </row>
    <row r="20" spans="1:20" x14ac:dyDescent="0.25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</row>
    <row r="21" spans="1:20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</row>
    <row r="22" spans="1:20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</row>
    <row r="23" spans="1:20" x14ac:dyDescent="0.25">
      <c r="A23" s="599" t="s">
        <v>2250</v>
      </c>
      <c r="B23" s="599"/>
      <c r="C23" s="599"/>
      <c r="D23" s="599"/>
      <c r="E23" s="599"/>
      <c r="F23" s="599"/>
      <c r="G23" s="599"/>
      <c r="H23" s="599"/>
      <c r="I23" s="599"/>
      <c r="J23" s="599"/>
      <c r="K23" s="599"/>
      <c r="L23" s="599"/>
      <c r="M23" s="168"/>
      <c r="N23" s="168"/>
      <c r="O23" s="168"/>
      <c r="P23" s="168"/>
      <c r="Q23" s="168"/>
      <c r="R23" s="168"/>
      <c r="S23" s="168"/>
      <c r="T23" s="168"/>
    </row>
    <row r="24" spans="1:20" x14ac:dyDescent="0.25">
      <c r="A24" s="170" t="s">
        <v>70</v>
      </c>
      <c r="B24" s="170" t="s">
        <v>2251</v>
      </c>
      <c r="C24" s="170" t="s">
        <v>2252</v>
      </c>
      <c r="D24" s="170" t="s">
        <v>2253</v>
      </c>
      <c r="E24" s="170" t="s">
        <v>2254</v>
      </c>
      <c r="F24" s="170" t="s">
        <v>2255</v>
      </c>
      <c r="G24" s="170" t="s">
        <v>2256</v>
      </c>
      <c r="H24" s="170" t="s">
        <v>2257</v>
      </c>
      <c r="I24" s="170" t="s">
        <v>2258</v>
      </c>
      <c r="J24" s="170" t="s">
        <v>2259</v>
      </c>
      <c r="K24" s="170" t="s">
        <v>2260</v>
      </c>
      <c r="L24" s="170" t="s">
        <v>2261</v>
      </c>
      <c r="M24" s="168"/>
      <c r="N24" s="168"/>
      <c r="O24" s="168"/>
      <c r="P24" s="168"/>
      <c r="Q24" s="168"/>
      <c r="R24" s="168"/>
      <c r="S24" s="168"/>
      <c r="T24" s="168"/>
    </row>
    <row r="25" spans="1:20" x14ac:dyDescent="0.25">
      <c r="A25" s="96" t="s">
        <v>26</v>
      </c>
      <c r="B25" s="96">
        <v>2.4</v>
      </c>
      <c r="C25" s="96">
        <v>3.1</v>
      </c>
      <c r="D25" s="96">
        <v>2</v>
      </c>
      <c r="E25" s="96">
        <f>B25-C25</f>
        <v>-0.70000000000000018</v>
      </c>
      <c r="F25" s="96">
        <v>0</v>
      </c>
      <c r="G25" s="96">
        <v>2</v>
      </c>
      <c r="H25" s="96">
        <v>42</v>
      </c>
      <c r="I25" s="96">
        <v>680</v>
      </c>
      <c r="J25" s="171">
        <v>0.82</v>
      </c>
      <c r="K25" s="96" t="s">
        <v>2262</v>
      </c>
      <c r="L25" s="96" t="s">
        <v>670</v>
      </c>
      <c r="M25" s="168"/>
      <c r="N25" s="168"/>
      <c r="O25" s="168"/>
      <c r="P25" s="168"/>
      <c r="Q25" s="168"/>
      <c r="R25" s="168"/>
      <c r="S25" s="168"/>
      <c r="T25" s="168"/>
    </row>
    <row r="26" spans="1:20" x14ac:dyDescent="0.25">
      <c r="A26" s="21" t="s">
        <v>31</v>
      </c>
      <c r="B26" s="21">
        <v>3.8</v>
      </c>
      <c r="C26" s="21">
        <v>4.2</v>
      </c>
      <c r="D26" s="21">
        <v>2.5</v>
      </c>
      <c r="E26" s="21">
        <f>B26-C26</f>
        <v>-0.40000000000000036</v>
      </c>
      <c r="F26" s="21">
        <v>0</v>
      </c>
      <c r="G26" s="21">
        <v>5</v>
      </c>
      <c r="H26" s="21">
        <v>38</v>
      </c>
      <c r="I26" s="21">
        <v>920</v>
      </c>
      <c r="J26" s="30">
        <v>0.79</v>
      </c>
      <c r="K26" s="21" t="s">
        <v>2263</v>
      </c>
      <c r="L26" s="21" t="s">
        <v>670</v>
      </c>
      <c r="M26" s="168"/>
      <c r="N26" s="168"/>
      <c r="O26" s="168"/>
      <c r="P26" s="168"/>
      <c r="Q26" s="168"/>
      <c r="R26" s="168"/>
      <c r="S26" s="168"/>
      <c r="T26" s="168"/>
    </row>
    <row r="27" spans="1:20" x14ac:dyDescent="0.25">
      <c r="A27" s="96" t="s">
        <v>33</v>
      </c>
      <c r="B27" s="96">
        <v>1.6</v>
      </c>
      <c r="C27" s="96">
        <v>2</v>
      </c>
      <c r="D27" s="96">
        <v>1.2</v>
      </c>
      <c r="E27" s="96">
        <f>B27-C27</f>
        <v>-0.39999999999999991</v>
      </c>
      <c r="F27" s="96">
        <v>0</v>
      </c>
      <c r="G27" s="96">
        <v>1</v>
      </c>
      <c r="H27" s="96">
        <v>56</v>
      </c>
      <c r="I27" s="96">
        <v>520</v>
      </c>
      <c r="J27" s="171">
        <v>0.85</v>
      </c>
      <c r="K27" s="96" t="s">
        <v>2264</v>
      </c>
      <c r="L27" s="96" t="s">
        <v>670</v>
      </c>
      <c r="M27" s="168"/>
      <c r="N27" s="168"/>
      <c r="O27" s="168"/>
      <c r="P27" s="168"/>
      <c r="Q27" s="168"/>
      <c r="R27" s="168"/>
      <c r="S27" s="168"/>
      <c r="T27" s="168"/>
    </row>
    <row r="28" spans="1:20" x14ac:dyDescent="0.25">
      <c r="A28" s="21" t="s">
        <v>35</v>
      </c>
      <c r="B28" s="21">
        <v>4.2</v>
      </c>
      <c r="C28" s="21">
        <v>4.8</v>
      </c>
      <c r="D28" s="21">
        <v>3</v>
      </c>
      <c r="E28" s="21">
        <f>B28-C28</f>
        <v>-0.59999999999999964</v>
      </c>
      <c r="F28" s="21">
        <v>0</v>
      </c>
      <c r="G28" s="21">
        <v>3</v>
      </c>
      <c r="H28" s="21">
        <v>35</v>
      </c>
      <c r="I28" s="21">
        <v>580</v>
      </c>
      <c r="J28" s="30">
        <v>0.76</v>
      </c>
      <c r="K28" s="21" t="s">
        <v>2265</v>
      </c>
      <c r="L28" s="21" t="s">
        <v>670</v>
      </c>
      <c r="M28" s="168"/>
      <c r="N28" s="168"/>
      <c r="O28" s="168"/>
      <c r="P28" s="168"/>
      <c r="Q28" s="168"/>
      <c r="R28" s="168"/>
      <c r="S28" s="168"/>
      <c r="T28" s="168"/>
    </row>
    <row r="29" spans="1:20" x14ac:dyDescent="0.25">
      <c r="A29" s="96" t="s">
        <v>37</v>
      </c>
      <c r="B29" s="96">
        <v>1.1000000000000001</v>
      </c>
      <c r="C29" s="96">
        <v>1.5</v>
      </c>
      <c r="D29" s="96">
        <v>0.8</v>
      </c>
      <c r="E29" s="96">
        <f>B29-C29</f>
        <v>-0.39999999999999991</v>
      </c>
      <c r="F29" s="96">
        <v>0</v>
      </c>
      <c r="G29" s="96">
        <v>0</v>
      </c>
      <c r="H29" s="96">
        <v>61</v>
      </c>
      <c r="I29" s="96">
        <v>185</v>
      </c>
      <c r="J29" s="171">
        <v>0.88</v>
      </c>
      <c r="K29" s="96" t="s">
        <v>2266</v>
      </c>
      <c r="L29" s="96" t="s">
        <v>670</v>
      </c>
      <c r="M29" s="168"/>
      <c r="N29" s="168"/>
      <c r="O29" s="168"/>
      <c r="P29" s="168"/>
      <c r="Q29" s="168"/>
      <c r="R29" s="168"/>
      <c r="S29" s="168"/>
      <c r="T29" s="168"/>
    </row>
    <row r="30" spans="1:20" x14ac:dyDescent="0.25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</row>
    <row r="31" spans="1:20" x14ac:dyDescent="0.25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</row>
    <row r="32" spans="1:20" x14ac:dyDescent="0.25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</row>
    <row r="33" spans="1:20" x14ac:dyDescent="0.25">
      <c r="A33" s="599" t="s">
        <v>2267</v>
      </c>
      <c r="B33" s="599"/>
      <c r="C33" s="599"/>
      <c r="D33" s="599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</row>
    <row r="34" spans="1:20" x14ac:dyDescent="0.25">
      <c r="A34" s="170" t="s">
        <v>2268</v>
      </c>
      <c r="B34" s="170" t="s">
        <v>845</v>
      </c>
      <c r="C34" s="170" t="s">
        <v>2269</v>
      </c>
      <c r="D34" s="170" t="s">
        <v>2270</v>
      </c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</row>
    <row r="35" spans="1:20" x14ac:dyDescent="0.25">
      <c r="A35" s="96" t="s">
        <v>2271</v>
      </c>
      <c r="B35" s="96">
        <v>15</v>
      </c>
      <c r="C35" s="96">
        <v>15</v>
      </c>
      <c r="D35" s="96" t="s">
        <v>2272</v>
      </c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</row>
    <row r="36" spans="1:20" x14ac:dyDescent="0.25">
      <c r="A36" s="21" t="s">
        <v>2273</v>
      </c>
      <c r="B36" s="21">
        <v>6</v>
      </c>
      <c r="C36" s="21">
        <v>5</v>
      </c>
      <c r="D36" s="21" t="s">
        <v>2274</v>
      </c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</row>
    <row r="37" spans="1:20" x14ac:dyDescent="0.25">
      <c r="A37" s="96" t="s">
        <v>847</v>
      </c>
      <c r="B37" s="171">
        <f>B36/B35</f>
        <v>0.4</v>
      </c>
      <c r="C37" s="175">
        <v>0.33</v>
      </c>
      <c r="D37" s="175">
        <v>0.4</v>
      </c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</row>
    <row r="38" spans="1:20" x14ac:dyDescent="0.25">
      <c r="A38" s="21" t="s">
        <v>2275</v>
      </c>
      <c r="B38" s="30">
        <f>9/B35</f>
        <v>0.6</v>
      </c>
      <c r="C38" s="37">
        <v>0.53</v>
      </c>
      <c r="D38" s="21" t="s">
        <v>2276</v>
      </c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</row>
    <row r="39" spans="1:20" x14ac:dyDescent="0.25">
      <c r="A39" s="96" t="s">
        <v>2277</v>
      </c>
      <c r="B39" s="96">
        <v>9</v>
      </c>
      <c r="C39" s="96">
        <v>8</v>
      </c>
      <c r="D39" s="96" t="s">
        <v>2278</v>
      </c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</row>
    <row r="40" spans="1:20" x14ac:dyDescent="0.25">
      <c r="A40" s="21" t="s">
        <v>2279</v>
      </c>
      <c r="B40" s="21">
        <v>4</v>
      </c>
      <c r="C40" s="21">
        <v>3</v>
      </c>
      <c r="D40" s="21" t="s">
        <v>2280</v>
      </c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</row>
    <row r="41" spans="1:20" x14ac:dyDescent="0.25">
      <c r="A41" s="96" t="s">
        <v>2281</v>
      </c>
      <c r="B41" s="96">
        <v>2</v>
      </c>
      <c r="C41" s="96">
        <v>1</v>
      </c>
      <c r="D41" s="96" t="s">
        <v>2282</v>
      </c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</row>
    <row r="42" spans="1:20" x14ac:dyDescent="0.25">
      <c r="A42" s="21" t="s">
        <v>2283</v>
      </c>
      <c r="B42" s="21">
        <v>18</v>
      </c>
      <c r="C42" s="21">
        <v>14</v>
      </c>
      <c r="D42" s="21" t="s">
        <v>2284</v>
      </c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</row>
    <row r="43" spans="1:20" x14ac:dyDescent="0.25">
      <c r="A43" s="96" t="s">
        <v>2285</v>
      </c>
      <c r="B43" s="96">
        <v>28</v>
      </c>
      <c r="C43" s="96">
        <v>34</v>
      </c>
      <c r="D43" s="96" t="s">
        <v>2286</v>
      </c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</row>
    <row r="44" spans="1:20" x14ac:dyDescent="0.25">
      <c r="A44" s="21" t="s">
        <v>698</v>
      </c>
      <c r="B44" s="30">
        <f>0.68</f>
        <v>0.68</v>
      </c>
      <c r="C44" s="37">
        <v>0.65</v>
      </c>
      <c r="D44" s="21" t="s">
        <v>2287</v>
      </c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</row>
    <row r="45" spans="1:20" x14ac:dyDescent="0.25">
      <c r="A45" s="974" t="s">
        <v>2288</v>
      </c>
      <c r="B45" s="974" t="s">
        <v>2289</v>
      </c>
      <c r="C45" s="974" t="s">
        <v>2289</v>
      </c>
      <c r="D45" s="974" t="s">
        <v>2290</v>
      </c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</row>
    <row r="46" spans="1:20" x14ac:dyDescent="0.25">
      <c r="A46" s="974" t="s">
        <v>2291</v>
      </c>
      <c r="B46" s="974" t="s">
        <v>2292</v>
      </c>
      <c r="C46" s="974" t="s">
        <v>2293</v>
      </c>
      <c r="D46" s="974" t="s">
        <v>2294</v>
      </c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</row>
    <row r="47" spans="1:20" x14ac:dyDescent="0.25">
      <c r="A47" s="96" t="s">
        <v>2295</v>
      </c>
      <c r="B47" s="96">
        <f>CONSOL_CR!C41</f>
        <v>0.10049261083743842</v>
      </c>
      <c r="C47" s="176">
        <v>0.29799999999999999</v>
      </c>
      <c r="D47" s="96" t="s">
        <v>2296</v>
      </c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</row>
    <row r="48" spans="1:20" x14ac:dyDescent="0.25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</row>
    <row r="49" spans="1:20" x14ac:dyDescent="0.25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</row>
    <row r="50" spans="1:20" x14ac:dyDescent="0.25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</row>
    <row r="51" spans="1:20" x14ac:dyDescent="0.25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</row>
    <row r="52" spans="1:20" x14ac:dyDescent="0.25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</row>
    <row r="53" spans="1:20" x14ac:dyDescent="0.25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</row>
    <row r="54" spans="1:20" x14ac:dyDescent="0.25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</row>
    <row r="55" spans="1:20" x14ac:dyDescent="0.25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</row>
    <row r="56" spans="1:20" x14ac:dyDescent="0.25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</row>
    <row r="57" spans="1:20" x14ac:dyDescent="0.25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</row>
    <row r="58" spans="1:20" x14ac:dyDescent="0.25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</row>
    <row r="59" spans="1:20" x14ac:dyDescent="0.25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</row>
    <row r="60" spans="1:20" x14ac:dyDescent="0.25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</row>
    <row r="61" spans="1:20" x14ac:dyDescent="0.25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</row>
    <row r="62" spans="1:20" x14ac:dyDescent="0.25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</row>
    <row r="63" spans="1:20" x14ac:dyDescent="0.25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</row>
    <row r="64" spans="1:20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</row>
    <row r="65" spans="1:20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</row>
    <row r="66" spans="1:20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</row>
    <row r="67" spans="1:20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</row>
    <row r="68" spans="1:20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</row>
    <row r="69" spans="1:20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</row>
    <row r="70" spans="1:20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</row>
    <row r="71" spans="1:20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</row>
    <row r="72" spans="1:20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</row>
    <row r="73" spans="1:20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</row>
    <row r="74" spans="1:20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</row>
    <row r="75" spans="1:20" x14ac:dyDescent="0.25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</row>
    <row r="76" spans="1:20" x14ac:dyDescent="0.25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</row>
    <row r="77" spans="1:20" x14ac:dyDescent="0.25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</row>
    <row r="78" spans="1:20" x14ac:dyDescent="0.25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</row>
    <row r="79" spans="1:20" x14ac:dyDescent="0.25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</row>
    <row r="80" spans="1:20" x14ac:dyDescent="0.25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</row>
    <row r="81" spans="1:20" x14ac:dyDescent="0.25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</row>
    <row r="82" spans="1:20" x14ac:dyDescent="0.25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</row>
    <row r="83" spans="1:20" x14ac:dyDescent="0.25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</row>
    <row r="84" spans="1:20" x14ac:dyDescent="0.25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</row>
    <row r="85" spans="1:20" x14ac:dyDescent="0.25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</row>
    <row r="86" spans="1:20" x14ac:dyDescent="0.25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</row>
    <row r="87" spans="1:20" x14ac:dyDescent="0.25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</row>
    <row r="88" spans="1:20" x14ac:dyDescent="0.25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</row>
    <row r="89" spans="1:20" x14ac:dyDescent="0.25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</row>
    <row r="90" spans="1:20" x14ac:dyDescent="0.25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</row>
    <row r="91" spans="1:20" x14ac:dyDescent="0.25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</row>
    <row r="92" spans="1:20" x14ac:dyDescent="0.25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</row>
    <row r="93" spans="1:20" x14ac:dyDescent="0.25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</row>
    <row r="94" spans="1:20" x14ac:dyDescent="0.25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</row>
    <row r="95" spans="1:20" x14ac:dyDescent="0.2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</row>
    <row r="96" spans="1:20" x14ac:dyDescent="0.25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</row>
    <row r="97" spans="1:20" x14ac:dyDescent="0.25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</row>
    <row r="98" spans="1:20" x14ac:dyDescent="0.25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</row>
    <row r="99" spans="1:20" x14ac:dyDescent="0.25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</row>
    <row r="100" spans="1:20" x14ac:dyDescent="0.25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</row>
  </sheetData>
  <mergeCells count="5">
    <mergeCell ref="A1:S1"/>
    <mergeCell ref="A3:S3"/>
    <mergeCell ref="A13:K13"/>
    <mergeCell ref="A23:L23"/>
    <mergeCell ref="A33:D3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2534-A5F3-4548-A523-6562487E8BC8}">
  <sheetPr>
    <tabColor rgb="FF1B5E20"/>
  </sheetPr>
  <dimension ref="A1:M120"/>
  <sheetViews>
    <sheetView workbookViewId="0">
      <selection sqref="A1:L1"/>
    </sheetView>
  </sheetViews>
  <sheetFormatPr baseColWidth="10" defaultRowHeight="15" x14ac:dyDescent="0.25"/>
  <cols>
    <col min="1" max="1" width="21.28515625" customWidth="1"/>
    <col min="2" max="2" width="29.28515625" customWidth="1"/>
    <col min="3" max="3" width="18.7109375" customWidth="1"/>
    <col min="4" max="4" width="13.28515625" customWidth="1"/>
    <col min="5" max="5" width="56" customWidth="1"/>
    <col min="6" max="6" width="18.7109375" customWidth="1"/>
    <col min="7" max="7" width="24" customWidth="1"/>
    <col min="8" max="8" width="18.7109375" customWidth="1"/>
    <col min="9" max="9" width="24" customWidth="1"/>
    <col min="10" max="10" width="18.7109375" customWidth="1"/>
    <col min="11" max="11" width="64" customWidth="1"/>
    <col min="12" max="12" width="42.7109375" customWidth="1"/>
  </cols>
  <sheetData>
    <row r="1" spans="1:13" ht="17.25" x14ac:dyDescent="0.3">
      <c r="A1" s="595" t="s">
        <v>2297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77"/>
    </row>
    <row r="2" spans="1:13" x14ac:dyDescent="0.25">
      <c r="A2" s="600" t="s">
        <v>2310</v>
      </c>
      <c r="B2" s="600"/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177"/>
    </row>
    <row r="3" spans="1:13" x14ac:dyDescent="0.25">
      <c r="A3" s="145" t="s">
        <v>2298</v>
      </c>
      <c r="B3" s="145" t="s">
        <v>2299</v>
      </c>
      <c r="C3" s="145" t="s">
        <v>2300</v>
      </c>
      <c r="D3" s="145" t="s">
        <v>2301</v>
      </c>
      <c r="E3" s="145" t="s">
        <v>2302</v>
      </c>
      <c r="F3" s="145" t="s">
        <v>2303</v>
      </c>
      <c r="G3" s="145" t="s">
        <v>2304</v>
      </c>
      <c r="H3" s="145" t="s">
        <v>2305</v>
      </c>
      <c r="I3" s="145" t="s">
        <v>2306</v>
      </c>
      <c r="J3" s="145" t="s">
        <v>2307</v>
      </c>
      <c r="K3" s="145" t="s">
        <v>2308</v>
      </c>
      <c r="L3" s="145" t="s">
        <v>2309</v>
      </c>
      <c r="M3" s="177"/>
    </row>
    <row r="4" spans="1:13" x14ac:dyDescent="0.25">
      <c r="A4" s="149" t="s">
        <v>2311</v>
      </c>
      <c r="B4" s="149" t="s">
        <v>139</v>
      </c>
      <c r="C4" s="149" t="s">
        <v>2312</v>
      </c>
      <c r="D4" s="149" t="s">
        <v>2313</v>
      </c>
      <c r="E4" s="149" t="s">
        <v>2314</v>
      </c>
      <c r="F4" s="149" t="s">
        <v>2315</v>
      </c>
      <c r="G4" s="149" t="s">
        <v>2316</v>
      </c>
      <c r="H4" s="149" t="s">
        <v>2317</v>
      </c>
      <c r="I4" s="149" t="s">
        <v>67</v>
      </c>
      <c r="J4" s="149" t="s">
        <v>2037</v>
      </c>
      <c r="K4" s="179">
        <f>ESG_CARBONE!B54</f>
        <v>0</v>
      </c>
      <c r="L4" s="149" t="s">
        <v>2318</v>
      </c>
      <c r="M4" s="177"/>
    </row>
    <row r="5" spans="1:13" x14ac:dyDescent="0.25">
      <c r="A5" s="149" t="s">
        <v>2319</v>
      </c>
      <c r="B5" s="149" t="s">
        <v>139</v>
      </c>
      <c r="C5" s="149" t="s">
        <v>2312</v>
      </c>
      <c r="D5" s="149" t="s">
        <v>2320</v>
      </c>
      <c r="E5" s="149" t="s">
        <v>2321</v>
      </c>
      <c r="F5" s="149" t="s">
        <v>2315</v>
      </c>
      <c r="G5" s="149" t="s">
        <v>2316</v>
      </c>
      <c r="H5" s="149" t="s">
        <v>2322</v>
      </c>
      <c r="I5" s="149" t="s">
        <v>67</v>
      </c>
      <c r="J5" s="149" t="s">
        <v>2323</v>
      </c>
      <c r="K5" s="179">
        <f>ESG_CARBONE!B55</f>
        <v>0</v>
      </c>
      <c r="L5" s="149" t="s">
        <v>2324</v>
      </c>
      <c r="M5" s="177"/>
    </row>
    <row r="6" spans="1:13" x14ac:dyDescent="0.25">
      <c r="A6" s="149" t="s">
        <v>2325</v>
      </c>
      <c r="B6" s="149" t="s">
        <v>139</v>
      </c>
      <c r="C6" s="149" t="s">
        <v>2312</v>
      </c>
      <c r="D6" s="149" t="s">
        <v>2326</v>
      </c>
      <c r="E6" s="149" t="s">
        <v>2327</v>
      </c>
      <c r="F6" s="149" t="s">
        <v>2315</v>
      </c>
      <c r="G6" s="149" t="s">
        <v>2316</v>
      </c>
      <c r="H6" s="149" t="s">
        <v>2328</v>
      </c>
      <c r="I6" s="149" t="s">
        <v>67</v>
      </c>
      <c r="J6" s="149" t="s">
        <v>2042</v>
      </c>
      <c r="K6" s="179">
        <f>ESG_CARBONE!B56</f>
        <v>35</v>
      </c>
      <c r="L6" s="149" t="s">
        <v>2329</v>
      </c>
      <c r="M6" s="177"/>
    </row>
    <row r="7" spans="1:13" x14ac:dyDescent="0.25">
      <c r="A7" s="149" t="s">
        <v>2330</v>
      </c>
      <c r="B7" s="149" t="s">
        <v>139</v>
      </c>
      <c r="C7" s="149" t="s">
        <v>2312</v>
      </c>
      <c r="D7" s="149" t="s">
        <v>563</v>
      </c>
      <c r="E7" s="149" t="s">
        <v>2331</v>
      </c>
      <c r="F7" s="149" t="s">
        <v>2332</v>
      </c>
      <c r="G7" s="149" t="s">
        <v>2316</v>
      </c>
      <c r="H7" s="149" t="s">
        <v>2333</v>
      </c>
      <c r="I7" s="149" t="s">
        <v>64</v>
      </c>
      <c r="J7" s="149" t="s">
        <v>2334</v>
      </c>
      <c r="K7" s="179">
        <f>ESG_CARBONE!H57</f>
        <v>0</v>
      </c>
      <c r="L7" s="149" t="s">
        <v>2335</v>
      </c>
      <c r="M7" s="177"/>
    </row>
    <row r="8" spans="1:13" x14ac:dyDescent="0.25">
      <c r="A8" s="149" t="s">
        <v>2336</v>
      </c>
      <c r="B8" s="149" t="s">
        <v>139</v>
      </c>
      <c r="C8" s="149" t="s">
        <v>2312</v>
      </c>
      <c r="D8" s="149" t="s">
        <v>2337</v>
      </c>
      <c r="E8" s="149" t="s">
        <v>2338</v>
      </c>
      <c r="F8" s="149" t="s">
        <v>2079</v>
      </c>
      <c r="G8" s="149" t="s">
        <v>2316</v>
      </c>
      <c r="H8" s="149" t="s">
        <v>2339</v>
      </c>
      <c r="I8" s="149" t="s">
        <v>2340</v>
      </c>
      <c r="J8" s="149" t="s">
        <v>2341</v>
      </c>
      <c r="K8" s="179" t="s">
        <v>2342</v>
      </c>
      <c r="L8" s="149" t="s">
        <v>2343</v>
      </c>
      <c r="M8" s="177"/>
    </row>
    <row r="9" spans="1:13" x14ac:dyDescent="0.25">
      <c r="A9" s="149" t="s">
        <v>2344</v>
      </c>
      <c r="B9" s="149" t="s">
        <v>139</v>
      </c>
      <c r="C9" s="149" t="s">
        <v>2312</v>
      </c>
      <c r="D9" s="149" t="s">
        <v>2345</v>
      </c>
      <c r="E9" s="149" t="s">
        <v>2346</v>
      </c>
      <c r="F9" s="149" t="s">
        <v>2347</v>
      </c>
      <c r="G9" s="149" t="s">
        <v>2316</v>
      </c>
      <c r="H9" s="149" t="s">
        <v>2348</v>
      </c>
      <c r="I9" s="149" t="s">
        <v>64</v>
      </c>
      <c r="J9" s="149" t="s">
        <v>2349</v>
      </c>
      <c r="K9" s="179">
        <f>ESG_CARBONE!G71</f>
        <v>0</v>
      </c>
      <c r="L9" s="149" t="s">
        <v>2350</v>
      </c>
      <c r="M9" s="177"/>
    </row>
    <row r="10" spans="1:13" x14ac:dyDescent="0.25">
      <c r="A10" s="149" t="s">
        <v>2351</v>
      </c>
      <c r="B10" s="149" t="s">
        <v>139</v>
      </c>
      <c r="C10" s="149" t="s">
        <v>2312</v>
      </c>
      <c r="D10" s="149" t="s">
        <v>2352</v>
      </c>
      <c r="E10" s="149" t="s">
        <v>2353</v>
      </c>
      <c r="F10" s="149" t="s">
        <v>2332</v>
      </c>
      <c r="G10" s="149" t="s">
        <v>2316</v>
      </c>
      <c r="H10" s="149" t="s">
        <v>2354</v>
      </c>
      <c r="I10" s="149" t="s">
        <v>64</v>
      </c>
      <c r="J10" s="149" t="s">
        <v>2355</v>
      </c>
      <c r="K10" s="179">
        <f>ESG_CARBONE!H71</f>
        <v>0</v>
      </c>
      <c r="L10" s="149" t="s">
        <v>2356</v>
      </c>
      <c r="M10" s="177"/>
    </row>
    <row r="11" spans="1:13" x14ac:dyDescent="0.25">
      <c r="A11" s="149" t="s">
        <v>2357</v>
      </c>
      <c r="B11" s="149" t="s">
        <v>139</v>
      </c>
      <c r="C11" s="149" t="s">
        <v>2358</v>
      </c>
      <c r="D11" s="149" t="s">
        <v>2359</v>
      </c>
      <c r="E11" s="149" t="s">
        <v>2360</v>
      </c>
      <c r="F11" s="149" t="s">
        <v>2361</v>
      </c>
      <c r="G11" s="149" t="s">
        <v>58</v>
      </c>
      <c r="H11" s="149" t="s">
        <v>2362</v>
      </c>
      <c r="I11" s="149" t="s">
        <v>67</v>
      </c>
      <c r="J11" s="149" t="s">
        <v>2363</v>
      </c>
      <c r="K11" s="180" t="str">
        <f>ESG_DATA!J11</f>
        <v>🟡</v>
      </c>
      <c r="L11" s="149" t="s">
        <v>2364</v>
      </c>
      <c r="M11" s="177"/>
    </row>
    <row r="12" spans="1:13" x14ac:dyDescent="0.25">
      <c r="A12" s="149" t="s">
        <v>2365</v>
      </c>
      <c r="B12" s="149" t="s">
        <v>139</v>
      </c>
      <c r="C12" s="149" t="s">
        <v>2358</v>
      </c>
      <c r="D12" s="149" t="s">
        <v>2366</v>
      </c>
      <c r="E12" s="149" t="s">
        <v>2367</v>
      </c>
      <c r="F12" s="149" t="s">
        <v>2361</v>
      </c>
      <c r="G12" s="149" t="s">
        <v>58</v>
      </c>
      <c r="H12" s="149" t="s">
        <v>2368</v>
      </c>
      <c r="I12" s="149" t="s">
        <v>67</v>
      </c>
      <c r="J12" s="149" t="s">
        <v>2369</v>
      </c>
      <c r="K12" s="180">
        <f>ESG_DATA!J14</f>
        <v>0.71499999999999997</v>
      </c>
      <c r="L12" s="149" t="s">
        <v>2364</v>
      </c>
      <c r="M12" s="177"/>
    </row>
    <row r="13" spans="1:13" x14ac:dyDescent="0.25">
      <c r="A13" s="149" t="s">
        <v>2370</v>
      </c>
      <c r="B13" s="149" t="s">
        <v>139</v>
      </c>
      <c r="C13" s="149" t="s">
        <v>2312</v>
      </c>
      <c r="D13" s="149" t="s">
        <v>573</v>
      </c>
      <c r="E13" s="149" t="s">
        <v>2371</v>
      </c>
      <c r="F13" s="149" t="s">
        <v>2372</v>
      </c>
      <c r="G13" s="149" t="s">
        <v>2316</v>
      </c>
      <c r="H13" s="149" t="s">
        <v>2373</v>
      </c>
      <c r="I13" s="149" t="s">
        <v>2340</v>
      </c>
      <c r="J13" s="149" t="s">
        <v>2374</v>
      </c>
      <c r="K13" s="179" t="s">
        <v>2375</v>
      </c>
      <c r="L13" s="149" t="s">
        <v>2376</v>
      </c>
      <c r="M13" s="177"/>
    </row>
    <row r="14" spans="1:13" x14ac:dyDescent="0.25">
      <c r="A14" s="96" t="s">
        <v>2377</v>
      </c>
      <c r="B14" s="96" t="s">
        <v>142</v>
      </c>
      <c r="C14" s="96" t="s">
        <v>2378</v>
      </c>
      <c r="D14" s="96" t="s">
        <v>2379</v>
      </c>
      <c r="E14" s="96" t="s">
        <v>2380</v>
      </c>
      <c r="F14" s="96" t="s">
        <v>2315</v>
      </c>
      <c r="G14" s="96" t="s">
        <v>2381</v>
      </c>
      <c r="H14" s="96" t="s">
        <v>2382</v>
      </c>
      <c r="I14" s="96" t="s">
        <v>67</v>
      </c>
      <c r="J14" s="96" t="s">
        <v>2383</v>
      </c>
      <c r="K14" s="181">
        <f>ESG_DIVERSITE!B10</f>
        <v>7270</v>
      </c>
      <c r="L14" s="96" t="s">
        <v>2384</v>
      </c>
      <c r="M14" s="177"/>
    </row>
    <row r="15" spans="1:13" x14ac:dyDescent="0.25">
      <c r="A15" s="96" t="s">
        <v>2385</v>
      </c>
      <c r="B15" s="96" t="s">
        <v>142</v>
      </c>
      <c r="C15" s="96" t="s">
        <v>2378</v>
      </c>
      <c r="D15" s="96" t="s">
        <v>2352</v>
      </c>
      <c r="E15" s="96" t="s">
        <v>2386</v>
      </c>
      <c r="F15" s="96" t="s">
        <v>2361</v>
      </c>
      <c r="G15" s="96" t="s">
        <v>2381</v>
      </c>
      <c r="H15" s="96" t="s">
        <v>2387</v>
      </c>
      <c r="I15" s="96" t="s">
        <v>67</v>
      </c>
      <c r="J15" s="96" t="s">
        <v>2388</v>
      </c>
      <c r="K15" s="181">
        <f>ESG_DIVERSITE!F10</f>
        <v>0.41788170563961485</v>
      </c>
      <c r="L15" s="96" t="s">
        <v>2389</v>
      </c>
      <c r="M15" s="177"/>
    </row>
    <row r="16" spans="1:13" x14ac:dyDescent="0.25">
      <c r="A16" s="96" t="s">
        <v>2390</v>
      </c>
      <c r="B16" s="96" t="s">
        <v>142</v>
      </c>
      <c r="C16" s="96" t="s">
        <v>2378</v>
      </c>
      <c r="D16" s="96" t="s">
        <v>2352</v>
      </c>
      <c r="E16" s="96" t="s">
        <v>839</v>
      </c>
      <c r="F16" s="96" t="s">
        <v>2361</v>
      </c>
      <c r="G16" s="96" t="s">
        <v>2381</v>
      </c>
      <c r="H16" s="96" t="s">
        <v>2391</v>
      </c>
      <c r="I16" s="96" t="s">
        <v>67</v>
      </c>
      <c r="J16" s="96" t="s">
        <v>2392</v>
      </c>
      <c r="K16" s="181">
        <f>ESG_DIVERSITE!I10</f>
        <v>0.35656836461126007</v>
      </c>
      <c r="L16" s="96" t="s">
        <v>2393</v>
      </c>
      <c r="M16" s="177"/>
    </row>
    <row r="17" spans="1:13" x14ac:dyDescent="0.25">
      <c r="A17" s="96" t="s">
        <v>2394</v>
      </c>
      <c r="B17" s="96" t="s">
        <v>142</v>
      </c>
      <c r="C17" s="96" t="s">
        <v>2378</v>
      </c>
      <c r="D17" s="96" t="s">
        <v>2395</v>
      </c>
      <c r="E17" s="96" t="s">
        <v>2396</v>
      </c>
      <c r="F17" s="96" t="s">
        <v>2332</v>
      </c>
      <c r="G17" s="96" t="s">
        <v>58</v>
      </c>
      <c r="H17" s="96" t="s">
        <v>2397</v>
      </c>
      <c r="I17" s="96" t="s">
        <v>67</v>
      </c>
      <c r="J17" s="96" t="s">
        <v>2398</v>
      </c>
      <c r="K17" s="181">
        <f>ESG_DATA!J23</f>
        <v>3</v>
      </c>
      <c r="L17" s="96" t="s">
        <v>2399</v>
      </c>
      <c r="M17" s="177"/>
    </row>
    <row r="18" spans="1:13" x14ac:dyDescent="0.25">
      <c r="A18" s="96" t="s">
        <v>2400</v>
      </c>
      <c r="B18" s="96" t="s">
        <v>142</v>
      </c>
      <c r="C18" s="96" t="s">
        <v>2378</v>
      </c>
      <c r="D18" s="96" t="s">
        <v>2401</v>
      </c>
      <c r="E18" s="96" t="s">
        <v>2402</v>
      </c>
      <c r="F18" s="96" t="s">
        <v>2332</v>
      </c>
      <c r="G18" s="96" t="s">
        <v>58</v>
      </c>
      <c r="H18" s="96" t="s">
        <v>2403</v>
      </c>
      <c r="I18" s="96" t="s">
        <v>67</v>
      </c>
      <c r="J18" s="96" t="s">
        <v>2404</v>
      </c>
      <c r="K18" s="181">
        <f>ESG_DATA!J24</f>
        <v>42.75</v>
      </c>
      <c r="L18" s="96" t="s">
        <v>2405</v>
      </c>
      <c r="M18" s="177"/>
    </row>
    <row r="19" spans="1:13" x14ac:dyDescent="0.25">
      <c r="A19" s="96" t="s">
        <v>2406</v>
      </c>
      <c r="B19" s="96" t="s">
        <v>142</v>
      </c>
      <c r="C19" s="96" t="s">
        <v>2378</v>
      </c>
      <c r="D19" s="96" t="s">
        <v>2407</v>
      </c>
      <c r="E19" s="96" t="s">
        <v>2408</v>
      </c>
      <c r="F19" s="96" t="s">
        <v>2361</v>
      </c>
      <c r="G19" s="96" t="s">
        <v>2381</v>
      </c>
      <c r="H19" s="96" t="s">
        <v>2409</v>
      </c>
      <c r="I19" s="96" t="s">
        <v>67</v>
      </c>
      <c r="J19" s="96" t="s">
        <v>2018</v>
      </c>
      <c r="K19" s="181">
        <f>ESG_DIVERSITE!E17</f>
        <v>-7.7654516640253565E-2</v>
      </c>
      <c r="L19" s="96" t="s">
        <v>2384</v>
      </c>
      <c r="M19" s="177"/>
    </row>
    <row r="20" spans="1:13" x14ac:dyDescent="0.25">
      <c r="A20" s="96" t="s">
        <v>2410</v>
      </c>
      <c r="B20" s="96" t="s">
        <v>142</v>
      </c>
      <c r="C20" s="96" t="s">
        <v>2378</v>
      </c>
      <c r="D20" s="96" t="s">
        <v>2411</v>
      </c>
      <c r="E20" s="96" t="s">
        <v>2412</v>
      </c>
      <c r="F20" s="96" t="s">
        <v>2413</v>
      </c>
      <c r="G20" s="96" t="s">
        <v>2381</v>
      </c>
      <c r="H20" s="96" t="s">
        <v>2414</v>
      </c>
      <c r="I20" s="96" t="s">
        <v>67</v>
      </c>
      <c r="J20" s="96" t="s">
        <v>2415</v>
      </c>
      <c r="K20" s="181">
        <f>ESG_DIVERSITE!J17</f>
        <v>6.7880794701986753</v>
      </c>
      <c r="L20" s="96" t="s">
        <v>2416</v>
      </c>
      <c r="M20" s="177"/>
    </row>
    <row r="21" spans="1:13" x14ac:dyDescent="0.25">
      <c r="A21" s="96" t="s">
        <v>2417</v>
      </c>
      <c r="B21" s="96" t="s">
        <v>142</v>
      </c>
      <c r="C21" s="96" t="s">
        <v>2378</v>
      </c>
      <c r="D21" s="96" t="s">
        <v>2379</v>
      </c>
      <c r="E21" s="96" t="s">
        <v>2418</v>
      </c>
      <c r="F21" s="96" t="s">
        <v>2347</v>
      </c>
      <c r="G21" s="96" t="s">
        <v>46</v>
      </c>
      <c r="H21" s="96" t="s">
        <v>2419</v>
      </c>
      <c r="I21" s="96" t="s">
        <v>64</v>
      </c>
      <c r="J21" s="96" t="s">
        <v>2420</v>
      </c>
      <c r="K21" s="181">
        <f>CONSOL_CR!K11</f>
        <v>-219880</v>
      </c>
      <c r="L21" s="96" t="s">
        <v>2421</v>
      </c>
      <c r="M21" s="177"/>
    </row>
    <row r="22" spans="1:13" x14ac:dyDescent="0.25">
      <c r="A22" s="96" t="s">
        <v>2422</v>
      </c>
      <c r="B22" s="96" t="s">
        <v>142</v>
      </c>
      <c r="C22" s="96" t="s">
        <v>2378</v>
      </c>
      <c r="D22" s="96" t="s">
        <v>2401</v>
      </c>
      <c r="E22" s="96" t="s">
        <v>2423</v>
      </c>
      <c r="F22" s="96" t="s">
        <v>2347</v>
      </c>
      <c r="G22" s="96" t="s">
        <v>2381</v>
      </c>
      <c r="H22" s="96" t="s">
        <v>2424</v>
      </c>
      <c r="I22" s="96" t="s">
        <v>67</v>
      </c>
      <c r="J22" s="96" t="s">
        <v>1955</v>
      </c>
      <c r="K22" s="181">
        <f>ESG_DIVERSITE!I35</f>
        <v>0</v>
      </c>
      <c r="L22" s="96" t="s">
        <v>2425</v>
      </c>
      <c r="M22" s="177"/>
    </row>
    <row r="23" spans="1:13" x14ac:dyDescent="0.25">
      <c r="A23" s="81" t="s">
        <v>2426</v>
      </c>
      <c r="B23" s="81" t="s">
        <v>145</v>
      </c>
      <c r="C23" s="81" t="s">
        <v>2427</v>
      </c>
      <c r="D23" s="81" t="s">
        <v>2428</v>
      </c>
      <c r="E23" s="81" t="s">
        <v>847</v>
      </c>
      <c r="F23" s="81" t="s">
        <v>2361</v>
      </c>
      <c r="G23" s="81" t="s">
        <v>2381</v>
      </c>
      <c r="H23" s="81" t="s">
        <v>2429</v>
      </c>
      <c r="I23" s="81" t="s">
        <v>67</v>
      </c>
      <c r="J23" s="81" t="s">
        <v>2430</v>
      </c>
      <c r="K23" s="182">
        <f>ESG_DIVERSITE!B40</f>
        <v>4</v>
      </c>
      <c r="L23" s="81" t="s">
        <v>2431</v>
      </c>
      <c r="M23" s="177"/>
    </row>
    <row r="24" spans="1:13" x14ac:dyDescent="0.25">
      <c r="A24" s="81" t="s">
        <v>2432</v>
      </c>
      <c r="B24" s="81" t="s">
        <v>145</v>
      </c>
      <c r="C24" s="81" t="s">
        <v>2427</v>
      </c>
      <c r="D24" s="81" t="s">
        <v>2428</v>
      </c>
      <c r="E24" s="81" t="s">
        <v>2433</v>
      </c>
      <c r="F24" s="81" t="s">
        <v>2361</v>
      </c>
      <c r="G24" s="81" t="s">
        <v>2381</v>
      </c>
      <c r="H24" s="81" t="s">
        <v>2434</v>
      </c>
      <c r="I24" s="81" t="s">
        <v>67</v>
      </c>
      <c r="J24" s="81" t="s">
        <v>2435</v>
      </c>
      <c r="K24" s="182">
        <f>ESG_DIVERSITE!B41</f>
        <v>2</v>
      </c>
      <c r="L24" s="81" t="s">
        <v>2431</v>
      </c>
      <c r="M24" s="177"/>
    </row>
    <row r="25" spans="1:13" x14ac:dyDescent="0.25">
      <c r="A25" s="81" t="s">
        <v>2436</v>
      </c>
      <c r="B25" s="81" t="s">
        <v>145</v>
      </c>
      <c r="C25" s="81" t="s">
        <v>2427</v>
      </c>
      <c r="D25" s="81" t="s">
        <v>2437</v>
      </c>
      <c r="E25" s="81" t="s">
        <v>2438</v>
      </c>
      <c r="F25" s="81" t="s">
        <v>2439</v>
      </c>
      <c r="G25" s="81" t="s">
        <v>2381</v>
      </c>
      <c r="H25" s="81" t="s">
        <v>2440</v>
      </c>
      <c r="I25" s="81" t="s">
        <v>67</v>
      </c>
      <c r="J25" s="81" t="s">
        <v>2441</v>
      </c>
      <c r="K25" s="182">
        <f>ESG_DIVERSITE!B44</f>
        <v>0.68</v>
      </c>
      <c r="L25" s="81" t="s">
        <v>2442</v>
      </c>
      <c r="M25" s="177"/>
    </row>
    <row r="26" spans="1:13" x14ac:dyDescent="0.25">
      <c r="A26" s="81" t="s">
        <v>2443</v>
      </c>
      <c r="B26" s="81" t="s">
        <v>145</v>
      </c>
      <c r="C26" s="81" t="s">
        <v>2427</v>
      </c>
      <c r="D26" s="81" t="s">
        <v>2437</v>
      </c>
      <c r="E26" s="81" t="s">
        <v>2444</v>
      </c>
      <c r="F26" s="81" t="s">
        <v>2361</v>
      </c>
      <c r="G26" s="81" t="s">
        <v>2381</v>
      </c>
      <c r="H26" s="81" t="s">
        <v>2445</v>
      </c>
      <c r="I26" s="81" t="s">
        <v>67</v>
      </c>
      <c r="J26" s="81" t="s">
        <v>2446</v>
      </c>
      <c r="K26" s="182">
        <f>ESG_DIVERSITE!B47</f>
        <v>0.10049261083743842</v>
      </c>
      <c r="L26" s="81" t="s">
        <v>2447</v>
      </c>
      <c r="M26" s="177"/>
    </row>
    <row r="27" spans="1:13" x14ac:dyDescent="0.25">
      <c r="A27" s="81" t="s">
        <v>2448</v>
      </c>
      <c r="B27" s="81" t="s">
        <v>145</v>
      </c>
      <c r="C27" s="81" t="s">
        <v>2427</v>
      </c>
      <c r="D27" s="81" t="s">
        <v>2449</v>
      </c>
      <c r="E27" s="81" t="s">
        <v>853</v>
      </c>
      <c r="F27" s="81" t="s">
        <v>2361</v>
      </c>
      <c r="G27" s="81" t="s">
        <v>46</v>
      </c>
      <c r="H27" s="81" t="s">
        <v>2450</v>
      </c>
      <c r="I27" s="81" t="s">
        <v>64</v>
      </c>
      <c r="J27" s="81" t="s">
        <v>2451</v>
      </c>
      <c r="K27" s="182">
        <f>CONSOL_CR!C41</f>
        <v>0.10049261083743842</v>
      </c>
      <c r="L27" s="81" t="s">
        <v>2452</v>
      </c>
      <c r="M27" s="177"/>
    </row>
    <row r="28" spans="1:13" x14ac:dyDescent="0.25">
      <c r="A28" s="106" t="s">
        <v>2453</v>
      </c>
      <c r="B28" s="106" t="s">
        <v>2454</v>
      </c>
      <c r="C28" s="106" t="s">
        <v>798</v>
      </c>
      <c r="D28" s="106" t="s">
        <v>798</v>
      </c>
      <c r="E28" s="106" t="s">
        <v>2455</v>
      </c>
      <c r="F28" s="106" t="s">
        <v>2347</v>
      </c>
      <c r="G28" s="106" t="s">
        <v>46</v>
      </c>
      <c r="H28" s="106" t="s">
        <v>1974</v>
      </c>
      <c r="I28" s="106" t="s">
        <v>2316</v>
      </c>
      <c r="J28" s="106" t="s">
        <v>798</v>
      </c>
      <c r="K28" s="183">
        <f>CONSOL_CR!K7</f>
        <v>817075</v>
      </c>
      <c r="L28" s="106" t="s">
        <v>2456</v>
      </c>
      <c r="M28" s="177"/>
    </row>
    <row r="29" spans="1:13" x14ac:dyDescent="0.25">
      <c r="A29" s="106" t="s">
        <v>2457</v>
      </c>
      <c r="B29" s="106" t="s">
        <v>2454</v>
      </c>
      <c r="C29" s="106" t="s">
        <v>798</v>
      </c>
      <c r="D29" s="106" t="s">
        <v>798</v>
      </c>
      <c r="E29" s="106" t="s">
        <v>2458</v>
      </c>
      <c r="F29" s="106" t="s">
        <v>2347</v>
      </c>
      <c r="G29" s="106" t="s">
        <v>46</v>
      </c>
      <c r="H29" s="106" t="s">
        <v>1978</v>
      </c>
      <c r="I29" s="106" t="s">
        <v>2316</v>
      </c>
      <c r="J29" s="106" t="s">
        <v>798</v>
      </c>
      <c r="K29" s="183">
        <f>CONSOL_CR!K14</f>
        <v>153798</v>
      </c>
      <c r="L29" s="106" t="s">
        <v>2459</v>
      </c>
      <c r="M29" s="177"/>
    </row>
    <row r="30" spans="1:13" x14ac:dyDescent="0.25">
      <c r="A30" s="106" t="s">
        <v>2460</v>
      </c>
      <c r="B30" s="106" t="s">
        <v>2454</v>
      </c>
      <c r="C30" s="106" t="s">
        <v>333</v>
      </c>
      <c r="D30" s="106" t="s">
        <v>2461</v>
      </c>
      <c r="E30" s="106" t="s">
        <v>2462</v>
      </c>
      <c r="F30" s="106" t="s">
        <v>2347</v>
      </c>
      <c r="G30" s="106" t="s">
        <v>46</v>
      </c>
      <c r="H30" s="106" t="s">
        <v>1978</v>
      </c>
      <c r="I30" s="106" t="s">
        <v>2340</v>
      </c>
      <c r="J30" s="106" t="s">
        <v>798</v>
      </c>
      <c r="K30" s="183">
        <f>CONSOL_CR!K14-CONSOL_CR!K12</f>
        <v>216451</v>
      </c>
      <c r="L30" s="106" t="s">
        <v>2463</v>
      </c>
      <c r="M30" s="177"/>
    </row>
    <row r="31" spans="1:13" x14ac:dyDescent="0.25">
      <c r="A31" s="106" t="s">
        <v>2464</v>
      </c>
      <c r="B31" s="106" t="s">
        <v>2454</v>
      </c>
      <c r="C31" s="106" t="s">
        <v>252</v>
      </c>
      <c r="D31" s="106" t="s">
        <v>798</v>
      </c>
      <c r="E31" s="106" t="s">
        <v>2465</v>
      </c>
      <c r="F31" s="106" t="s">
        <v>2347</v>
      </c>
      <c r="G31" s="106" t="s">
        <v>43</v>
      </c>
      <c r="H31" s="106" t="s">
        <v>2466</v>
      </c>
      <c r="I31" s="106" t="s">
        <v>2340</v>
      </c>
      <c r="J31" s="106" t="s">
        <v>798</v>
      </c>
      <c r="K31" s="183">
        <f>CONSOL_BILAN!J32</f>
        <v>40544</v>
      </c>
      <c r="L31" s="106" t="s">
        <v>2467</v>
      </c>
      <c r="M31" s="177"/>
    </row>
    <row r="32" spans="1:13" x14ac:dyDescent="0.25">
      <c r="A32" s="106" t="s">
        <v>2468</v>
      </c>
      <c r="B32" s="106" t="s">
        <v>2454</v>
      </c>
      <c r="C32" s="106" t="s">
        <v>798</v>
      </c>
      <c r="D32" s="106" t="s">
        <v>798</v>
      </c>
      <c r="E32" s="106" t="s">
        <v>2469</v>
      </c>
      <c r="F32" s="106" t="s">
        <v>2332</v>
      </c>
      <c r="G32" s="106" t="s">
        <v>49</v>
      </c>
      <c r="H32" s="106" t="s">
        <v>2042</v>
      </c>
      <c r="I32" s="106" t="s">
        <v>2340</v>
      </c>
      <c r="J32" s="106" t="s">
        <v>798</v>
      </c>
      <c r="K32" s="183">
        <f>ABS(CONSOL_TRESORERIE!C14)</f>
        <v>48200</v>
      </c>
      <c r="L32" s="106" t="s">
        <v>2470</v>
      </c>
      <c r="M32" s="177"/>
    </row>
    <row r="33" spans="1:13" x14ac:dyDescent="0.25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</row>
    <row r="34" spans="1:13" x14ac:dyDescent="0.25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</row>
    <row r="35" spans="1:13" x14ac:dyDescent="0.25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</row>
    <row r="36" spans="1:13" x14ac:dyDescent="0.25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</row>
    <row r="37" spans="1:13" x14ac:dyDescent="0.25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</row>
    <row r="38" spans="1:13" x14ac:dyDescent="0.25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</row>
    <row r="39" spans="1:13" x14ac:dyDescent="0.25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</row>
    <row r="40" spans="1:13" x14ac:dyDescent="0.25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</row>
    <row r="41" spans="1:13" x14ac:dyDescent="0.25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</row>
    <row r="42" spans="1:13" x14ac:dyDescent="0.25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</row>
    <row r="43" spans="1:13" x14ac:dyDescent="0.25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</row>
    <row r="44" spans="1:13" x14ac:dyDescent="0.25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</row>
    <row r="45" spans="1:13" x14ac:dyDescent="0.2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</row>
    <row r="46" spans="1:13" x14ac:dyDescent="0.25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</row>
    <row r="47" spans="1:13" x14ac:dyDescent="0.25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</row>
    <row r="48" spans="1:13" x14ac:dyDescent="0.25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</row>
    <row r="49" spans="1:13" x14ac:dyDescent="0.25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</row>
    <row r="50" spans="1:13" x14ac:dyDescent="0.25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</row>
    <row r="51" spans="1:13" x14ac:dyDescent="0.25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</row>
    <row r="52" spans="1:13" x14ac:dyDescent="0.25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</row>
    <row r="53" spans="1:13" x14ac:dyDescent="0.25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</row>
    <row r="54" spans="1:13" x14ac:dyDescent="0.25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</row>
    <row r="55" spans="1:13" x14ac:dyDescent="0.25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</row>
    <row r="56" spans="1:13" x14ac:dyDescent="0.25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</row>
    <row r="57" spans="1:13" x14ac:dyDescent="0.25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</row>
    <row r="58" spans="1:13" x14ac:dyDescent="0.25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</row>
    <row r="59" spans="1:13" x14ac:dyDescent="0.25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</row>
    <row r="60" spans="1:13" x14ac:dyDescent="0.25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</row>
    <row r="61" spans="1:13" x14ac:dyDescent="0.25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</row>
    <row r="62" spans="1:13" x14ac:dyDescent="0.25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</row>
    <row r="63" spans="1:13" x14ac:dyDescent="0.25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</row>
    <row r="64" spans="1:13" x14ac:dyDescent="0.25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</row>
    <row r="65" spans="1:13" x14ac:dyDescent="0.25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</row>
    <row r="66" spans="1:13" x14ac:dyDescent="0.25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</row>
    <row r="67" spans="1:13" x14ac:dyDescent="0.25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</row>
    <row r="68" spans="1:13" x14ac:dyDescent="0.25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</row>
    <row r="69" spans="1:13" x14ac:dyDescent="0.25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</row>
    <row r="70" spans="1:13" x14ac:dyDescent="0.25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</row>
    <row r="71" spans="1:13" x14ac:dyDescent="0.25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</row>
    <row r="72" spans="1:13" x14ac:dyDescent="0.25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</row>
    <row r="73" spans="1:13" x14ac:dyDescent="0.25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</row>
    <row r="74" spans="1:13" x14ac:dyDescent="0.25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</row>
    <row r="75" spans="1:13" x14ac:dyDescent="0.2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</row>
    <row r="76" spans="1:13" x14ac:dyDescent="0.25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</row>
    <row r="77" spans="1:13" x14ac:dyDescent="0.25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</row>
    <row r="78" spans="1:13" x14ac:dyDescent="0.25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</row>
    <row r="79" spans="1:13" x14ac:dyDescent="0.25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</row>
    <row r="80" spans="1:13" x14ac:dyDescent="0.25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</row>
    <row r="81" spans="1:13" x14ac:dyDescent="0.25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</row>
    <row r="82" spans="1:13" x14ac:dyDescent="0.25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</row>
    <row r="83" spans="1:13" x14ac:dyDescent="0.25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</row>
    <row r="84" spans="1:13" x14ac:dyDescent="0.25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</row>
    <row r="85" spans="1:13" x14ac:dyDescent="0.2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</row>
    <row r="86" spans="1:13" x14ac:dyDescent="0.25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</row>
    <row r="87" spans="1:13" x14ac:dyDescent="0.25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</row>
    <row r="88" spans="1:13" x14ac:dyDescent="0.25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</row>
    <row r="89" spans="1:13" x14ac:dyDescent="0.25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</row>
    <row r="90" spans="1:13" x14ac:dyDescent="0.25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</row>
    <row r="91" spans="1:13" x14ac:dyDescent="0.25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</row>
    <row r="92" spans="1:13" x14ac:dyDescent="0.25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</row>
    <row r="93" spans="1:13" x14ac:dyDescent="0.25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</row>
    <row r="94" spans="1:13" x14ac:dyDescent="0.25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</row>
    <row r="95" spans="1:13" x14ac:dyDescent="0.2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</row>
    <row r="96" spans="1:13" x14ac:dyDescent="0.25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</row>
    <row r="97" spans="1:13" x14ac:dyDescent="0.25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</row>
    <row r="98" spans="1:13" x14ac:dyDescent="0.25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</row>
    <row r="99" spans="1:13" x14ac:dyDescent="0.25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</row>
    <row r="100" spans="1:13" x14ac:dyDescent="0.25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</row>
    <row r="101" spans="1:13" x14ac:dyDescent="0.25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</row>
    <row r="102" spans="1:13" x14ac:dyDescent="0.25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</row>
    <row r="103" spans="1:13" x14ac:dyDescent="0.25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</row>
    <row r="104" spans="1:13" x14ac:dyDescent="0.25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</row>
    <row r="105" spans="1:13" x14ac:dyDescent="0.2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</row>
    <row r="106" spans="1:13" x14ac:dyDescent="0.25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</row>
    <row r="107" spans="1:13" x14ac:dyDescent="0.25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</row>
    <row r="108" spans="1:13" x14ac:dyDescent="0.25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</row>
    <row r="109" spans="1:13" x14ac:dyDescent="0.25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</row>
    <row r="110" spans="1:13" x14ac:dyDescent="0.25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</row>
    <row r="111" spans="1:13" x14ac:dyDescent="0.25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</row>
    <row r="112" spans="1:13" x14ac:dyDescent="0.25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</row>
    <row r="113" spans="1:13" x14ac:dyDescent="0.25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</row>
    <row r="114" spans="1:13" x14ac:dyDescent="0.25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</row>
    <row r="115" spans="1:13" x14ac:dyDescent="0.2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</row>
    <row r="116" spans="1:13" x14ac:dyDescent="0.25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</row>
    <row r="117" spans="1:13" x14ac:dyDescent="0.25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</row>
    <row r="118" spans="1:13" x14ac:dyDescent="0.25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</row>
    <row r="119" spans="1:13" x14ac:dyDescent="0.25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</row>
    <row r="120" spans="1:13" x14ac:dyDescent="0.25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</row>
  </sheetData>
  <mergeCells count="2">
    <mergeCell ref="A1:L1"/>
    <mergeCell ref="A2:L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3946-B4CF-4AD6-AC00-F9533016B439}">
  <sheetPr>
    <tabColor rgb="FF0D47A1"/>
  </sheetPr>
  <dimension ref="A1:E300"/>
  <sheetViews>
    <sheetView tabSelected="1" workbookViewId="0">
      <selection sqref="A1:E1"/>
    </sheetView>
  </sheetViews>
  <sheetFormatPr baseColWidth="10" defaultRowHeight="15" x14ac:dyDescent="0.25"/>
  <cols>
    <col min="1" max="1" width="45.7109375" customWidth="1"/>
    <col min="2" max="2" width="19" customWidth="1"/>
    <col min="3" max="3" width="41.85546875" customWidth="1"/>
    <col min="4" max="4" width="76.140625" customWidth="1"/>
    <col min="5" max="5" width="34.28515625" customWidth="1"/>
  </cols>
  <sheetData>
    <row r="1" spans="1:5" ht="18.75" x14ac:dyDescent="0.3">
      <c r="A1" s="603" t="s">
        <v>2471</v>
      </c>
      <c r="B1" s="603"/>
      <c r="C1" s="603"/>
      <c r="D1" s="603"/>
      <c r="E1" s="603"/>
    </row>
    <row r="2" spans="1:5" x14ac:dyDescent="0.25">
      <c r="A2" s="604" t="s">
        <v>2472</v>
      </c>
      <c r="B2" s="604"/>
      <c r="C2" s="604"/>
      <c r="D2" s="604"/>
      <c r="E2" s="604"/>
    </row>
    <row r="3" spans="1:5" x14ac:dyDescent="0.25">
      <c r="A3" s="184"/>
      <c r="B3" s="184"/>
      <c r="C3" s="184"/>
      <c r="D3" s="184"/>
      <c r="E3" s="184"/>
    </row>
    <row r="4" spans="1:5" ht="330" customHeight="1" x14ac:dyDescent="0.25">
      <c r="A4" s="605" t="s">
        <v>2473</v>
      </c>
      <c r="B4" s="605"/>
      <c r="C4" s="605"/>
      <c r="D4" s="605"/>
      <c r="E4" s="605"/>
    </row>
    <row r="5" spans="1:5" x14ac:dyDescent="0.25">
      <c r="A5" s="186" t="s">
        <v>2474</v>
      </c>
      <c r="B5" s="186" t="s">
        <v>1655</v>
      </c>
      <c r="C5" s="186" t="s">
        <v>16</v>
      </c>
      <c r="D5" s="186" t="s">
        <v>1656</v>
      </c>
      <c r="E5" s="186" t="s">
        <v>1657</v>
      </c>
    </row>
    <row r="6" spans="1:5" ht="60.75" x14ac:dyDescent="0.25">
      <c r="A6" s="187" t="s">
        <v>2475</v>
      </c>
      <c r="B6" s="185" t="s">
        <v>2476</v>
      </c>
      <c r="C6" s="188" t="s">
        <v>2477</v>
      </c>
      <c r="D6" s="189" t="s">
        <v>2478</v>
      </c>
      <c r="E6" s="185" t="s">
        <v>2479</v>
      </c>
    </row>
    <row r="7" spans="1:5" ht="60.75" x14ac:dyDescent="0.25">
      <c r="A7" s="187" t="s">
        <v>2480</v>
      </c>
      <c r="B7" s="185" t="s">
        <v>2476</v>
      </c>
      <c r="C7" s="188" t="s">
        <v>2481</v>
      </c>
      <c r="D7" s="189" t="s">
        <v>2482</v>
      </c>
      <c r="E7" s="185" t="s">
        <v>2483</v>
      </c>
    </row>
    <row r="8" spans="1:5" ht="60.75" x14ac:dyDescent="0.25">
      <c r="A8" s="187" t="s">
        <v>2484</v>
      </c>
      <c r="B8" s="185" t="s">
        <v>2476</v>
      </c>
      <c r="C8" s="188" t="s">
        <v>2485</v>
      </c>
      <c r="D8" s="189" t="s">
        <v>2486</v>
      </c>
      <c r="E8" s="185" t="s">
        <v>2487</v>
      </c>
    </row>
    <row r="9" spans="1:5" ht="48.75" x14ac:dyDescent="0.25">
      <c r="A9" s="187" t="s">
        <v>2488</v>
      </c>
      <c r="B9" s="185" t="s">
        <v>2476</v>
      </c>
      <c r="C9" s="188" t="s">
        <v>2489</v>
      </c>
      <c r="D9" s="189" t="s">
        <v>2490</v>
      </c>
      <c r="E9" s="185" t="s">
        <v>2491</v>
      </c>
    </row>
    <row r="10" spans="1:5" ht="48.75" x14ac:dyDescent="0.25">
      <c r="A10" s="187" t="s">
        <v>2492</v>
      </c>
      <c r="B10" s="185" t="s">
        <v>2476</v>
      </c>
      <c r="C10" s="188" t="s">
        <v>2493</v>
      </c>
      <c r="D10" s="189" t="s">
        <v>2494</v>
      </c>
      <c r="E10" s="185" t="s">
        <v>2495</v>
      </c>
    </row>
    <row r="11" spans="1:5" ht="96.75" x14ac:dyDescent="0.25">
      <c r="A11" s="187" t="s">
        <v>2496</v>
      </c>
      <c r="B11" s="185" t="s">
        <v>2476</v>
      </c>
      <c r="C11" s="188" t="s">
        <v>2497</v>
      </c>
      <c r="D11" s="189" t="s">
        <v>2498</v>
      </c>
      <c r="E11" s="185" t="s">
        <v>2499</v>
      </c>
    </row>
    <row r="12" spans="1:5" ht="180.75" x14ac:dyDescent="0.25">
      <c r="A12" s="187" t="s">
        <v>2500</v>
      </c>
      <c r="B12" s="185" t="s">
        <v>2476</v>
      </c>
      <c r="C12" s="188" t="s">
        <v>2501</v>
      </c>
      <c r="D12" s="189" t="s">
        <v>2502</v>
      </c>
      <c r="E12" s="185" t="s">
        <v>2503</v>
      </c>
    </row>
    <row r="13" spans="1:5" ht="132.75" x14ac:dyDescent="0.25">
      <c r="A13" s="187" t="s">
        <v>2504</v>
      </c>
      <c r="B13" s="185" t="s">
        <v>2476</v>
      </c>
      <c r="C13" s="188" t="s">
        <v>2505</v>
      </c>
      <c r="D13" s="189" t="s">
        <v>2506</v>
      </c>
      <c r="E13" s="185" t="s">
        <v>2507</v>
      </c>
    </row>
    <row r="14" spans="1:5" ht="132.75" x14ac:dyDescent="0.25">
      <c r="A14" s="187" t="s">
        <v>2508</v>
      </c>
      <c r="B14" s="185" t="s">
        <v>2476</v>
      </c>
      <c r="C14" s="188" t="s">
        <v>2509</v>
      </c>
      <c r="D14" s="189" t="s">
        <v>2510</v>
      </c>
      <c r="E14" s="185" t="s">
        <v>2511</v>
      </c>
    </row>
    <row r="15" spans="1:5" x14ac:dyDescent="0.25">
      <c r="A15" s="184"/>
      <c r="B15" s="184"/>
      <c r="C15" s="184"/>
      <c r="D15" s="184"/>
      <c r="E15" s="184"/>
    </row>
    <row r="16" spans="1:5" ht="315" customHeight="1" x14ac:dyDescent="0.25">
      <c r="A16" s="606" t="s">
        <v>2512</v>
      </c>
      <c r="B16" s="606"/>
      <c r="C16" s="606"/>
      <c r="D16" s="606"/>
      <c r="E16" s="606"/>
    </row>
    <row r="17" spans="1:5" x14ac:dyDescent="0.25">
      <c r="A17" s="186" t="s">
        <v>2474</v>
      </c>
      <c r="B17" s="186" t="s">
        <v>1655</v>
      </c>
      <c r="C17" s="186" t="s">
        <v>16</v>
      </c>
      <c r="D17" s="186" t="s">
        <v>1656</v>
      </c>
      <c r="E17" s="186" t="s">
        <v>1657</v>
      </c>
    </row>
    <row r="18" spans="1:5" ht="48.75" x14ac:dyDescent="0.25">
      <c r="A18" s="187" t="s">
        <v>2513</v>
      </c>
      <c r="B18" s="185" t="s">
        <v>2476</v>
      </c>
      <c r="C18" s="188" t="s">
        <v>2514</v>
      </c>
      <c r="D18" s="189" t="s">
        <v>2515</v>
      </c>
      <c r="E18" s="185" t="s">
        <v>2516</v>
      </c>
    </row>
    <row r="19" spans="1:5" ht="60.75" x14ac:dyDescent="0.25">
      <c r="A19" s="187" t="s">
        <v>2517</v>
      </c>
      <c r="B19" s="185" t="s">
        <v>2476</v>
      </c>
      <c r="C19" s="188" t="s">
        <v>2518</v>
      </c>
      <c r="D19" s="189" t="s">
        <v>2519</v>
      </c>
      <c r="E19" s="185" t="s">
        <v>2520</v>
      </c>
    </row>
    <row r="20" spans="1:5" ht="96.75" x14ac:dyDescent="0.25">
      <c r="A20" s="187" t="s">
        <v>2521</v>
      </c>
      <c r="B20" s="185" t="s">
        <v>2476</v>
      </c>
      <c r="C20" s="188" t="s">
        <v>2522</v>
      </c>
      <c r="D20" s="189" t="s">
        <v>2523</v>
      </c>
      <c r="E20" s="185" t="s">
        <v>2524</v>
      </c>
    </row>
    <row r="21" spans="1:5" x14ac:dyDescent="0.25">
      <c r="A21" s="184"/>
      <c r="B21" s="184"/>
      <c r="C21" s="184"/>
      <c r="D21" s="184"/>
      <c r="E21" s="184"/>
    </row>
    <row r="22" spans="1:5" ht="330" customHeight="1" x14ac:dyDescent="0.25">
      <c r="A22" s="607" t="s">
        <v>2525</v>
      </c>
      <c r="B22" s="607"/>
      <c r="C22" s="607"/>
      <c r="D22" s="607"/>
      <c r="E22" s="607"/>
    </row>
    <row r="23" spans="1:5" x14ac:dyDescent="0.25">
      <c r="A23" s="186" t="s">
        <v>2474</v>
      </c>
      <c r="B23" s="186" t="s">
        <v>1655</v>
      </c>
      <c r="C23" s="186" t="s">
        <v>16</v>
      </c>
      <c r="D23" s="186" t="s">
        <v>1656</v>
      </c>
      <c r="E23" s="186" t="s">
        <v>1657</v>
      </c>
    </row>
    <row r="24" spans="1:5" ht="24.75" x14ac:dyDescent="0.25">
      <c r="A24" s="187" t="s">
        <v>2526</v>
      </c>
      <c r="B24" s="185" t="s">
        <v>2476</v>
      </c>
      <c r="C24" s="188" t="s">
        <v>2527</v>
      </c>
      <c r="D24" s="189" t="s">
        <v>2528</v>
      </c>
      <c r="E24" s="185" t="s">
        <v>2529</v>
      </c>
    </row>
    <row r="25" spans="1:5" ht="72.75" x14ac:dyDescent="0.25">
      <c r="A25" s="187" t="s">
        <v>2530</v>
      </c>
      <c r="B25" s="185" t="s">
        <v>2476</v>
      </c>
      <c r="C25" s="188" t="s">
        <v>2531</v>
      </c>
      <c r="D25" s="189" t="s">
        <v>2532</v>
      </c>
      <c r="E25" s="185" t="s">
        <v>2533</v>
      </c>
    </row>
    <row r="26" spans="1:5" ht="72.75" x14ac:dyDescent="0.25">
      <c r="A26" s="187" t="s">
        <v>2534</v>
      </c>
      <c r="B26" s="185" t="s">
        <v>2476</v>
      </c>
      <c r="C26" s="188" t="s">
        <v>2535</v>
      </c>
      <c r="D26" s="189" t="s">
        <v>2536</v>
      </c>
      <c r="E26" s="185" t="s">
        <v>2537</v>
      </c>
    </row>
    <row r="27" spans="1:5" ht="72.75" x14ac:dyDescent="0.25">
      <c r="A27" s="187" t="s">
        <v>2538</v>
      </c>
      <c r="B27" s="185" t="s">
        <v>2476</v>
      </c>
      <c r="C27" s="188" t="s">
        <v>2539</v>
      </c>
      <c r="D27" s="189" t="s">
        <v>2540</v>
      </c>
      <c r="E27" s="185" t="s">
        <v>2529</v>
      </c>
    </row>
    <row r="28" spans="1:5" ht="156.75" x14ac:dyDescent="0.25">
      <c r="A28" s="187" t="s">
        <v>2541</v>
      </c>
      <c r="B28" s="185" t="s">
        <v>2476</v>
      </c>
      <c r="C28" s="188" t="s">
        <v>2542</v>
      </c>
      <c r="D28" s="189" t="s">
        <v>2543</v>
      </c>
      <c r="E28" s="185" t="s">
        <v>2544</v>
      </c>
    </row>
    <row r="29" spans="1:5" ht="84.75" x14ac:dyDescent="0.25">
      <c r="A29" s="187" t="s">
        <v>2545</v>
      </c>
      <c r="B29" s="185" t="s">
        <v>2476</v>
      </c>
      <c r="C29" s="188" t="s">
        <v>2546</v>
      </c>
      <c r="D29" s="189" t="s">
        <v>2547</v>
      </c>
      <c r="E29" s="185" t="s">
        <v>2548</v>
      </c>
    </row>
    <row r="30" spans="1:5" ht="120.75" x14ac:dyDescent="0.25">
      <c r="A30" s="187" t="s">
        <v>2549</v>
      </c>
      <c r="B30" s="185" t="s">
        <v>2476</v>
      </c>
      <c r="C30" s="188" t="s">
        <v>2550</v>
      </c>
      <c r="D30" s="189" t="s">
        <v>2551</v>
      </c>
      <c r="E30" s="185" t="s">
        <v>2552</v>
      </c>
    </row>
    <row r="31" spans="1:5" ht="108.75" x14ac:dyDescent="0.25">
      <c r="A31" s="187" t="s">
        <v>2553</v>
      </c>
      <c r="B31" s="185" t="s">
        <v>2476</v>
      </c>
      <c r="C31" s="188" t="s">
        <v>2554</v>
      </c>
      <c r="D31" s="189" t="s">
        <v>2555</v>
      </c>
      <c r="E31" s="185" t="s">
        <v>2556</v>
      </c>
    </row>
    <row r="32" spans="1:5" x14ac:dyDescent="0.25">
      <c r="A32" s="184"/>
      <c r="B32" s="184"/>
      <c r="C32" s="184"/>
      <c r="D32" s="184"/>
      <c r="E32" s="184"/>
    </row>
    <row r="33" spans="1:5" ht="315" customHeight="1" x14ac:dyDescent="0.25">
      <c r="A33" s="608" t="s">
        <v>2557</v>
      </c>
      <c r="B33" s="608"/>
      <c r="C33" s="608"/>
      <c r="D33" s="608"/>
      <c r="E33" s="608"/>
    </row>
    <row r="34" spans="1:5" x14ac:dyDescent="0.25">
      <c r="A34" s="186" t="s">
        <v>2474</v>
      </c>
      <c r="B34" s="186" t="s">
        <v>1655</v>
      </c>
      <c r="C34" s="186" t="s">
        <v>16</v>
      </c>
      <c r="D34" s="186" t="s">
        <v>1656</v>
      </c>
      <c r="E34" s="186" t="s">
        <v>1657</v>
      </c>
    </row>
    <row r="35" spans="1:5" ht="84.75" x14ac:dyDescent="0.25">
      <c r="A35" s="187" t="s">
        <v>2558</v>
      </c>
      <c r="B35" s="185" t="s">
        <v>2476</v>
      </c>
      <c r="C35" s="188" t="s">
        <v>2559</v>
      </c>
      <c r="D35" s="189" t="s">
        <v>2560</v>
      </c>
      <c r="E35" s="185" t="s">
        <v>2561</v>
      </c>
    </row>
    <row r="36" spans="1:5" ht="24.75" x14ac:dyDescent="0.25">
      <c r="A36" s="187" t="s">
        <v>2562</v>
      </c>
      <c r="B36" s="185" t="s">
        <v>2476</v>
      </c>
      <c r="C36" s="188" t="s">
        <v>2563</v>
      </c>
      <c r="D36" s="189" t="s">
        <v>2564</v>
      </c>
      <c r="E36" s="185" t="s">
        <v>2565</v>
      </c>
    </row>
    <row r="37" spans="1:5" ht="60.75" x14ac:dyDescent="0.25">
      <c r="A37" s="187" t="s">
        <v>2566</v>
      </c>
      <c r="B37" s="185" t="s">
        <v>2476</v>
      </c>
      <c r="C37" s="188" t="s">
        <v>2567</v>
      </c>
      <c r="D37" s="189" t="s">
        <v>2568</v>
      </c>
      <c r="E37" s="185" t="s">
        <v>2569</v>
      </c>
    </row>
    <row r="38" spans="1:5" x14ac:dyDescent="0.25">
      <c r="A38" s="184"/>
      <c r="B38" s="184"/>
      <c r="C38" s="184"/>
      <c r="D38" s="184"/>
      <c r="E38" s="184"/>
    </row>
    <row r="39" spans="1:5" ht="360" customHeight="1" x14ac:dyDescent="0.25">
      <c r="A39" s="601" t="s">
        <v>2570</v>
      </c>
      <c r="B39" s="601"/>
      <c r="C39" s="601"/>
      <c r="D39" s="601"/>
      <c r="E39" s="601"/>
    </row>
    <row r="40" spans="1:5" x14ac:dyDescent="0.25">
      <c r="A40" s="186" t="s">
        <v>2474</v>
      </c>
      <c r="B40" s="186" t="s">
        <v>1655</v>
      </c>
      <c r="C40" s="186" t="s">
        <v>16</v>
      </c>
      <c r="D40" s="186" t="s">
        <v>1656</v>
      </c>
      <c r="E40" s="186" t="s">
        <v>1657</v>
      </c>
    </row>
    <row r="41" spans="1:5" ht="180.75" x14ac:dyDescent="0.25">
      <c r="A41" s="187" t="s">
        <v>2571</v>
      </c>
      <c r="B41" s="185" t="s">
        <v>2476</v>
      </c>
      <c r="C41" s="188" t="s">
        <v>2572</v>
      </c>
      <c r="D41" s="189" t="s">
        <v>2573</v>
      </c>
      <c r="E41" s="185" t="s">
        <v>2574</v>
      </c>
    </row>
    <row r="42" spans="1:5" ht="156.75" x14ac:dyDescent="0.25">
      <c r="A42" s="187" t="s">
        <v>2575</v>
      </c>
      <c r="B42" s="185" t="s">
        <v>2476</v>
      </c>
      <c r="C42" s="188" t="s">
        <v>2576</v>
      </c>
      <c r="D42" s="189" t="s">
        <v>2577</v>
      </c>
      <c r="E42" s="185" t="s">
        <v>2578</v>
      </c>
    </row>
    <row r="43" spans="1:5" ht="156.75" x14ac:dyDescent="0.25">
      <c r="A43" s="187" t="s">
        <v>2579</v>
      </c>
      <c r="B43" s="185" t="s">
        <v>2476</v>
      </c>
      <c r="C43" s="188" t="s">
        <v>2580</v>
      </c>
      <c r="D43" s="189" t="s">
        <v>2581</v>
      </c>
      <c r="E43" s="185" t="s">
        <v>2582</v>
      </c>
    </row>
    <row r="44" spans="1:5" ht="72.75" x14ac:dyDescent="0.25">
      <c r="A44" s="187" t="s">
        <v>2583</v>
      </c>
      <c r="B44" s="185" t="s">
        <v>2476</v>
      </c>
      <c r="C44" s="188" t="s">
        <v>2584</v>
      </c>
      <c r="D44" s="189" t="s">
        <v>2585</v>
      </c>
      <c r="E44" s="185" t="s">
        <v>2586</v>
      </c>
    </row>
    <row r="45" spans="1:5" ht="60.75" x14ac:dyDescent="0.25">
      <c r="A45" s="187" t="s">
        <v>2587</v>
      </c>
      <c r="B45" s="185" t="s">
        <v>2476</v>
      </c>
      <c r="C45" s="188" t="s">
        <v>2588</v>
      </c>
      <c r="D45" s="189" t="s">
        <v>2589</v>
      </c>
      <c r="E45" s="185" t="s">
        <v>2590</v>
      </c>
    </row>
    <row r="46" spans="1:5" ht="156.75" x14ac:dyDescent="0.25">
      <c r="A46" s="187" t="s">
        <v>2591</v>
      </c>
      <c r="B46" s="185" t="s">
        <v>2476</v>
      </c>
      <c r="C46" s="188" t="s">
        <v>2592</v>
      </c>
      <c r="D46" s="189" t="s">
        <v>2593</v>
      </c>
      <c r="E46" s="185" t="s">
        <v>2594</v>
      </c>
    </row>
    <row r="47" spans="1:5" x14ac:dyDescent="0.25">
      <c r="A47" s="184"/>
      <c r="B47" s="184"/>
      <c r="C47" s="184"/>
      <c r="D47" s="184"/>
      <c r="E47" s="184"/>
    </row>
    <row r="48" spans="1:5" ht="375" customHeight="1" x14ac:dyDescent="0.25">
      <c r="A48" s="602" t="s">
        <v>2595</v>
      </c>
      <c r="B48" s="602"/>
      <c r="C48" s="602"/>
      <c r="D48" s="602"/>
      <c r="E48" s="602"/>
    </row>
    <row r="49" spans="1:5" x14ac:dyDescent="0.25">
      <c r="A49" s="186" t="s">
        <v>2474</v>
      </c>
      <c r="B49" s="186" t="s">
        <v>1655</v>
      </c>
      <c r="C49" s="186" t="s">
        <v>16</v>
      </c>
      <c r="D49" s="186" t="s">
        <v>1656</v>
      </c>
      <c r="E49" s="186" t="s">
        <v>1657</v>
      </c>
    </row>
    <row r="50" spans="1:5" ht="120.75" x14ac:dyDescent="0.25">
      <c r="A50" s="187" t="s">
        <v>2596</v>
      </c>
      <c r="B50" s="185" t="s">
        <v>2476</v>
      </c>
      <c r="C50" s="188" t="s">
        <v>2597</v>
      </c>
      <c r="D50" s="189" t="s">
        <v>2598</v>
      </c>
      <c r="E50" s="185" t="s">
        <v>2599</v>
      </c>
    </row>
    <row r="51" spans="1:5" x14ac:dyDescent="0.25">
      <c r="A51" s="184"/>
      <c r="B51" s="184"/>
      <c r="C51" s="184"/>
      <c r="D51" s="184"/>
      <c r="E51" s="184"/>
    </row>
    <row r="52" spans="1:5" x14ac:dyDescent="0.25">
      <c r="A52" s="184"/>
      <c r="B52" s="184"/>
      <c r="C52" s="184"/>
      <c r="D52" s="184"/>
      <c r="E52" s="184"/>
    </row>
    <row r="53" spans="1:5" x14ac:dyDescent="0.25">
      <c r="A53" s="184"/>
      <c r="B53" s="184"/>
      <c r="C53" s="184"/>
      <c r="D53" s="184"/>
      <c r="E53" s="184"/>
    </row>
    <row r="54" spans="1:5" x14ac:dyDescent="0.25">
      <c r="A54" s="184"/>
      <c r="B54" s="184"/>
      <c r="C54" s="184"/>
      <c r="D54" s="184"/>
      <c r="E54" s="184"/>
    </row>
    <row r="55" spans="1:5" x14ac:dyDescent="0.25">
      <c r="A55" s="184"/>
      <c r="B55" s="184"/>
      <c r="C55" s="184"/>
      <c r="D55" s="184"/>
      <c r="E55" s="184"/>
    </row>
    <row r="56" spans="1:5" x14ac:dyDescent="0.25">
      <c r="A56" s="184"/>
      <c r="B56" s="184"/>
      <c r="C56" s="184"/>
      <c r="D56" s="184"/>
      <c r="E56" s="184"/>
    </row>
    <row r="57" spans="1:5" x14ac:dyDescent="0.25">
      <c r="A57" s="184"/>
      <c r="B57" s="184"/>
      <c r="C57" s="184"/>
      <c r="D57" s="184"/>
      <c r="E57" s="184"/>
    </row>
    <row r="58" spans="1:5" x14ac:dyDescent="0.25">
      <c r="A58" s="184"/>
      <c r="B58" s="184"/>
      <c r="C58" s="184"/>
      <c r="D58" s="184"/>
      <c r="E58" s="184"/>
    </row>
    <row r="59" spans="1:5" x14ac:dyDescent="0.25">
      <c r="A59" s="184"/>
      <c r="B59" s="184"/>
      <c r="C59" s="184"/>
      <c r="D59" s="184"/>
      <c r="E59" s="184"/>
    </row>
    <row r="60" spans="1:5" x14ac:dyDescent="0.25">
      <c r="A60" s="184"/>
      <c r="B60" s="184"/>
      <c r="C60" s="184"/>
      <c r="D60" s="184"/>
      <c r="E60" s="184"/>
    </row>
    <row r="61" spans="1:5" x14ac:dyDescent="0.25">
      <c r="A61" s="184"/>
      <c r="B61" s="184"/>
      <c r="C61" s="184"/>
      <c r="D61" s="184"/>
      <c r="E61" s="184"/>
    </row>
    <row r="62" spans="1:5" x14ac:dyDescent="0.25">
      <c r="A62" s="184"/>
      <c r="B62" s="184"/>
      <c r="C62" s="184"/>
      <c r="D62" s="184"/>
      <c r="E62" s="184"/>
    </row>
    <row r="63" spans="1:5" x14ac:dyDescent="0.25">
      <c r="A63" s="184"/>
      <c r="B63" s="184"/>
      <c r="C63" s="184"/>
      <c r="D63" s="184"/>
      <c r="E63" s="184"/>
    </row>
    <row r="64" spans="1:5" x14ac:dyDescent="0.25">
      <c r="A64" s="184"/>
      <c r="B64" s="184"/>
      <c r="C64" s="184"/>
      <c r="D64" s="184"/>
      <c r="E64" s="184"/>
    </row>
    <row r="65" spans="1:5" x14ac:dyDescent="0.25">
      <c r="A65" s="184"/>
      <c r="B65" s="184"/>
      <c r="C65" s="184"/>
      <c r="D65" s="184"/>
      <c r="E65" s="184"/>
    </row>
    <row r="66" spans="1:5" x14ac:dyDescent="0.25">
      <c r="A66" s="184"/>
      <c r="B66" s="184"/>
      <c r="C66" s="184"/>
      <c r="D66" s="184"/>
      <c r="E66" s="184"/>
    </row>
    <row r="67" spans="1:5" x14ac:dyDescent="0.25">
      <c r="A67" s="184"/>
      <c r="B67" s="184"/>
      <c r="C67" s="184"/>
      <c r="D67" s="184"/>
      <c r="E67" s="184"/>
    </row>
    <row r="68" spans="1:5" x14ac:dyDescent="0.25">
      <c r="A68" s="184"/>
      <c r="B68" s="184"/>
      <c r="C68" s="184"/>
      <c r="D68" s="184"/>
      <c r="E68" s="184"/>
    </row>
    <row r="69" spans="1:5" x14ac:dyDescent="0.25">
      <c r="A69" s="184"/>
      <c r="B69" s="184"/>
      <c r="C69" s="184"/>
      <c r="D69" s="184"/>
      <c r="E69" s="184"/>
    </row>
    <row r="70" spans="1:5" x14ac:dyDescent="0.25">
      <c r="A70" s="184"/>
      <c r="B70" s="184"/>
      <c r="C70" s="184"/>
      <c r="D70" s="184"/>
      <c r="E70" s="184"/>
    </row>
    <row r="71" spans="1:5" x14ac:dyDescent="0.25">
      <c r="A71" s="184"/>
      <c r="B71" s="184"/>
      <c r="C71" s="184"/>
      <c r="D71" s="184"/>
      <c r="E71" s="184"/>
    </row>
    <row r="72" spans="1:5" x14ac:dyDescent="0.25">
      <c r="A72" s="184"/>
      <c r="B72" s="184"/>
      <c r="C72" s="184"/>
      <c r="D72" s="184"/>
      <c r="E72" s="184"/>
    </row>
    <row r="73" spans="1:5" x14ac:dyDescent="0.25">
      <c r="A73" s="184"/>
      <c r="B73" s="184"/>
      <c r="C73" s="184"/>
      <c r="D73" s="184"/>
      <c r="E73" s="184"/>
    </row>
    <row r="74" spans="1:5" x14ac:dyDescent="0.25">
      <c r="A74" s="184"/>
      <c r="B74" s="184"/>
      <c r="C74" s="184"/>
      <c r="D74" s="184"/>
      <c r="E74" s="184"/>
    </row>
    <row r="75" spans="1:5" x14ac:dyDescent="0.25">
      <c r="A75" s="184"/>
      <c r="B75" s="184"/>
      <c r="C75" s="184"/>
      <c r="D75" s="184"/>
      <c r="E75" s="184"/>
    </row>
    <row r="76" spans="1:5" x14ac:dyDescent="0.25">
      <c r="A76" s="184"/>
      <c r="B76" s="184"/>
      <c r="C76" s="184"/>
      <c r="D76" s="184"/>
      <c r="E76" s="184"/>
    </row>
    <row r="77" spans="1:5" x14ac:dyDescent="0.25">
      <c r="A77" s="184"/>
      <c r="B77" s="184"/>
      <c r="C77" s="184"/>
      <c r="D77" s="184"/>
      <c r="E77" s="184"/>
    </row>
    <row r="78" spans="1:5" x14ac:dyDescent="0.25">
      <c r="A78" s="184"/>
      <c r="B78" s="184"/>
      <c r="C78" s="184"/>
      <c r="D78" s="184"/>
      <c r="E78" s="184"/>
    </row>
    <row r="79" spans="1:5" x14ac:dyDescent="0.25">
      <c r="A79" s="184"/>
      <c r="B79" s="184"/>
      <c r="C79" s="184"/>
      <c r="D79" s="184"/>
      <c r="E79" s="184"/>
    </row>
    <row r="80" spans="1:5" x14ac:dyDescent="0.25">
      <c r="A80" s="184"/>
      <c r="B80" s="184"/>
      <c r="C80" s="184"/>
      <c r="D80" s="184"/>
      <c r="E80" s="184"/>
    </row>
    <row r="81" spans="1:5" x14ac:dyDescent="0.25">
      <c r="A81" s="184"/>
      <c r="B81" s="184"/>
      <c r="C81" s="184"/>
      <c r="D81" s="184"/>
      <c r="E81" s="184"/>
    </row>
    <row r="82" spans="1:5" x14ac:dyDescent="0.25">
      <c r="A82" s="184"/>
      <c r="B82" s="184"/>
      <c r="C82" s="184"/>
      <c r="D82" s="184"/>
      <c r="E82" s="184"/>
    </row>
    <row r="83" spans="1:5" x14ac:dyDescent="0.25">
      <c r="A83" s="184"/>
      <c r="B83" s="184"/>
      <c r="C83" s="184"/>
      <c r="D83" s="184"/>
      <c r="E83" s="184"/>
    </row>
    <row r="84" spans="1:5" x14ac:dyDescent="0.25">
      <c r="A84" s="184"/>
      <c r="B84" s="184"/>
      <c r="C84" s="184"/>
      <c r="D84" s="184"/>
      <c r="E84" s="184"/>
    </row>
    <row r="85" spans="1:5" x14ac:dyDescent="0.25">
      <c r="A85" s="184"/>
      <c r="B85" s="184"/>
      <c r="C85" s="184"/>
      <c r="D85" s="184"/>
      <c r="E85" s="184"/>
    </row>
    <row r="86" spans="1:5" x14ac:dyDescent="0.25">
      <c r="A86" s="184"/>
      <c r="B86" s="184"/>
      <c r="C86" s="184"/>
      <c r="D86" s="184"/>
      <c r="E86" s="184"/>
    </row>
    <row r="87" spans="1:5" x14ac:dyDescent="0.25">
      <c r="A87" s="184"/>
      <c r="B87" s="184"/>
      <c r="C87" s="184"/>
      <c r="D87" s="184"/>
      <c r="E87" s="184"/>
    </row>
    <row r="88" spans="1:5" x14ac:dyDescent="0.25">
      <c r="A88" s="184"/>
      <c r="B88" s="184"/>
      <c r="C88" s="184"/>
      <c r="D88" s="184"/>
      <c r="E88" s="184"/>
    </row>
    <row r="89" spans="1:5" x14ac:dyDescent="0.25">
      <c r="A89" s="184"/>
      <c r="B89" s="184"/>
      <c r="C89" s="184"/>
      <c r="D89" s="184"/>
      <c r="E89" s="184"/>
    </row>
    <row r="90" spans="1:5" x14ac:dyDescent="0.25">
      <c r="A90" s="184"/>
      <c r="B90" s="184"/>
      <c r="C90" s="184"/>
      <c r="D90" s="184"/>
      <c r="E90" s="184"/>
    </row>
    <row r="91" spans="1:5" x14ac:dyDescent="0.25">
      <c r="A91" s="184"/>
      <c r="B91" s="184"/>
      <c r="C91" s="184"/>
      <c r="D91" s="184"/>
      <c r="E91" s="184"/>
    </row>
    <row r="92" spans="1:5" x14ac:dyDescent="0.25">
      <c r="A92" s="184"/>
      <c r="B92" s="184"/>
      <c r="C92" s="184"/>
      <c r="D92" s="184"/>
      <c r="E92" s="184"/>
    </row>
    <row r="93" spans="1:5" x14ac:dyDescent="0.25">
      <c r="A93" s="184"/>
      <c r="B93" s="184"/>
      <c r="C93" s="184"/>
      <c r="D93" s="184"/>
      <c r="E93" s="184"/>
    </row>
    <row r="94" spans="1:5" x14ac:dyDescent="0.25">
      <c r="A94" s="184"/>
      <c r="B94" s="184"/>
      <c r="C94" s="184"/>
      <c r="D94" s="184"/>
      <c r="E94" s="184"/>
    </row>
    <row r="95" spans="1:5" x14ac:dyDescent="0.25">
      <c r="A95" s="184"/>
      <c r="B95" s="184"/>
      <c r="C95" s="184"/>
      <c r="D95" s="184"/>
      <c r="E95" s="184"/>
    </row>
    <row r="96" spans="1:5" x14ac:dyDescent="0.25">
      <c r="A96" s="184"/>
      <c r="B96" s="184"/>
      <c r="C96" s="184"/>
      <c r="D96" s="184"/>
      <c r="E96" s="184"/>
    </row>
    <row r="97" spans="1:5" x14ac:dyDescent="0.25">
      <c r="A97" s="184"/>
      <c r="B97" s="184"/>
      <c r="C97" s="184"/>
      <c r="D97" s="184"/>
      <c r="E97" s="184"/>
    </row>
    <row r="98" spans="1:5" x14ac:dyDescent="0.25">
      <c r="A98" s="184"/>
      <c r="B98" s="184"/>
      <c r="C98" s="184"/>
      <c r="D98" s="184"/>
      <c r="E98" s="184"/>
    </row>
    <row r="99" spans="1:5" x14ac:dyDescent="0.25">
      <c r="A99" s="184"/>
      <c r="B99" s="184"/>
      <c r="C99" s="184"/>
      <c r="D99" s="184"/>
      <c r="E99" s="184"/>
    </row>
    <row r="100" spans="1:5" x14ac:dyDescent="0.25">
      <c r="A100" s="184"/>
      <c r="B100" s="184"/>
      <c r="C100" s="184"/>
      <c r="D100" s="184"/>
      <c r="E100" s="184"/>
    </row>
    <row r="101" spans="1:5" x14ac:dyDescent="0.25">
      <c r="A101" s="184"/>
      <c r="B101" s="184"/>
      <c r="C101" s="184"/>
      <c r="D101" s="184"/>
      <c r="E101" s="184"/>
    </row>
    <row r="102" spans="1:5" x14ac:dyDescent="0.25">
      <c r="A102" s="184"/>
      <c r="B102" s="184"/>
      <c r="C102" s="184"/>
      <c r="D102" s="184"/>
      <c r="E102" s="184"/>
    </row>
    <row r="103" spans="1:5" x14ac:dyDescent="0.25">
      <c r="A103" s="184"/>
      <c r="B103" s="184"/>
      <c r="C103" s="184"/>
      <c r="D103" s="184"/>
      <c r="E103" s="184"/>
    </row>
    <row r="104" spans="1:5" x14ac:dyDescent="0.25">
      <c r="A104" s="184"/>
      <c r="B104" s="184"/>
      <c r="C104" s="184"/>
      <c r="D104" s="184"/>
      <c r="E104" s="184"/>
    </row>
    <row r="105" spans="1:5" x14ac:dyDescent="0.25">
      <c r="A105" s="184"/>
      <c r="B105" s="184"/>
      <c r="C105" s="184"/>
      <c r="D105" s="184"/>
      <c r="E105" s="184"/>
    </row>
    <row r="106" spans="1:5" x14ac:dyDescent="0.25">
      <c r="A106" s="184"/>
      <c r="B106" s="184"/>
      <c r="C106" s="184"/>
      <c r="D106" s="184"/>
      <c r="E106" s="184"/>
    </row>
    <row r="107" spans="1:5" x14ac:dyDescent="0.25">
      <c r="A107" s="184"/>
      <c r="B107" s="184"/>
      <c r="C107" s="184"/>
      <c r="D107" s="184"/>
      <c r="E107" s="184"/>
    </row>
    <row r="108" spans="1:5" x14ac:dyDescent="0.25">
      <c r="A108" s="184"/>
      <c r="B108" s="184"/>
      <c r="C108" s="184"/>
      <c r="D108" s="184"/>
      <c r="E108" s="184"/>
    </row>
    <row r="109" spans="1:5" x14ac:dyDescent="0.25">
      <c r="A109" s="184"/>
      <c r="B109" s="184"/>
      <c r="C109" s="184"/>
      <c r="D109" s="184"/>
      <c r="E109" s="184"/>
    </row>
    <row r="110" spans="1:5" x14ac:dyDescent="0.25">
      <c r="A110" s="184"/>
      <c r="B110" s="184"/>
      <c r="C110" s="184"/>
      <c r="D110" s="184"/>
      <c r="E110" s="184"/>
    </row>
    <row r="111" spans="1:5" x14ac:dyDescent="0.25">
      <c r="A111" s="184"/>
      <c r="B111" s="184"/>
      <c r="C111" s="184"/>
      <c r="D111" s="184"/>
      <c r="E111" s="184"/>
    </row>
    <row r="112" spans="1:5" x14ac:dyDescent="0.25">
      <c r="A112" s="184"/>
      <c r="B112" s="184"/>
      <c r="C112" s="184"/>
      <c r="D112" s="184"/>
      <c r="E112" s="184"/>
    </row>
    <row r="113" spans="1:5" x14ac:dyDescent="0.25">
      <c r="A113" s="184"/>
      <c r="B113" s="184"/>
      <c r="C113" s="184"/>
      <c r="D113" s="184"/>
      <c r="E113" s="184"/>
    </row>
    <row r="114" spans="1:5" x14ac:dyDescent="0.25">
      <c r="A114" s="184"/>
      <c r="B114" s="184"/>
      <c r="C114" s="184"/>
      <c r="D114" s="184"/>
      <c r="E114" s="184"/>
    </row>
    <row r="115" spans="1:5" x14ac:dyDescent="0.25">
      <c r="A115" s="184"/>
      <c r="B115" s="184"/>
      <c r="C115" s="184"/>
      <c r="D115" s="184"/>
      <c r="E115" s="184"/>
    </row>
    <row r="116" spans="1:5" x14ac:dyDescent="0.25">
      <c r="A116" s="184"/>
      <c r="B116" s="184"/>
      <c r="C116" s="184"/>
      <c r="D116" s="184"/>
      <c r="E116" s="184"/>
    </row>
    <row r="117" spans="1:5" x14ac:dyDescent="0.25">
      <c r="A117" s="184"/>
      <c r="B117" s="184"/>
      <c r="C117" s="184"/>
      <c r="D117" s="184"/>
      <c r="E117" s="184"/>
    </row>
    <row r="118" spans="1:5" x14ac:dyDescent="0.25">
      <c r="A118" s="184"/>
      <c r="B118" s="184"/>
      <c r="C118" s="184"/>
      <c r="D118" s="184"/>
      <c r="E118" s="184"/>
    </row>
    <row r="119" spans="1:5" x14ac:dyDescent="0.25">
      <c r="A119" s="184"/>
      <c r="B119" s="184"/>
      <c r="C119" s="184"/>
      <c r="D119" s="184"/>
      <c r="E119" s="184"/>
    </row>
    <row r="120" spans="1:5" x14ac:dyDescent="0.25">
      <c r="A120" s="184"/>
      <c r="B120" s="184"/>
      <c r="C120" s="184"/>
      <c r="D120" s="184"/>
      <c r="E120" s="184"/>
    </row>
    <row r="121" spans="1:5" x14ac:dyDescent="0.25">
      <c r="A121" s="184"/>
      <c r="B121" s="184"/>
      <c r="C121" s="184"/>
      <c r="D121" s="184"/>
      <c r="E121" s="184"/>
    </row>
    <row r="122" spans="1:5" x14ac:dyDescent="0.25">
      <c r="A122" s="184"/>
      <c r="B122" s="184"/>
      <c r="C122" s="184"/>
      <c r="D122" s="184"/>
      <c r="E122" s="184"/>
    </row>
    <row r="123" spans="1:5" x14ac:dyDescent="0.25">
      <c r="A123" s="184"/>
      <c r="B123" s="184"/>
      <c r="C123" s="184"/>
      <c r="D123" s="184"/>
      <c r="E123" s="184"/>
    </row>
    <row r="124" spans="1:5" x14ac:dyDescent="0.25">
      <c r="A124" s="184"/>
      <c r="B124" s="184"/>
      <c r="C124" s="184"/>
      <c r="D124" s="184"/>
      <c r="E124" s="184"/>
    </row>
    <row r="125" spans="1:5" x14ac:dyDescent="0.25">
      <c r="A125" s="184"/>
      <c r="B125" s="184"/>
      <c r="C125" s="184"/>
      <c r="D125" s="184"/>
      <c r="E125" s="184"/>
    </row>
    <row r="126" spans="1:5" x14ac:dyDescent="0.25">
      <c r="A126" s="184"/>
      <c r="B126" s="184"/>
      <c r="C126" s="184"/>
      <c r="D126" s="184"/>
      <c r="E126" s="184"/>
    </row>
    <row r="127" spans="1:5" x14ac:dyDescent="0.25">
      <c r="A127" s="184"/>
      <c r="B127" s="184"/>
      <c r="C127" s="184"/>
      <c r="D127" s="184"/>
      <c r="E127" s="184"/>
    </row>
    <row r="128" spans="1:5" x14ac:dyDescent="0.25">
      <c r="A128" s="184"/>
      <c r="B128" s="184"/>
      <c r="C128" s="184"/>
      <c r="D128" s="184"/>
      <c r="E128" s="184"/>
    </row>
    <row r="129" spans="1:5" x14ac:dyDescent="0.25">
      <c r="A129" s="184"/>
      <c r="B129" s="184"/>
      <c r="C129" s="184"/>
      <c r="D129" s="184"/>
      <c r="E129" s="184"/>
    </row>
    <row r="130" spans="1:5" x14ac:dyDescent="0.25">
      <c r="A130" s="184"/>
      <c r="B130" s="184"/>
      <c r="C130" s="184"/>
      <c r="D130" s="184"/>
      <c r="E130" s="184"/>
    </row>
    <row r="131" spans="1:5" x14ac:dyDescent="0.25">
      <c r="A131" s="184"/>
      <c r="B131" s="184"/>
      <c r="C131" s="184"/>
      <c r="D131" s="184"/>
      <c r="E131" s="184"/>
    </row>
    <row r="132" spans="1:5" x14ac:dyDescent="0.25">
      <c r="A132" s="184"/>
      <c r="B132" s="184"/>
      <c r="C132" s="184"/>
      <c r="D132" s="184"/>
      <c r="E132" s="184"/>
    </row>
    <row r="133" spans="1:5" x14ac:dyDescent="0.25">
      <c r="A133" s="184"/>
      <c r="B133" s="184"/>
      <c r="C133" s="184"/>
      <c r="D133" s="184"/>
      <c r="E133" s="184"/>
    </row>
    <row r="134" spans="1:5" x14ac:dyDescent="0.25">
      <c r="A134" s="184"/>
      <c r="B134" s="184"/>
      <c r="C134" s="184"/>
      <c r="D134" s="184"/>
      <c r="E134" s="184"/>
    </row>
    <row r="135" spans="1:5" x14ac:dyDescent="0.25">
      <c r="A135" s="184"/>
      <c r="B135" s="184"/>
      <c r="C135" s="184"/>
      <c r="D135" s="184"/>
      <c r="E135" s="184"/>
    </row>
    <row r="136" spans="1:5" x14ac:dyDescent="0.25">
      <c r="A136" s="184"/>
      <c r="B136" s="184"/>
      <c r="C136" s="184"/>
      <c r="D136" s="184"/>
      <c r="E136" s="184"/>
    </row>
    <row r="137" spans="1:5" x14ac:dyDescent="0.25">
      <c r="A137" s="184"/>
      <c r="B137" s="184"/>
      <c r="C137" s="184"/>
      <c r="D137" s="184"/>
      <c r="E137" s="184"/>
    </row>
    <row r="138" spans="1:5" x14ac:dyDescent="0.25">
      <c r="A138" s="184"/>
      <c r="B138" s="184"/>
      <c r="C138" s="184"/>
      <c r="D138" s="184"/>
      <c r="E138" s="184"/>
    </row>
    <row r="139" spans="1:5" x14ac:dyDescent="0.25">
      <c r="A139" s="184"/>
      <c r="B139" s="184"/>
      <c r="C139" s="184"/>
      <c r="D139" s="184"/>
      <c r="E139" s="184"/>
    </row>
    <row r="140" spans="1:5" x14ac:dyDescent="0.25">
      <c r="A140" s="184"/>
      <c r="B140" s="184"/>
      <c r="C140" s="184"/>
      <c r="D140" s="184"/>
      <c r="E140" s="184"/>
    </row>
    <row r="141" spans="1:5" x14ac:dyDescent="0.25">
      <c r="A141" s="184"/>
      <c r="B141" s="184"/>
      <c r="C141" s="184"/>
      <c r="D141" s="184"/>
      <c r="E141" s="184"/>
    </row>
    <row r="142" spans="1:5" x14ac:dyDescent="0.25">
      <c r="A142" s="184"/>
      <c r="B142" s="184"/>
      <c r="C142" s="184"/>
      <c r="D142" s="184"/>
      <c r="E142" s="184"/>
    </row>
    <row r="143" spans="1:5" x14ac:dyDescent="0.25">
      <c r="A143" s="184"/>
      <c r="B143" s="184"/>
      <c r="C143" s="184"/>
      <c r="D143" s="184"/>
      <c r="E143" s="184"/>
    </row>
    <row r="144" spans="1:5" x14ac:dyDescent="0.25">
      <c r="A144" s="184"/>
      <c r="B144" s="184"/>
      <c r="C144" s="184"/>
      <c r="D144" s="184"/>
      <c r="E144" s="184"/>
    </row>
    <row r="145" spans="1:5" x14ac:dyDescent="0.25">
      <c r="A145" s="184"/>
      <c r="B145" s="184"/>
      <c r="C145" s="184"/>
      <c r="D145" s="184"/>
      <c r="E145" s="184"/>
    </row>
    <row r="146" spans="1:5" x14ac:dyDescent="0.25">
      <c r="A146" s="184"/>
      <c r="B146" s="184"/>
      <c r="C146" s="184"/>
      <c r="D146" s="184"/>
      <c r="E146" s="184"/>
    </row>
    <row r="147" spans="1:5" x14ac:dyDescent="0.25">
      <c r="A147" s="184"/>
      <c r="B147" s="184"/>
      <c r="C147" s="184"/>
      <c r="D147" s="184"/>
      <c r="E147" s="184"/>
    </row>
    <row r="148" spans="1:5" x14ac:dyDescent="0.25">
      <c r="A148" s="184"/>
      <c r="B148" s="184"/>
      <c r="C148" s="184"/>
      <c r="D148" s="184"/>
      <c r="E148" s="184"/>
    </row>
    <row r="149" spans="1:5" x14ac:dyDescent="0.25">
      <c r="A149" s="184"/>
      <c r="B149" s="184"/>
      <c r="C149" s="184"/>
      <c r="D149" s="184"/>
      <c r="E149" s="184"/>
    </row>
    <row r="150" spans="1:5" x14ac:dyDescent="0.25">
      <c r="A150" s="184"/>
      <c r="B150" s="184"/>
      <c r="C150" s="184"/>
      <c r="D150" s="184"/>
      <c r="E150" s="184"/>
    </row>
    <row r="151" spans="1:5" x14ac:dyDescent="0.25">
      <c r="A151" s="184"/>
      <c r="B151" s="184"/>
      <c r="C151" s="184"/>
      <c r="D151" s="184"/>
      <c r="E151" s="184"/>
    </row>
    <row r="152" spans="1:5" x14ac:dyDescent="0.25">
      <c r="A152" s="184"/>
      <c r="B152" s="184"/>
      <c r="C152" s="184"/>
      <c r="D152" s="184"/>
      <c r="E152" s="184"/>
    </row>
    <row r="153" spans="1:5" x14ac:dyDescent="0.25">
      <c r="A153" s="184"/>
      <c r="B153" s="184"/>
      <c r="C153" s="184"/>
      <c r="D153" s="184"/>
      <c r="E153" s="184"/>
    </row>
    <row r="154" spans="1:5" x14ac:dyDescent="0.25">
      <c r="A154" s="184"/>
      <c r="B154" s="184"/>
      <c r="C154" s="184"/>
      <c r="D154" s="184"/>
      <c r="E154" s="184"/>
    </row>
    <row r="155" spans="1:5" x14ac:dyDescent="0.25">
      <c r="A155" s="184"/>
      <c r="B155" s="184"/>
      <c r="C155" s="184"/>
      <c r="D155" s="184"/>
      <c r="E155" s="184"/>
    </row>
    <row r="156" spans="1:5" x14ac:dyDescent="0.25">
      <c r="A156" s="184"/>
      <c r="B156" s="184"/>
      <c r="C156" s="184"/>
      <c r="D156" s="184"/>
      <c r="E156" s="184"/>
    </row>
    <row r="157" spans="1:5" x14ac:dyDescent="0.25">
      <c r="A157" s="184"/>
      <c r="B157" s="184"/>
      <c r="C157" s="184"/>
      <c r="D157" s="184"/>
      <c r="E157" s="184"/>
    </row>
    <row r="158" spans="1:5" x14ac:dyDescent="0.25">
      <c r="A158" s="184"/>
      <c r="B158" s="184"/>
      <c r="C158" s="184"/>
      <c r="D158" s="184"/>
      <c r="E158" s="184"/>
    </row>
    <row r="159" spans="1:5" x14ac:dyDescent="0.25">
      <c r="A159" s="184"/>
      <c r="B159" s="184"/>
      <c r="C159" s="184"/>
      <c r="D159" s="184"/>
      <c r="E159" s="184"/>
    </row>
    <row r="160" spans="1:5" x14ac:dyDescent="0.25">
      <c r="A160" s="184"/>
      <c r="B160" s="184"/>
      <c r="C160" s="184"/>
      <c r="D160" s="184"/>
      <c r="E160" s="184"/>
    </row>
    <row r="161" spans="1:5" x14ac:dyDescent="0.25">
      <c r="A161" s="184"/>
      <c r="B161" s="184"/>
      <c r="C161" s="184"/>
      <c r="D161" s="184"/>
      <c r="E161" s="184"/>
    </row>
    <row r="162" spans="1:5" x14ac:dyDescent="0.25">
      <c r="A162" s="184"/>
      <c r="B162" s="184"/>
      <c r="C162" s="184"/>
      <c r="D162" s="184"/>
      <c r="E162" s="184"/>
    </row>
    <row r="163" spans="1:5" x14ac:dyDescent="0.25">
      <c r="A163" s="184"/>
      <c r="B163" s="184"/>
      <c r="C163" s="184"/>
      <c r="D163" s="184"/>
      <c r="E163" s="184"/>
    </row>
    <row r="164" spans="1:5" x14ac:dyDescent="0.25">
      <c r="A164" s="184"/>
      <c r="B164" s="184"/>
      <c r="C164" s="184"/>
      <c r="D164" s="184"/>
      <c r="E164" s="184"/>
    </row>
    <row r="165" spans="1:5" x14ac:dyDescent="0.25">
      <c r="A165" s="184"/>
      <c r="B165" s="184"/>
      <c r="C165" s="184"/>
      <c r="D165" s="184"/>
      <c r="E165" s="184"/>
    </row>
    <row r="166" spans="1:5" x14ac:dyDescent="0.25">
      <c r="A166" s="184"/>
      <c r="B166" s="184"/>
      <c r="C166" s="184"/>
      <c r="D166" s="184"/>
      <c r="E166" s="184"/>
    </row>
    <row r="167" spans="1:5" x14ac:dyDescent="0.25">
      <c r="A167" s="184"/>
      <c r="B167" s="184"/>
      <c r="C167" s="184"/>
      <c r="D167" s="184"/>
      <c r="E167" s="184"/>
    </row>
    <row r="168" spans="1:5" x14ac:dyDescent="0.25">
      <c r="A168" s="184"/>
      <c r="B168" s="184"/>
      <c r="C168" s="184"/>
      <c r="D168" s="184"/>
      <c r="E168" s="184"/>
    </row>
    <row r="169" spans="1:5" x14ac:dyDescent="0.25">
      <c r="A169" s="184"/>
      <c r="B169" s="184"/>
      <c r="C169" s="184"/>
      <c r="D169" s="184"/>
      <c r="E169" s="184"/>
    </row>
    <row r="170" spans="1:5" x14ac:dyDescent="0.25">
      <c r="A170" s="184"/>
      <c r="B170" s="184"/>
      <c r="C170" s="184"/>
      <c r="D170" s="184"/>
      <c r="E170" s="184"/>
    </row>
    <row r="171" spans="1:5" x14ac:dyDescent="0.25">
      <c r="A171" s="184"/>
      <c r="B171" s="184"/>
      <c r="C171" s="184"/>
      <c r="D171" s="184"/>
      <c r="E171" s="184"/>
    </row>
    <row r="172" spans="1:5" x14ac:dyDescent="0.25">
      <c r="A172" s="184"/>
      <c r="B172" s="184"/>
      <c r="C172" s="184"/>
      <c r="D172" s="184"/>
      <c r="E172" s="184"/>
    </row>
    <row r="173" spans="1:5" x14ac:dyDescent="0.25">
      <c r="A173" s="184"/>
      <c r="B173" s="184"/>
      <c r="C173" s="184"/>
      <c r="D173" s="184"/>
      <c r="E173" s="184"/>
    </row>
    <row r="174" spans="1:5" x14ac:dyDescent="0.25">
      <c r="A174" s="184"/>
      <c r="B174" s="184"/>
      <c r="C174" s="184"/>
      <c r="D174" s="184"/>
      <c r="E174" s="184"/>
    </row>
    <row r="175" spans="1:5" x14ac:dyDescent="0.25">
      <c r="A175" s="184"/>
      <c r="B175" s="184"/>
      <c r="C175" s="184"/>
      <c r="D175" s="184"/>
      <c r="E175" s="184"/>
    </row>
    <row r="176" spans="1:5" x14ac:dyDescent="0.25">
      <c r="A176" s="184"/>
      <c r="B176" s="184"/>
      <c r="C176" s="184"/>
      <c r="D176" s="184"/>
      <c r="E176" s="184"/>
    </row>
    <row r="177" spans="1:5" x14ac:dyDescent="0.25">
      <c r="A177" s="184"/>
      <c r="B177" s="184"/>
      <c r="C177" s="184"/>
      <c r="D177" s="184"/>
      <c r="E177" s="184"/>
    </row>
    <row r="178" spans="1:5" x14ac:dyDescent="0.25">
      <c r="A178" s="184"/>
      <c r="B178" s="184"/>
      <c r="C178" s="184"/>
      <c r="D178" s="184"/>
      <c r="E178" s="184"/>
    </row>
    <row r="179" spans="1:5" x14ac:dyDescent="0.25">
      <c r="A179" s="184"/>
      <c r="B179" s="184"/>
      <c r="C179" s="184"/>
      <c r="D179" s="184"/>
      <c r="E179" s="184"/>
    </row>
    <row r="180" spans="1:5" x14ac:dyDescent="0.25">
      <c r="A180" s="184"/>
      <c r="B180" s="184"/>
      <c r="C180" s="184"/>
      <c r="D180" s="184"/>
      <c r="E180" s="184"/>
    </row>
    <row r="181" spans="1:5" x14ac:dyDescent="0.25">
      <c r="A181" s="184"/>
      <c r="B181" s="184"/>
      <c r="C181" s="184"/>
      <c r="D181" s="184"/>
      <c r="E181" s="184"/>
    </row>
    <row r="182" spans="1:5" x14ac:dyDescent="0.25">
      <c r="A182" s="184"/>
      <c r="B182" s="184"/>
      <c r="C182" s="184"/>
      <c r="D182" s="184"/>
      <c r="E182" s="184"/>
    </row>
    <row r="183" spans="1:5" x14ac:dyDescent="0.25">
      <c r="A183" s="184"/>
      <c r="B183" s="184"/>
      <c r="C183" s="184"/>
      <c r="D183" s="184"/>
      <c r="E183" s="184"/>
    </row>
    <row r="184" spans="1:5" x14ac:dyDescent="0.25">
      <c r="A184" s="184"/>
      <c r="B184" s="184"/>
      <c r="C184" s="184"/>
      <c r="D184" s="184"/>
      <c r="E184" s="184"/>
    </row>
    <row r="185" spans="1:5" x14ac:dyDescent="0.25">
      <c r="A185" s="184"/>
      <c r="B185" s="184"/>
      <c r="C185" s="184"/>
      <c r="D185" s="184"/>
      <c r="E185" s="184"/>
    </row>
    <row r="186" spans="1:5" x14ac:dyDescent="0.25">
      <c r="A186" s="184"/>
      <c r="B186" s="184"/>
      <c r="C186" s="184"/>
      <c r="D186" s="184"/>
      <c r="E186" s="184"/>
    </row>
    <row r="187" spans="1:5" x14ac:dyDescent="0.25">
      <c r="A187" s="184"/>
      <c r="B187" s="184"/>
      <c r="C187" s="184"/>
      <c r="D187" s="184"/>
      <c r="E187" s="184"/>
    </row>
    <row r="188" spans="1:5" x14ac:dyDescent="0.25">
      <c r="A188" s="184"/>
      <c r="B188" s="184"/>
      <c r="C188" s="184"/>
      <c r="D188" s="184"/>
      <c r="E188" s="184"/>
    </row>
    <row r="189" spans="1:5" x14ac:dyDescent="0.25">
      <c r="A189" s="184"/>
      <c r="B189" s="184"/>
      <c r="C189" s="184"/>
      <c r="D189" s="184"/>
      <c r="E189" s="184"/>
    </row>
    <row r="190" spans="1:5" x14ac:dyDescent="0.25">
      <c r="A190" s="184"/>
      <c r="B190" s="184"/>
      <c r="C190" s="184"/>
      <c r="D190" s="184"/>
      <c r="E190" s="184"/>
    </row>
    <row r="191" spans="1:5" x14ac:dyDescent="0.25">
      <c r="A191" s="184"/>
      <c r="B191" s="184"/>
      <c r="C191" s="184"/>
      <c r="D191" s="184"/>
      <c r="E191" s="184"/>
    </row>
    <row r="192" spans="1:5" x14ac:dyDescent="0.25">
      <c r="A192" s="184"/>
      <c r="B192" s="184"/>
      <c r="C192" s="184"/>
      <c r="D192" s="184"/>
      <c r="E192" s="184"/>
    </row>
    <row r="193" spans="1:5" x14ac:dyDescent="0.25">
      <c r="A193" s="184"/>
      <c r="B193" s="184"/>
      <c r="C193" s="184"/>
      <c r="D193" s="184"/>
      <c r="E193" s="184"/>
    </row>
    <row r="194" spans="1:5" x14ac:dyDescent="0.25">
      <c r="A194" s="184"/>
      <c r="B194" s="184"/>
      <c r="C194" s="184"/>
      <c r="D194" s="184"/>
      <c r="E194" s="184"/>
    </row>
    <row r="195" spans="1:5" x14ac:dyDescent="0.25">
      <c r="A195" s="184"/>
      <c r="B195" s="184"/>
      <c r="C195" s="184"/>
      <c r="D195" s="184"/>
      <c r="E195" s="184"/>
    </row>
    <row r="196" spans="1:5" x14ac:dyDescent="0.25">
      <c r="A196" s="184"/>
      <c r="B196" s="184"/>
      <c r="C196" s="184"/>
      <c r="D196" s="184"/>
      <c r="E196" s="184"/>
    </row>
    <row r="197" spans="1:5" x14ac:dyDescent="0.25">
      <c r="A197" s="184"/>
      <c r="B197" s="184"/>
      <c r="C197" s="184"/>
      <c r="D197" s="184"/>
      <c r="E197" s="184"/>
    </row>
    <row r="198" spans="1:5" x14ac:dyDescent="0.25">
      <c r="A198" s="184"/>
      <c r="B198" s="184"/>
      <c r="C198" s="184"/>
      <c r="D198" s="184"/>
      <c r="E198" s="184"/>
    </row>
    <row r="199" spans="1:5" x14ac:dyDescent="0.25">
      <c r="A199" s="184"/>
      <c r="B199" s="184"/>
      <c r="C199" s="184"/>
      <c r="D199" s="184"/>
      <c r="E199" s="184"/>
    </row>
    <row r="200" spans="1:5" x14ac:dyDescent="0.25">
      <c r="A200" s="184"/>
      <c r="B200" s="184"/>
      <c r="C200" s="184"/>
      <c r="D200" s="184"/>
      <c r="E200" s="184"/>
    </row>
    <row r="201" spans="1:5" x14ac:dyDescent="0.25">
      <c r="A201" s="184"/>
      <c r="B201" s="184"/>
      <c r="C201" s="184"/>
      <c r="D201" s="184"/>
      <c r="E201" s="184"/>
    </row>
    <row r="202" spans="1:5" x14ac:dyDescent="0.25">
      <c r="A202" s="184"/>
      <c r="B202" s="184"/>
      <c r="C202" s="184"/>
      <c r="D202" s="184"/>
      <c r="E202" s="184"/>
    </row>
    <row r="203" spans="1:5" x14ac:dyDescent="0.25">
      <c r="A203" s="184"/>
      <c r="B203" s="184"/>
      <c r="C203" s="184"/>
      <c r="D203" s="184"/>
      <c r="E203" s="184"/>
    </row>
    <row r="204" spans="1:5" x14ac:dyDescent="0.25">
      <c r="A204" s="184"/>
      <c r="B204" s="184"/>
      <c r="C204" s="184"/>
      <c r="D204" s="184"/>
      <c r="E204" s="184"/>
    </row>
    <row r="205" spans="1:5" x14ac:dyDescent="0.25">
      <c r="A205" s="184"/>
      <c r="B205" s="184"/>
      <c r="C205" s="184"/>
      <c r="D205" s="184"/>
      <c r="E205" s="184"/>
    </row>
    <row r="206" spans="1:5" x14ac:dyDescent="0.25">
      <c r="A206" s="184"/>
      <c r="B206" s="184"/>
      <c r="C206" s="184"/>
      <c r="D206" s="184"/>
      <c r="E206" s="184"/>
    </row>
    <row r="207" spans="1:5" x14ac:dyDescent="0.25">
      <c r="A207" s="184"/>
      <c r="B207" s="184"/>
      <c r="C207" s="184"/>
      <c r="D207" s="184"/>
      <c r="E207" s="184"/>
    </row>
    <row r="208" spans="1:5" x14ac:dyDescent="0.25">
      <c r="A208" s="184"/>
      <c r="B208" s="184"/>
      <c r="C208" s="184"/>
      <c r="D208" s="184"/>
      <c r="E208" s="184"/>
    </row>
    <row r="209" spans="1:5" x14ac:dyDescent="0.25">
      <c r="A209" s="184"/>
      <c r="B209" s="184"/>
      <c r="C209" s="184"/>
      <c r="D209" s="184"/>
      <c r="E209" s="184"/>
    </row>
    <row r="210" spans="1:5" x14ac:dyDescent="0.25">
      <c r="A210" s="184"/>
      <c r="B210" s="184"/>
      <c r="C210" s="184"/>
      <c r="D210" s="184"/>
      <c r="E210" s="184"/>
    </row>
    <row r="211" spans="1:5" x14ac:dyDescent="0.25">
      <c r="A211" s="184"/>
      <c r="B211" s="184"/>
      <c r="C211" s="184"/>
      <c r="D211" s="184"/>
      <c r="E211" s="184"/>
    </row>
    <row r="212" spans="1:5" x14ac:dyDescent="0.25">
      <c r="A212" s="184"/>
      <c r="B212" s="184"/>
      <c r="C212" s="184"/>
      <c r="D212" s="184"/>
      <c r="E212" s="184"/>
    </row>
    <row r="213" spans="1:5" x14ac:dyDescent="0.25">
      <c r="A213" s="184"/>
      <c r="B213" s="184"/>
      <c r="C213" s="184"/>
      <c r="D213" s="184"/>
      <c r="E213" s="184"/>
    </row>
    <row r="214" spans="1:5" x14ac:dyDescent="0.25">
      <c r="A214" s="184"/>
      <c r="B214" s="184"/>
      <c r="C214" s="184"/>
      <c r="D214" s="184"/>
      <c r="E214" s="184"/>
    </row>
    <row r="215" spans="1:5" x14ac:dyDescent="0.25">
      <c r="A215" s="184"/>
      <c r="B215" s="184"/>
      <c r="C215" s="184"/>
      <c r="D215" s="184"/>
      <c r="E215" s="184"/>
    </row>
    <row r="216" spans="1:5" x14ac:dyDescent="0.25">
      <c r="A216" s="184"/>
      <c r="B216" s="184"/>
      <c r="C216" s="184"/>
      <c r="D216" s="184"/>
      <c r="E216" s="184"/>
    </row>
    <row r="217" spans="1:5" x14ac:dyDescent="0.25">
      <c r="A217" s="184"/>
      <c r="B217" s="184"/>
      <c r="C217" s="184"/>
      <c r="D217" s="184"/>
      <c r="E217" s="184"/>
    </row>
    <row r="218" spans="1:5" x14ac:dyDescent="0.25">
      <c r="A218" s="184"/>
      <c r="B218" s="184"/>
      <c r="C218" s="184"/>
      <c r="D218" s="184"/>
      <c r="E218" s="184"/>
    </row>
    <row r="219" spans="1:5" x14ac:dyDescent="0.25">
      <c r="A219" s="184"/>
      <c r="B219" s="184"/>
      <c r="C219" s="184"/>
      <c r="D219" s="184"/>
      <c r="E219" s="184"/>
    </row>
    <row r="220" spans="1:5" x14ac:dyDescent="0.25">
      <c r="A220" s="184"/>
      <c r="B220" s="184"/>
      <c r="C220" s="184"/>
      <c r="D220" s="184"/>
      <c r="E220" s="184"/>
    </row>
    <row r="221" spans="1:5" x14ac:dyDescent="0.25">
      <c r="A221" s="184"/>
      <c r="B221" s="184"/>
      <c r="C221" s="184"/>
      <c r="D221" s="184"/>
      <c r="E221" s="184"/>
    </row>
    <row r="222" spans="1:5" x14ac:dyDescent="0.25">
      <c r="A222" s="184"/>
      <c r="B222" s="184"/>
      <c r="C222" s="184"/>
      <c r="D222" s="184"/>
      <c r="E222" s="184"/>
    </row>
    <row r="223" spans="1:5" x14ac:dyDescent="0.25">
      <c r="A223" s="184"/>
      <c r="B223" s="184"/>
      <c r="C223" s="184"/>
      <c r="D223" s="184"/>
      <c r="E223" s="184"/>
    </row>
    <row r="224" spans="1:5" x14ac:dyDescent="0.25">
      <c r="A224" s="184"/>
      <c r="B224" s="184"/>
      <c r="C224" s="184"/>
      <c r="D224" s="184"/>
      <c r="E224" s="184"/>
    </row>
    <row r="225" spans="1:5" x14ac:dyDescent="0.25">
      <c r="A225" s="184"/>
      <c r="B225" s="184"/>
      <c r="C225" s="184"/>
      <c r="D225" s="184"/>
      <c r="E225" s="184"/>
    </row>
    <row r="226" spans="1:5" x14ac:dyDescent="0.25">
      <c r="A226" s="184"/>
      <c r="B226" s="184"/>
      <c r="C226" s="184"/>
      <c r="D226" s="184"/>
      <c r="E226" s="184"/>
    </row>
    <row r="227" spans="1:5" x14ac:dyDescent="0.25">
      <c r="A227" s="184"/>
      <c r="B227" s="184"/>
      <c r="C227" s="184"/>
      <c r="D227" s="184"/>
      <c r="E227" s="184"/>
    </row>
    <row r="228" spans="1:5" x14ac:dyDescent="0.25">
      <c r="A228" s="184"/>
      <c r="B228" s="184"/>
      <c r="C228" s="184"/>
      <c r="D228" s="184"/>
      <c r="E228" s="184"/>
    </row>
    <row r="229" spans="1:5" x14ac:dyDescent="0.25">
      <c r="A229" s="184"/>
      <c r="B229" s="184"/>
      <c r="C229" s="184"/>
      <c r="D229" s="184"/>
      <c r="E229" s="184"/>
    </row>
    <row r="230" spans="1:5" x14ac:dyDescent="0.25">
      <c r="A230" s="184"/>
      <c r="B230" s="184"/>
      <c r="C230" s="184"/>
      <c r="D230" s="184"/>
      <c r="E230" s="184"/>
    </row>
    <row r="231" spans="1:5" x14ac:dyDescent="0.25">
      <c r="A231" s="184"/>
      <c r="B231" s="184"/>
      <c r="C231" s="184"/>
      <c r="D231" s="184"/>
      <c r="E231" s="184"/>
    </row>
    <row r="232" spans="1:5" x14ac:dyDescent="0.25">
      <c r="A232" s="184"/>
      <c r="B232" s="184"/>
      <c r="C232" s="184"/>
      <c r="D232" s="184"/>
      <c r="E232" s="184"/>
    </row>
    <row r="233" spans="1:5" x14ac:dyDescent="0.25">
      <c r="A233" s="184"/>
      <c r="B233" s="184"/>
      <c r="C233" s="184"/>
      <c r="D233" s="184"/>
      <c r="E233" s="184"/>
    </row>
    <row r="234" spans="1:5" x14ac:dyDescent="0.25">
      <c r="A234" s="184"/>
      <c r="B234" s="184"/>
      <c r="C234" s="184"/>
      <c r="D234" s="184"/>
      <c r="E234" s="184"/>
    </row>
    <row r="235" spans="1:5" x14ac:dyDescent="0.25">
      <c r="A235" s="184"/>
      <c r="B235" s="184"/>
      <c r="C235" s="184"/>
      <c r="D235" s="184"/>
      <c r="E235" s="184"/>
    </row>
    <row r="236" spans="1:5" x14ac:dyDescent="0.25">
      <c r="A236" s="184"/>
      <c r="B236" s="184"/>
      <c r="C236" s="184"/>
      <c r="D236" s="184"/>
      <c r="E236" s="184"/>
    </row>
    <row r="237" spans="1:5" x14ac:dyDescent="0.25">
      <c r="A237" s="184"/>
      <c r="B237" s="184"/>
      <c r="C237" s="184"/>
      <c r="D237" s="184"/>
      <c r="E237" s="184"/>
    </row>
    <row r="238" spans="1:5" x14ac:dyDescent="0.25">
      <c r="A238" s="184"/>
      <c r="B238" s="184"/>
      <c r="C238" s="184"/>
      <c r="D238" s="184"/>
      <c r="E238" s="184"/>
    </row>
    <row r="239" spans="1:5" x14ac:dyDescent="0.25">
      <c r="A239" s="184"/>
      <c r="B239" s="184"/>
      <c r="C239" s="184"/>
      <c r="D239" s="184"/>
      <c r="E239" s="184"/>
    </row>
    <row r="240" spans="1:5" x14ac:dyDescent="0.25">
      <c r="A240" s="184"/>
      <c r="B240" s="184"/>
      <c r="C240" s="184"/>
      <c r="D240" s="184"/>
      <c r="E240" s="184"/>
    </row>
    <row r="241" spans="1:5" x14ac:dyDescent="0.25">
      <c r="A241" s="184"/>
      <c r="B241" s="184"/>
      <c r="C241" s="184"/>
      <c r="D241" s="184"/>
      <c r="E241" s="184"/>
    </row>
    <row r="242" spans="1:5" x14ac:dyDescent="0.25">
      <c r="A242" s="184"/>
      <c r="B242" s="184"/>
      <c r="C242" s="184"/>
      <c r="D242" s="184"/>
      <c r="E242" s="184"/>
    </row>
    <row r="243" spans="1:5" x14ac:dyDescent="0.25">
      <c r="A243" s="184"/>
      <c r="B243" s="184"/>
      <c r="C243" s="184"/>
      <c r="D243" s="184"/>
      <c r="E243" s="184"/>
    </row>
    <row r="244" spans="1:5" x14ac:dyDescent="0.25">
      <c r="A244" s="184"/>
      <c r="B244" s="184"/>
      <c r="C244" s="184"/>
      <c r="D244" s="184"/>
      <c r="E244" s="184"/>
    </row>
    <row r="245" spans="1:5" x14ac:dyDescent="0.25">
      <c r="A245" s="184"/>
      <c r="B245" s="184"/>
      <c r="C245" s="184"/>
      <c r="D245" s="184"/>
      <c r="E245" s="184"/>
    </row>
    <row r="246" spans="1:5" x14ac:dyDescent="0.25">
      <c r="A246" s="184"/>
      <c r="B246" s="184"/>
      <c r="C246" s="184"/>
      <c r="D246" s="184"/>
      <c r="E246" s="184"/>
    </row>
    <row r="247" spans="1:5" x14ac:dyDescent="0.25">
      <c r="A247" s="184"/>
      <c r="B247" s="184"/>
      <c r="C247" s="184"/>
      <c r="D247" s="184"/>
      <c r="E247" s="184"/>
    </row>
    <row r="248" spans="1:5" x14ac:dyDescent="0.25">
      <c r="A248" s="184"/>
      <c r="B248" s="184"/>
      <c r="C248" s="184"/>
      <c r="D248" s="184"/>
      <c r="E248" s="184"/>
    </row>
    <row r="249" spans="1:5" x14ac:dyDescent="0.25">
      <c r="A249" s="184"/>
      <c r="B249" s="184"/>
      <c r="C249" s="184"/>
      <c r="D249" s="184"/>
      <c r="E249" s="184"/>
    </row>
    <row r="250" spans="1:5" x14ac:dyDescent="0.25">
      <c r="A250" s="184"/>
      <c r="B250" s="184"/>
      <c r="C250" s="184"/>
      <c r="D250" s="184"/>
      <c r="E250" s="184"/>
    </row>
    <row r="251" spans="1:5" x14ac:dyDescent="0.25">
      <c r="A251" s="184"/>
      <c r="B251" s="184"/>
      <c r="C251" s="184"/>
      <c r="D251" s="184"/>
      <c r="E251" s="184"/>
    </row>
    <row r="252" spans="1:5" x14ac:dyDescent="0.25">
      <c r="A252" s="184"/>
      <c r="B252" s="184"/>
      <c r="C252" s="184"/>
      <c r="D252" s="184"/>
      <c r="E252" s="184"/>
    </row>
    <row r="253" spans="1:5" x14ac:dyDescent="0.25">
      <c r="A253" s="184"/>
      <c r="B253" s="184"/>
      <c r="C253" s="184"/>
      <c r="D253" s="184"/>
      <c r="E253" s="184"/>
    </row>
    <row r="254" spans="1:5" x14ac:dyDescent="0.25">
      <c r="A254" s="184"/>
      <c r="B254" s="184"/>
      <c r="C254" s="184"/>
      <c r="D254" s="184"/>
      <c r="E254" s="184"/>
    </row>
    <row r="255" spans="1:5" x14ac:dyDescent="0.25">
      <c r="A255" s="184"/>
      <c r="B255" s="184"/>
      <c r="C255" s="184"/>
      <c r="D255" s="184"/>
      <c r="E255" s="184"/>
    </row>
    <row r="256" spans="1:5" x14ac:dyDescent="0.25">
      <c r="A256" s="184"/>
      <c r="B256" s="184"/>
      <c r="C256" s="184"/>
      <c r="D256" s="184"/>
      <c r="E256" s="184"/>
    </row>
    <row r="257" spans="1:5" x14ac:dyDescent="0.25">
      <c r="A257" s="184"/>
      <c r="B257" s="184"/>
      <c r="C257" s="184"/>
      <c r="D257" s="184"/>
      <c r="E257" s="184"/>
    </row>
    <row r="258" spans="1:5" x14ac:dyDescent="0.25">
      <c r="A258" s="184"/>
      <c r="B258" s="184"/>
      <c r="C258" s="184"/>
      <c r="D258" s="184"/>
      <c r="E258" s="184"/>
    </row>
    <row r="259" spans="1:5" x14ac:dyDescent="0.25">
      <c r="A259" s="184"/>
      <c r="B259" s="184"/>
      <c r="C259" s="184"/>
      <c r="D259" s="184"/>
      <c r="E259" s="184"/>
    </row>
    <row r="260" spans="1:5" x14ac:dyDescent="0.25">
      <c r="A260" s="184"/>
      <c r="B260" s="184"/>
      <c r="C260" s="184"/>
      <c r="D260" s="184"/>
      <c r="E260" s="184"/>
    </row>
    <row r="261" spans="1:5" x14ac:dyDescent="0.25">
      <c r="A261" s="184"/>
      <c r="B261" s="184"/>
      <c r="C261" s="184"/>
      <c r="D261" s="184"/>
      <c r="E261" s="184"/>
    </row>
    <row r="262" spans="1:5" x14ac:dyDescent="0.25">
      <c r="A262" s="184"/>
      <c r="B262" s="184"/>
      <c r="C262" s="184"/>
      <c r="D262" s="184"/>
      <c r="E262" s="184"/>
    </row>
    <row r="263" spans="1:5" x14ac:dyDescent="0.25">
      <c r="A263" s="184"/>
      <c r="B263" s="184"/>
      <c r="C263" s="184"/>
      <c r="D263" s="184"/>
      <c r="E263" s="184"/>
    </row>
    <row r="264" spans="1:5" x14ac:dyDescent="0.25">
      <c r="A264" s="184"/>
      <c r="B264" s="184"/>
      <c r="C264" s="184"/>
      <c r="D264" s="184"/>
      <c r="E264" s="184"/>
    </row>
    <row r="265" spans="1:5" x14ac:dyDescent="0.25">
      <c r="A265" s="184"/>
      <c r="B265" s="184"/>
      <c r="C265" s="184"/>
      <c r="D265" s="184"/>
      <c r="E265" s="184"/>
    </row>
    <row r="266" spans="1:5" x14ac:dyDescent="0.25">
      <c r="A266" s="184"/>
      <c r="B266" s="184"/>
      <c r="C266" s="184"/>
      <c r="D266" s="184"/>
      <c r="E266" s="184"/>
    </row>
    <row r="267" spans="1:5" x14ac:dyDescent="0.25">
      <c r="A267" s="184"/>
      <c r="B267" s="184"/>
      <c r="C267" s="184"/>
      <c r="D267" s="184"/>
      <c r="E267" s="184"/>
    </row>
    <row r="268" spans="1:5" x14ac:dyDescent="0.25">
      <c r="A268" s="184"/>
      <c r="B268" s="184"/>
      <c r="C268" s="184"/>
      <c r="D268" s="184"/>
      <c r="E268" s="184"/>
    </row>
    <row r="269" spans="1:5" x14ac:dyDescent="0.25">
      <c r="A269" s="184"/>
      <c r="B269" s="184"/>
      <c r="C269" s="184"/>
      <c r="D269" s="184"/>
      <c r="E269" s="184"/>
    </row>
    <row r="270" spans="1:5" x14ac:dyDescent="0.25">
      <c r="A270" s="184"/>
      <c r="B270" s="184"/>
      <c r="C270" s="184"/>
      <c r="D270" s="184"/>
      <c r="E270" s="184"/>
    </row>
    <row r="271" spans="1:5" x14ac:dyDescent="0.25">
      <c r="A271" s="184"/>
      <c r="B271" s="184"/>
      <c r="C271" s="184"/>
      <c r="D271" s="184"/>
      <c r="E271" s="184"/>
    </row>
    <row r="272" spans="1:5" x14ac:dyDescent="0.25">
      <c r="A272" s="184"/>
      <c r="B272" s="184"/>
      <c r="C272" s="184"/>
      <c r="D272" s="184"/>
      <c r="E272" s="184"/>
    </row>
    <row r="273" spans="1:5" x14ac:dyDescent="0.25">
      <c r="A273" s="184"/>
      <c r="B273" s="184"/>
      <c r="C273" s="184"/>
      <c r="D273" s="184"/>
      <c r="E273" s="184"/>
    </row>
    <row r="274" spans="1:5" x14ac:dyDescent="0.25">
      <c r="A274" s="184"/>
      <c r="B274" s="184"/>
      <c r="C274" s="184"/>
      <c r="D274" s="184"/>
      <c r="E274" s="184"/>
    </row>
    <row r="275" spans="1:5" x14ac:dyDescent="0.25">
      <c r="A275" s="184"/>
      <c r="B275" s="184"/>
      <c r="C275" s="184"/>
      <c r="D275" s="184"/>
      <c r="E275" s="184"/>
    </row>
    <row r="276" spans="1:5" x14ac:dyDescent="0.25">
      <c r="A276" s="184"/>
      <c r="B276" s="184"/>
      <c r="C276" s="184"/>
      <c r="D276" s="184"/>
      <c r="E276" s="184"/>
    </row>
    <row r="277" spans="1:5" x14ac:dyDescent="0.25">
      <c r="A277" s="184"/>
      <c r="B277" s="184"/>
      <c r="C277" s="184"/>
      <c r="D277" s="184"/>
      <c r="E277" s="184"/>
    </row>
    <row r="278" spans="1:5" x14ac:dyDescent="0.25">
      <c r="A278" s="184"/>
      <c r="B278" s="184"/>
      <c r="C278" s="184"/>
      <c r="D278" s="184"/>
      <c r="E278" s="184"/>
    </row>
    <row r="279" spans="1:5" x14ac:dyDescent="0.25">
      <c r="A279" s="184"/>
      <c r="B279" s="184"/>
      <c r="C279" s="184"/>
      <c r="D279" s="184"/>
      <c r="E279" s="184"/>
    </row>
    <row r="280" spans="1:5" x14ac:dyDescent="0.25">
      <c r="A280" s="184"/>
      <c r="B280" s="184"/>
      <c r="C280" s="184"/>
      <c r="D280" s="184"/>
      <c r="E280" s="184"/>
    </row>
    <row r="281" spans="1:5" x14ac:dyDescent="0.25">
      <c r="A281" s="184"/>
      <c r="B281" s="184"/>
      <c r="C281" s="184"/>
      <c r="D281" s="184"/>
      <c r="E281" s="184"/>
    </row>
    <row r="282" spans="1:5" x14ac:dyDescent="0.25">
      <c r="A282" s="184"/>
      <c r="B282" s="184"/>
      <c r="C282" s="184"/>
      <c r="D282" s="184"/>
      <c r="E282" s="184"/>
    </row>
    <row r="283" spans="1:5" x14ac:dyDescent="0.25">
      <c r="A283" s="184"/>
      <c r="B283" s="184"/>
      <c r="C283" s="184"/>
      <c r="D283" s="184"/>
      <c r="E283" s="184"/>
    </row>
    <row r="284" spans="1:5" x14ac:dyDescent="0.25">
      <c r="A284" s="184"/>
      <c r="B284" s="184"/>
      <c r="C284" s="184"/>
      <c r="D284" s="184"/>
      <c r="E284" s="184"/>
    </row>
    <row r="285" spans="1:5" x14ac:dyDescent="0.25">
      <c r="A285" s="184"/>
      <c r="B285" s="184"/>
      <c r="C285" s="184"/>
      <c r="D285" s="184"/>
      <c r="E285" s="184"/>
    </row>
    <row r="286" spans="1:5" x14ac:dyDescent="0.25">
      <c r="A286" s="184"/>
      <c r="B286" s="184"/>
      <c r="C286" s="184"/>
      <c r="D286" s="184"/>
      <c r="E286" s="184"/>
    </row>
    <row r="287" spans="1:5" x14ac:dyDescent="0.25">
      <c r="A287" s="184"/>
      <c r="B287" s="184"/>
      <c r="C287" s="184"/>
      <c r="D287" s="184"/>
      <c r="E287" s="184"/>
    </row>
    <row r="288" spans="1:5" x14ac:dyDescent="0.25">
      <c r="A288" s="184"/>
      <c r="B288" s="184"/>
      <c r="C288" s="184"/>
      <c r="D288" s="184"/>
      <c r="E288" s="184"/>
    </row>
    <row r="289" spans="1:5" x14ac:dyDescent="0.25">
      <c r="A289" s="184"/>
      <c r="B289" s="184"/>
      <c r="C289" s="184"/>
      <c r="D289" s="184"/>
      <c r="E289" s="184"/>
    </row>
    <row r="290" spans="1:5" x14ac:dyDescent="0.25">
      <c r="A290" s="184"/>
      <c r="B290" s="184"/>
      <c r="C290" s="184"/>
      <c r="D290" s="184"/>
      <c r="E290" s="184"/>
    </row>
    <row r="291" spans="1:5" x14ac:dyDescent="0.25">
      <c r="A291" s="184"/>
      <c r="B291" s="184"/>
      <c r="C291" s="184"/>
      <c r="D291" s="184"/>
      <c r="E291" s="184"/>
    </row>
    <row r="292" spans="1:5" x14ac:dyDescent="0.25">
      <c r="A292" s="184"/>
      <c r="B292" s="184"/>
      <c r="C292" s="184"/>
      <c r="D292" s="184"/>
      <c r="E292" s="184"/>
    </row>
    <row r="293" spans="1:5" x14ac:dyDescent="0.25">
      <c r="A293" s="184"/>
      <c r="B293" s="184"/>
      <c r="C293" s="184"/>
      <c r="D293" s="184"/>
      <c r="E293" s="184"/>
    </row>
    <row r="294" spans="1:5" x14ac:dyDescent="0.25">
      <c r="A294" s="184"/>
      <c r="B294" s="184"/>
      <c r="C294" s="184"/>
      <c r="D294" s="184"/>
      <c r="E294" s="184"/>
    </row>
    <row r="295" spans="1:5" x14ac:dyDescent="0.25">
      <c r="A295" s="184"/>
      <c r="B295" s="184"/>
      <c r="C295" s="184"/>
      <c r="D295" s="184"/>
      <c r="E295" s="184"/>
    </row>
    <row r="296" spans="1:5" x14ac:dyDescent="0.25">
      <c r="A296" s="184"/>
      <c r="B296" s="184"/>
      <c r="C296" s="184"/>
      <c r="D296" s="184"/>
      <c r="E296" s="184"/>
    </row>
    <row r="297" spans="1:5" x14ac:dyDescent="0.25">
      <c r="A297" s="184"/>
      <c r="B297" s="184"/>
      <c r="C297" s="184"/>
      <c r="D297" s="184"/>
      <c r="E297" s="184"/>
    </row>
    <row r="298" spans="1:5" x14ac:dyDescent="0.25">
      <c r="A298" s="184"/>
      <c r="B298" s="184"/>
      <c r="C298" s="184"/>
      <c r="D298" s="184"/>
      <c r="E298" s="184"/>
    </row>
    <row r="299" spans="1:5" x14ac:dyDescent="0.25">
      <c r="A299" s="184"/>
      <c r="B299" s="184"/>
      <c r="C299" s="184"/>
      <c r="D299" s="184"/>
      <c r="E299" s="184"/>
    </row>
    <row r="300" spans="1:5" x14ac:dyDescent="0.25">
      <c r="A300" s="184"/>
      <c r="B300" s="184"/>
      <c r="C300" s="184"/>
      <c r="D300" s="184"/>
      <c r="E300" s="184"/>
    </row>
  </sheetData>
  <mergeCells count="8">
    <mergeCell ref="A39:E39"/>
    <mergeCell ref="A48:E48"/>
    <mergeCell ref="A1:E1"/>
    <mergeCell ref="A2:E2"/>
    <mergeCell ref="A4:E4"/>
    <mergeCell ref="A16:E16"/>
    <mergeCell ref="A22:E22"/>
    <mergeCell ref="A33:E3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A37C-C1EB-46A4-B6AA-49FD9AB2BCA5}">
  <sheetPr>
    <tabColor rgb="FF1B5E20"/>
  </sheetPr>
  <dimension ref="A1:N100"/>
  <sheetViews>
    <sheetView workbookViewId="0">
      <selection activeCell="B7" sqref="B7"/>
    </sheetView>
  </sheetViews>
  <sheetFormatPr baseColWidth="10" defaultRowHeight="15" x14ac:dyDescent="0.25"/>
  <cols>
    <col min="1" max="1" width="56" customWidth="1"/>
    <col min="2" max="2" width="36.7109375" customWidth="1"/>
    <col min="3" max="3" width="24" customWidth="1"/>
    <col min="4" max="4" width="83.85546875" customWidth="1"/>
    <col min="5" max="7" width="18.7109375" customWidth="1"/>
    <col min="8" max="8" width="21.28515625" customWidth="1"/>
    <col min="9" max="9" width="24" customWidth="1"/>
    <col min="10" max="10" width="21.28515625" customWidth="1"/>
    <col min="11" max="11" width="18.7109375" customWidth="1"/>
    <col min="12" max="12" width="21.28515625" customWidth="1"/>
    <col min="13" max="13" width="26.7109375" customWidth="1"/>
  </cols>
  <sheetData>
    <row r="1" spans="1:14" ht="17.25" x14ac:dyDescent="0.3">
      <c r="A1" s="595" t="s">
        <v>2626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142"/>
    </row>
    <row r="2" spans="1:14" x14ac:dyDescent="0.25">
      <c r="A2" s="596" t="s">
        <v>2627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142"/>
    </row>
    <row r="3" spans="1:14" x14ac:dyDescent="0.2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</row>
    <row r="4" spans="1:14" x14ac:dyDescent="0.25">
      <c r="A4" s="597" t="s">
        <v>2622</v>
      </c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142"/>
    </row>
    <row r="5" spans="1:14" x14ac:dyDescent="0.25">
      <c r="A5" s="145" t="s">
        <v>2600</v>
      </c>
      <c r="B5" s="145" t="s">
        <v>2601</v>
      </c>
      <c r="C5" s="145" t="s">
        <v>2602</v>
      </c>
      <c r="D5" s="145" t="s">
        <v>2607</v>
      </c>
      <c r="E5" s="145" t="s">
        <v>2603</v>
      </c>
      <c r="F5" s="145" t="s">
        <v>2647</v>
      </c>
      <c r="G5" s="145" t="s">
        <v>2604</v>
      </c>
      <c r="H5" s="145" t="s">
        <v>2614</v>
      </c>
      <c r="I5" s="145" t="s">
        <v>2628</v>
      </c>
      <c r="J5" s="145" t="s">
        <v>2246</v>
      </c>
      <c r="K5" s="145" t="s">
        <v>378</v>
      </c>
      <c r="L5" s="145" t="s">
        <v>2261</v>
      </c>
      <c r="M5" s="145" t="s">
        <v>830</v>
      </c>
      <c r="N5" s="142"/>
    </row>
    <row r="6" spans="1:14" x14ac:dyDescent="0.25">
      <c r="A6" s="190" t="s">
        <v>2648</v>
      </c>
      <c r="B6" s="149">
        <v>68.400000000000006</v>
      </c>
      <c r="C6" s="149">
        <v>62.1</v>
      </c>
      <c r="D6" s="149">
        <v>6.3</v>
      </c>
      <c r="E6" s="149">
        <v>65</v>
      </c>
      <c r="F6" s="149">
        <v>3.4</v>
      </c>
      <c r="G6" s="149" t="s">
        <v>2649</v>
      </c>
      <c r="H6" s="178">
        <v>0.4</v>
      </c>
      <c r="I6" s="149">
        <v>27.36</v>
      </c>
      <c r="J6" s="149">
        <v>75</v>
      </c>
      <c r="K6" s="149" t="s">
        <v>2650</v>
      </c>
      <c r="L6" s="149" t="s">
        <v>2605</v>
      </c>
      <c r="M6" s="149" t="s">
        <v>2316</v>
      </c>
      <c r="N6" s="142"/>
    </row>
    <row r="7" spans="1:14" x14ac:dyDescent="0.25">
      <c r="A7" s="191" t="s">
        <v>2651</v>
      </c>
      <c r="B7" s="96">
        <v>72.099999999999994</v>
      </c>
      <c r="C7" s="96">
        <v>68.5</v>
      </c>
      <c r="D7" s="96">
        <v>3.6</v>
      </c>
      <c r="E7" s="96">
        <v>60</v>
      </c>
      <c r="F7" s="96">
        <v>12.1</v>
      </c>
      <c r="G7" s="96" t="s">
        <v>2652</v>
      </c>
      <c r="H7" s="175">
        <v>0.35</v>
      </c>
      <c r="I7" s="96">
        <v>25.24</v>
      </c>
      <c r="J7" s="96">
        <v>78</v>
      </c>
      <c r="K7" s="96" t="s">
        <v>2650</v>
      </c>
      <c r="L7" s="96" t="s">
        <v>2378</v>
      </c>
      <c r="M7" s="96" t="s">
        <v>2381</v>
      </c>
      <c r="N7" s="142"/>
    </row>
    <row r="8" spans="1:14" x14ac:dyDescent="0.25">
      <c r="A8" s="192" t="s">
        <v>2653</v>
      </c>
      <c r="B8" s="81">
        <v>64.8</v>
      </c>
      <c r="C8" s="81">
        <v>61.2</v>
      </c>
      <c r="D8" s="81">
        <v>3.6</v>
      </c>
      <c r="E8" s="81">
        <v>62</v>
      </c>
      <c r="F8" s="81">
        <v>2.8</v>
      </c>
      <c r="G8" s="81" t="s">
        <v>2652</v>
      </c>
      <c r="H8" s="193">
        <v>0.25</v>
      </c>
      <c r="I8" s="81">
        <v>16.2</v>
      </c>
      <c r="J8" s="81">
        <v>70</v>
      </c>
      <c r="K8" s="81" t="s">
        <v>2650</v>
      </c>
      <c r="L8" s="81" t="s">
        <v>2427</v>
      </c>
      <c r="M8" s="81" t="s">
        <v>2381</v>
      </c>
      <c r="N8" s="142"/>
    </row>
    <row r="9" spans="1:14" x14ac:dyDescent="0.25">
      <c r="A9" s="194" t="s">
        <v>2615</v>
      </c>
      <c r="B9" s="194">
        <f>B6*0.4+B7*0.35+B8*0.25</f>
        <v>68.795000000000002</v>
      </c>
      <c r="C9" s="194">
        <f>C6*0.4+C7*0.35+C8*0.25</f>
        <v>64.114999999999995</v>
      </c>
      <c r="D9" s="194">
        <f>B9-C9</f>
        <v>4.6800000000000068</v>
      </c>
      <c r="E9" s="194">
        <v>63</v>
      </c>
      <c r="F9" s="194">
        <f>B9-E9</f>
        <v>5.7950000000000017</v>
      </c>
      <c r="G9" s="194"/>
      <c r="H9" s="195">
        <v>1</v>
      </c>
      <c r="I9" s="194">
        <f>B9</f>
        <v>68.795000000000002</v>
      </c>
      <c r="J9" s="194">
        <v>75</v>
      </c>
      <c r="K9" s="194" t="str">
        <f>IF(B9&gt;=J9,"Atteint",IF(B9&gt;=J9*0.9,"Proche","Retard"))</f>
        <v>Proche</v>
      </c>
      <c r="L9" s="194" t="s">
        <v>2606</v>
      </c>
      <c r="M9" s="194" t="s">
        <v>2629</v>
      </c>
      <c r="N9" s="142"/>
    </row>
    <row r="10" spans="1:14" x14ac:dyDescent="0.25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</row>
    <row r="11" spans="1:14" x14ac:dyDescent="0.25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</row>
    <row r="12" spans="1:14" x14ac:dyDescent="0.25">
      <c r="A12" s="597" t="s">
        <v>2623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142"/>
      <c r="N12" s="142"/>
    </row>
    <row r="13" spans="1:14" x14ac:dyDescent="0.25">
      <c r="A13" s="197" t="s">
        <v>826</v>
      </c>
      <c r="B13" s="197" t="s">
        <v>2616</v>
      </c>
      <c r="C13" s="197" t="s">
        <v>2617</v>
      </c>
      <c r="D13" s="197" t="s">
        <v>2618</v>
      </c>
      <c r="E13" s="197" t="s">
        <v>2607</v>
      </c>
      <c r="F13" s="197" t="s">
        <v>2619</v>
      </c>
      <c r="G13" s="197" t="s">
        <v>2624</v>
      </c>
      <c r="H13" s="197" t="s">
        <v>2261</v>
      </c>
      <c r="I13" s="197" t="s">
        <v>2620</v>
      </c>
      <c r="J13" s="197" t="s">
        <v>2621</v>
      </c>
      <c r="K13" s="142"/>
      <c r="L13" s="142"/>
      <c r="M13" s="142"/>
      <c r="N13" s="142"/>
    </row>
    <row r="14" spans="1:14" x14ac:dyDescent="0.25">
      <c r="A14" s="98" t="s">
        <v>2630</v>
      </c>
      <c r="B14" s="98">
        <v>18400</v>
      </c>
      <c r="C14" s="98" t="s">
        <v>2608</v>
      </c>
      <c r="D14" s="98">
        <v>45396</v>
      </c>
      <c r="E14" s="98">
        <v>-26996</v>
      </c>
      <c r="F14" s="98">
        <v>54000</v>
      </c>
      <c r="G14" s="196" t="s">
        <v>2654</v>
      </c>
      <c r="H14" s="98" t="s">
        <v>2631</v>
      </c>
      <c r="I14" s="98" t="s">
        <v>67</v>
      </c>
      <c r="J14" s="98" t="s">
        <v>2037</v>
      </c>
      <c r="K14" s="142"/>
      <c r="L14" s="142"/>
      <c r="M14" s="142"/>
      <c r="N14" s="142"/>
    </row>
    <row r="15" spans="1:14" x14ac:dyDescent="0.25">
      <c r="A15" s="21" t="s">
        <v>2632</v>
      </c>
      <c r="B15" s="21">
        <v>24200</v>
      </c>
      <c r="C15" s="21" t="s">
        <v>2608</v>
      </c>
      <c r="D15" s="21">
        <v>48640</v>
      </c>
      <c r="E15" s="21">
        <v>-24440</v>
      </c>
      <c r="F15" s="21">
        <v>27500</v>
      </c>
      <c r="G15" s="30" t="s">
        <v>2655</v>
      </c>
      <c r="H15" s="21" t="s">
        <v>2633</v>
      </c>
      <c r="I15" s="21" t="s">
        <v>67</v>
      </c>
      <c r="J15" s="21" t="s">
        <v>2323</v>
      </c>
      <c r="K15" s="142"/>
      <c r="L15" s="142"/>
      <c r="M15" s="142"/>
      <c r="N15" s="142"/>
    </row>
    <row r="16" spans="1:14" x14ac:dyDescent="0.25">
      <c r="A16" s="98" t="s">
        <v>2634</v>
      </c>
      <c r="B16" s="98">
        <v>322000</v>
      </c>
      <c r="C16" s="98" t="s">
        <v>2608</v>
      </c>
      <c r="D16" s="98">
        <v>521860</v>
      </c>
      <c r="E16" s="98">
        <v>-199860</v>
      </c>
      <c r="F16" s="98">
        <v>300000</v>
      </c>
      <c r="G16" s="196" t="s">
        <v>2656</v>
      </c>
      <c r="H16" s="98" t="s">
        <v>2635</v>
      </c>
      <c r="I16" s="98" t="s">
        <v>67</v>
      </c>
      <c r="J16" s="98" t="s">
        <v>2042</v>
      </c>
      <c r="K16" s="142"/>
      <c r="L16" s="142"/>
      <c r="M16" s="142"/>
      <c r="N16" s="142"/>
    </row>
    <row r="17" spans="1:14" x14ac:dyDescent="0.25">
      <c r="A17" s="21" t="s">
        <v>2609</v>
      </c>
      <c r="B17" s="21">
        <v>364600</v>
      </c>
      <c r="C17" s="21" t="s">
        <v>2608</v>
      </c>
      <c r="D17" s="21">
        <v>615896</v>
      </c>
      <c r="E17" s="21">
        <v>-251296</v>
      </c>
      <c r="F17" s="21">
        <v>381500</v>
      </c>
      <c r="G17" s="30" t="s">
        <v>2636</v>
      </c>
      <c r="H17" s="21" t="s">
        <v>2637</v>
      </c>
      <c r="I17" s="21" t="s">
        <v>67</v>
      </c>
      <c r="J17" s="21" t="s">
        <v>2087</v>
      </c>
      <c r="K17" s="142"/>
      <c r="L17" s="142"/>
      <c r="M17" s="142"/>
      <c r="N17" s="142"/>
    </row>
    <row r="18" spans="1:14" x14ac:dyDescent="0.25">
      <c r="A18" s="98" t="s">
        <v>2638</v>
      </c>
      <c r="B18" s="98">
        <f>IFERROR(B14/(CONSOL_CR!K7/1000),0)</f>
        <v>22.519352568613652</v>
      </c>
      <c r="C18" s="98" t="s">
        <v>2610</v>
      </c>
      <c r="D18" s="98">
        <v>247</v>
      </c>
      <c r="E18" s="98">
        <v>0</v>
      </c>
      <c r="F18" s="98">
        <v>120</v>
      </c>
      <c r="G18" s="196" t="s">
        <v>2636</v>
      </c>
      <c r="H18" s="98" t="s">
        <v>2639</v>
      </c>
      <c r="I18" s="98" t="s">
        <v>64</v>
      </c>
      <c r="J18" s="98" t="s">
        <v>2334</v>
      </c>
      <c r="K18" s="142"/>
      <c r="L18" s="142"/>
      <c r="M18" s="142"/>
      <c r="N18" s="142"/>
    </row>
    <row r="19" spans="1:14" x14ac:dyDescent="0.25">
      <c r="A19" s="21" t="s">
        <v>2657</v>
      </c>
      <c r="B19" s="21">
        <v>35</v>
      </c>
      <c r="C19" s="21" t="s">
        <v>2640</v>
      </c>
      <c r="D19" s="21">
        <v>30</v>
      </c>
      <c r="E19" s="21">
        <v>5</v>
      </c>
      <c r="F19" s="21">
        <v>75</v>
      </c>
      <c r="G19" s="30" t="s">
        <v>2641</v>
      </c>
      <c r="H19" s="21" t="s">
        <v>2642</v>
      </c>
      <c r="I19" s="21" t="s">
        <v>2316</v>
      </c>
      <c r="J19" s="21" t="s">
        <v>2625</v>
      </c>
      <c r="K19" s="142"/>
      <c r="L19" s="142"/>
      <c r="M19" s="142"/>
      <c r="N19" s="142"/>
    </row>
    <row r="20" spans="1:14" x14ac:dyDescent="0.25">
      <c r="A20" s="98" t="s">
        <v>2643</v>
      </c>
      <c r="B20" s="98">
        <f>IFERROR(B17*B19/1000,0)</f>
        <v>12761</v>
      </c>
      <c r="C20" s="98" t="s">
        <v>495</v>
      </c>
      <c r="D20" s="98">
        <v>0</v>
      </c>
      <c r="E20" s="98">
        <v>0</v>
      </c>
      <c r="F20" s="98">
        <v>0</v>
      </c>
      <c r="G20" s="196" t="s">
        <v>2636</v>
      </c>
      <c r="H20" s="98" t="s">
        <v>2642</v>
      </c>
      <c r="I20" s="98" t="s">
        <v>64</v>
      </c>
      <c r="J20" s="98" t="s">
        <v>2349</v>
      </c>
      <c r="K20" s="142"/>
      <c r="L20" s="142"/>
      <c r="M20" s="142"/>
      <c r="N20" s="142"/>
    </row>
    <row r="21" spans="1:14" x14ac:dyDescent="0.25">
      <c r="A21" s="21" t="s">
        <v>2658</v>
      </c>
      <c r="B21" s="30">
        <v>-50</v>
      </c>
      <c r="C21" s="21" t="s">
        <v>2644</v>
      </c>
      <c r="D21" s="21">
        <v>0</v>
      </c>
      <c r="E21" s="21">
        <v>0</v>
      </c>
      <c r="F21" s="21">
        <v>0</v>
      </c>
      <c r="G21" s="30" t="s">
        <v>2659</v>
      </c>
      <c r="H21" s="21" t="s">
        <v>2645</v>
      </c>
      <c r="I21" s="21" t="s">
        <v>193</v>
      </c>
      <c r="J21" s="21" t="s">
        <v>2660</v>
      </c>
      <c r="K21" s="142"/>
      <c r="L21" s="142"/>
      <c r="M21" s="142"/>
      <c r="N21" s="142"/>
    </row>
    <row r="22" spans="1:14" x14ac:dyDescent="0.25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</row>
    <row r="23" spans="1:14" x14ac:dyDescent="0.25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</row>
    <row r="24" spans="1:14" x14ac:dyDescent="0.25">
      <c r="A24" s="597" t="s">
        <v>2646</v>
      </c>
      <c r="B24" s="597"/>
      <c r="C24" s="597"/>
      <c r="D24" s="597"/>
      <c r="E24" s="142"/>
      <c r="F24" s="142"/>
      <c r="G24" s="142"/>
      <c r="H24" s="142"/>
      <c r="I24" s="142"/>
      <c r="J24" s="142"/>
      <c r="K24" s="142"/>
      <c r="L24" s="142"/>
      <c r="M24" s="142"/>
      <c r="N24" s="142"/>
    </row>
    <row r="25" spans="1:14" x14ac:dyDescent="0.25">
      <c r="A25" s="197" t="s">
        <v>2611</v>
      </c>
      <c r="B25" s="197" t="s">
        <v>154</v>
      </c>
      <c r="C25" s="197" t="s">
        <v>2612</v>
      </c>
      <c r="D25" s="197" t="s">
        <v>2613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2"/>
    </row>
    <row r="26" spans="1:14" x14ac:dyDescent="0.25">
      <c r="A26" s="98">
        <v>1</v>
      </c>
      <c r="B26" s="98" t="s">
        <v>2661</v>
      </c>
      <c r="C26" s="98" t="s">
        <v>2662</v>
      </c>
      <c r="D26" s="98" t="s">
        <v>2663</v>
      </c>
      <c r="E26" s="142"/>
      <c r="F26" s="142"/>
      <c r="G26" s="142"/>
      <c r="H26" s="142"/>
      <c r="I26" s="142"/>
      <c r="J26" s="142"/>
      <c r="K26" s="142"/>
      <c r="L26" s="142"/>
      <c r="M26" s="142"/>
      <c r="N26" s="142"/>
    </row>
    <row r="27" spans="1:14" x14ac:dyDescent="0.25">
      <c r="A27" s="21">
        <v>2</v>
      </c>
      <c r="B27" s="21" t="s">
        <v>2664</v>
      </c>
      <c r="C27" s="21" t="s">
        <v>2665</v>
      </c>
      <c r="D27" s="21" t="s">
        <v>2666</v>
      </c>
      <c r="E27" s="142"/>
      <c r="F27" s="142"/>
      <c r="G27" s="142"/>
      <c r="H27" s="142"/>
      <c r="I27" s="142"/>
      <c r="J27" s="142"/>
      <c r="K27" s="142"/>
      <c r="L27" s="142"/>
      <c r="M27" s="142"/>
      <c r="N27" s="142"/>
    </row>
    <row r="28" spans="1:14" x14ac:dyDescent="0.25">
      <c r="A28" s="98">
        <v>3</v>
      </c>
      <c r="B28" s="98" t="s">
        <v>2667</v>
      </c>
      <c r="C28" s="98" t="s">
        <v>2668</v>
      </c>
      <c r="D28" s="98" t="s">
        <v>2669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2"/>
    </row>
    <row r="29" spans="1:14" x14ac:dyDescent="0.25">
      <c r="A29" s="21">
        <v>4</v>
      </c>
      <c r="B29" s="21" t="s">
        <v>2670</v>
      </c>
      <c r="C29" s="21" t="s">
        <v>2671</v>
      </c>
      <c r="D29" s="21" t="s">
        <v>2672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2"/>
    </row>
    <row r="30" spans="1:14" x14ac:dyDescent="0.25">
      <c r="A30" s="98">
        <v>5</v>
      </c>
      <c r="B30" s="98" t="s">
        <v>2673</v>
      </c>
      <c r="C30" s="98" t="s">
        <v>2674</v>
      </c>
      <c r="D30" s="98" t="s">
        <v>2675</v>
      </c>
      <c r="E30" s="142"/>
      <c r="F30" s="142"/>
      <c r="G30" s="142"/>
      <c r="H30" s="142"/>
      <c r="I30" s="142"/>
      <c r="J30" s="142"/>
      <c r="K30" s="142"/>
      <c r="L30" s="142"/>
      <c r="M30" s="142"/>
      <c r="N30" s="142"/>
    </row>
    <row r="31" spans="1:14" x14ac:dyDescent="0.25">
      <c r="A31" s="21">
        <v>6</v>
      </c>
      <c r="B31" s="21" t="s">
        <v>2676</v>
      </c>
      <c r="C31" s="21" t="s">
        <v>2677</v>
      </c>
      <c r="D31" s="21" t="s">
        <v>2678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2"/>
    </row>
    <row r="32" spans="1:14" x14ac:dyDescent="0.25">
      <c r="A32" s="98">
        <v>7</v>
      </c>
      <c r="B32" s="98" t="s">
        <v>2679</v>
      </c>
      <c r="C32" s="98" t="s">
        <v>2680</v>
      </c>
      <c r="D32" s="98" t="s">
        <v>2681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2"/>
    </row>
    <row r="33" spans="1:14" x14ac:dyDescent="0.25">
      <c r="A33" s="21">
        <v>8</v>
      </c>
      <c r="B33" s="21" t="s">
        <v>2682</v>
      </c>
      <c r="C33" s="21" t="s">
        <v>2683</v>
      </c>
      <c r="D33" s="21" t="s">
        <v>2684</v>
      </c>
      <c r="E33" s="142"/>
      <c r="F33" s="142"/>
      <c r="G33" s="142"/>
      <c r="H33" s="142"/>
      <c r="I33" s="142"/>
      <c r="J33" s="142"/>
      <c r="K33" s="142"/>
      <c r="L33" s="142"/>
      <c r="M33" s="142"/>
      <c r="N33" s="142"/>
    </row>
    <row r="34" spans="1:14" x14ac:dyDescent="0.25">
      <c r="A34" s="98">
        <v>9</v>
      </c>
      <c r="B34" s="98" t="s">
        <v>2685</v>
      </c>
      <c r="C34" s="98" t="s">
        <v>2686</v>
      </c>
      <c r="D34" s="98" t="s">
        <v>2687</v>
      </c>
      <c r="E34" s="142"/>
      <c r="F34" s="142"/>
      <c r="G34" s="142"/>
      <c r="H34" s="142"/>
      <c r="I34" s="142"/>
      <c r="J34" s="142"/>
      <c r="K34" s="142"/>
      <c r="L34" s="142"/>
      <c r="M34" s="142"/>
      <c r="N34" s="142"/>
    </row>
    <row r="35" spans="1:14" x14ac:dyDescent="0.25">
      <c r="A35" s="21">
        <v>10</v>
      </c>
      <c r="B35" s="21" t="s">
        <v>2688</v>
      </c>
      <c r="C35" s="21" t="s">
        <v>2689</v>
      </c>
      <c r="D35" s="21" t="s">
        <v>2690</v>
      </c>
      <c r="E35" s="142"/>
      <c r="F35" s="142"/>
      <c r="G35" s="142"/>
      <c r="H35" s="142"/>
      <c r="I35" s="142"/>
      <c r="J35" s="142"/>
      <c r="K35" s="142"/>
      <c r="L35" s="142"/>
      <c r="M35" s="142"/>
      <c r="N35" s="142"/>
    </row>
    <row r="36" spans="1:14" x14ac:dyDescent="0.25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</row>
    <row r="37" spans="1:14" x14ac:dyDescent="0.25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</row>
    <row r="38" spans="1:14" x14ac:dyDescent="0.25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</row>
    <row r="39" spans="1:14" x14ac:dyDescent="0.25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</row>
    <row r="40" spans="1:14" x14ac:dyDescent="0.25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</row>
    <row r="41" spans="1:14" x14ac:dyDescent="0.25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</row>
    <row r="42" spans="1:14" x14ac:dyDescent="0.25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</row>
    <row r="43" spans="1:14" x14ac:dyDescent="0.25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</row>
    <row r="44" spans="1:14" x14ac:dyDescent="0.25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</row>
    <row r="45" spans="1:14" x14ac:dyDescent="0.2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</row>
    <row r="46" spans="1:14" x14ac:dyDescent="0.25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</row>
    <row r="47" spans="1:14" x14ac:dyDescent="0.25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</row>
    <row r="48" spans="1:14" x14ac:dyDescent="0.25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</row>
    <row r="49" spans="1:14" x14ac:dyDescent="0.25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</row>
    <row r="50" spans="1:14" x14ac:dyDescent="0.25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</row>
    <row r="51" spans="1:14" x14ac:dyDescent="0.25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</row>
    <row r="52" spans="1:14" x14ac:dyDescent="0.25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</row>
    <row r="53" spans="1:14" x14ac:dyDescent="0.25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</row>
    <row r="54" spans="1:14" x14ac:dyDescent="0.25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</row>
    <row r="55" spans="1:14" x14ac:dyDescent="0.2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</row>
    <row r="56" spans="1:14" x14ac:dyDescent="0.25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</row>
    <row r="57" spans="1:14" x14ac:dyDescent="0.25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</row>
    <row r="58" spans="1:14" x14ac:dyDescent="0.25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</row>
    <row r="59" spans="1:14" x14ac:dyDescent="0.25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</row>
    <row r="60" spans="1:14" x14ac:dyDescent="0.25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</row>
    <row r="61" spans="1:14" x14ac:dyDescent="0.25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</row>
    <row r="62" spans="1:14" x14ac:dyDescent="0.25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</row>
    <row r="63" spans="1:14" x14ac:dyDescent="0.25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</row>
    <row r="64" spans="1:14" x14ac:dyDescent="0.25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</row>
    <row r="65" spans="1:14" x14ac:dyDescent="0.2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</row>
    <row r="66" spans="1:14" x14ac:dyDescent="0.25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</row>
    <row r="67" spans="1:14" x14ac:dyDescent="0.25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</row>
    <row r="68" spans="1:14" x14ac:dyDescent="0.25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</row>
    <row r="69" spans="1:14" x14ac:dyDescent="0.25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</row>
    <row r="70" spans="1:14" x14ac:dyDescent="0.2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</row>
    <row r="71" spans="1:14" x14ac:dyDescent="0.2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</row>
    <row r="72" spans="1:14" x14ac:dyDescent="0.2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</row>
    <row r="73" spans="1:14" x14ac:dyDescent="0.2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</row>
    <row r="74" spans="1:14" x14ac:dyDescent="0.2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</row>
    <row r="75" spans="1:14" x14ac:dyDescent="0.2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</row>
    <row r="76" spans="1:14" x14ac:dyDescent="0.2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</row>
    <row r="77" spans="1:14" x14ac:dyDescent="0.25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</row>
    <row r="78" spans="1:14" x14ac:dyDescent="0.25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</row>
    <row r="79" spans="1:14" x14ac:dyDescent="0.25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</row>
    <row r="80" spans="1:14" x14ac:dyDescent="0.25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</row>
    <row r="81" spans="1:14" x14ac:dyDescent="0.25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</row>
    <row r="82" spans="1:14" x14ac:dyDescent="0.25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</row>
    <row r="83" spans="1:14" x14ac:dyDescent="0.25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</row>
    <row r="84" spans="1:14" x14ac:dyDescent="0.25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</row>
    <row r="85" spans="1:14" x14ac:dyDescent="0.2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</row>
    <row r="86" spans="1:14" x14ac:dyDescent="0.25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</row>
    <row r="87" spans="1:14" x14ac:dyDescent="0.25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</row>
    <row r="88" spans="1:14" x14ac:dyDescent="0.25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</row>
    <row r="89" spans="1:14" x14ac:dyDescent="0.25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</row>
    <row r="90" spans="1:14" x14ac:dyDescent="0.25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</row>
    <row r="91" spans="1:14" x14ac:dyDescent="0.25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</row>
    <row r="92" spans="1:14" x14ac:dyDescent="0.25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</row>
    <row r="93" spans="1:14" x14ac:dyDescent="0.25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</row>
    <row r="94" spans="1:14" x14ac:dyDescent="0.25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</row>
    <row r="95" spans="1:14" x14ac:dyDescent="0.2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</row>
    <row r="96" spans="1:14" x14ac:dyDescent="0.25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</row>
    <row r="97" spans="1:14" x14ac:dyDescent="0.25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</row>
    <row r="98" spans="1:14" x14ac:dyDescent="0.25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</row>
    <row r="99" spans="1:14" x14ac:dyDescent="0.25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</row>
    <row r="100" spans="1:14" x14ac:dyDescent="0.25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</row>
  </sheetData>
  <mergeCells count="5">
    <mergeCell ref="A1:M1"/>
    <mergeCell ref="A2:M2"/>
    <mergeCell ref="A4:M4"/>
    <mergeCell ref="A12:L12"/>
    <mergeCell ref="A24:D2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96B3-AF5A-49A0-B195-A51D02A7012A}">
  <sheetPr>
    <tabColor rgb="FF1F3864"/>
  </sheetPr>
  <dimension ref="A1:Z1111"/>
  <sheetViews>
    <sheetView showGridLines="0" workbookViewId="0">
      <pane ySplit="3" topLeftCell="A11" activePane="bottomLeft" state="frozen"/>
      <selection pane="bottomLeft" activeCell="L8" sqref="L8:M8"/>
    </sheetView>
  </sheetViews>
  <sheetFormatPr baseColWidth="10" defaultRowHeight="15" x14ac:dyDescent="0.25"/>
  <cols>
    <col min="1" max="1" width="7.42578125" customWidth="1"/>
    <col min="2" max="2" width="39.85546875" customWidth="1"/>
    <col min="3" max="3" width="16.140625" customWidth="1"/>
    <col min="4" max="4" width="15.28515625" customWidth="1"/>
    <col min="5" max="5" width="13.28515625" customWidth="1"/>
    <col min="6" max="6" width="17.7109375" bestFit="1" customWidth="1"/>
    <col min="7" max="7" width="22.85546875" bestFit="1" customWidth="1"/>
    <col min="8" max="8" width="17.7109375" bestFit="1" customWidth="1"/>
    <col min="9" max="9" width="12.42578125" customWidth="1"/>
    <col min="10" max="10" width="19" customWidth="1"/>
    <col min="11" max="11" width="14.5703125" bestFit="1" customWidth="1"/>
    <col min="12" max="12" width="12.42578125" customWidth="1"/>
    <col min="13" max="13" width="22.85546875" customWidth="1"/>
    <col min="14" max="16" width="12.42578125" customWidth="1"/>
    <col min="17" max="17" width="10.42578125" customWidth="1"/>
    <col min="18" max="23" width="12.42578125" customWidth="1"/>
    <col min="24" max="24" width="12.85546875" bestFit="1" customWidth="1"/>
  </cols>
  <sheetData>
    <row r="1" spans="1:26" ht="38.1" customHeight="1" x14ac:dyDescent="0.25">
      <c r="A1" s="203" t="s">
        <v>2799</v>
      </c>
      <c r="B1" s="625" t="s">
        <v>2800</v>
      </c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200"/>
      <c r="Z1" s="200"/>
    </row>
    <row r="2" spans="1:26" ht="18" customHeight="1" x14ac:dyDescent="0.25">
      <c r="B2" s="626" t="s">
        <v>2801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200"/>
      <c r="Z2" s="200"/>
    </row>
    <row r="3" spans="1:26" ht="27.95" customHeight="1" x14ac:dyDescent="0.25">
      <c r="B3" s="627" t="s">
        <v>2802</v>
      </c>
      <c r="C3" s="627"/>
      <c r="D3" s="627"/>
      <c r="E3" s="627"/>
      <c r="F3" s="628" t="s">
        <v>2803</v>
      </c>
      <c r="G3" s="628"/>
      <c r="H3" s="628"/>
      <c r="I3" s="628"/>
      <c r="J3" s="629" t="s">
        <v>2804</v>
      </c>
      <c r="K3" s="629"/>
      <c r="L3" s="629"/>
      <c r="M3" s="629"/>
      <c r="N3" s="630" t="s">
        <v>2805</v>
      </c>
      <c r="O3" s="630"/>
      <c r="P3" s="630"/>
      <c r="Q3" s="630"/>
      <c r="R3" s="631" t="s">
        <v>2806</v>
      </c>
      <c r="S3" s="631"/>
      <c r="T3" s="631"/>
      <c r="U3" s="631"/>
      <c r="V3" s="631"/>
      <c r="W3" s="631"/>
      <c r="X3" s="631"/>
      <c r="Y3" s="200"/>
      <c r="Z3" s="200"/>
    </row>
    <row r="4" spans="1:26" ht="21.95" customHeight="1" x14ac:dyDescent="0.25">
      <c r="B4" s="619" t="s">
        <v>2784</v>
      </c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200"/>
      <c r="Z4" s="200"/>
    </row>
    <row r="5" spans="1:26" ht="21.95" customHeight="1" x14ac:dyDescent="0.25">
      <c r="B5" s="955" t="s">
        <v>2785</v>
      </c>
      <c r="C5" s="956"/>
      <c r="D5" s="956"/>
      <c r="E5" s="956"/>
      <c r="F5" s="955" t="s">
        <v>2786</v>
      </c>
      <c r="G5" s="956"/>
      <c r="H5" s="956"/>
      <c r="I5" s="956"/>
      <c r="J5" s="955" t="s">
        <v>2787</v>
      </c>
      <c r="K5" s="956"/>
      <c r="L5" s="956"/>
      <c r="M5" s="956"/>
      <c r="N5" s="620" t="s">
        <v>2788</v>
      </c>
      <c r="O5" s="621"/>
      <c r="P5" s="621"/>
      <c r="Q5" s="621"/>
      <c r="R5" s="622" t="s">
        <v>2807</v>
      </c>
      <c r="S5" s="623"/>
      <c r="T5" s="623"/>
      <c r="U5" s="623"/>
      <c r="V5" s="623"/>
      <c r="W5" s="623"/>
      <c r="X5" s="624"/>
      <c r="Y5" s="200"/>
      <c r="Z5" s="200"/>
    </row>
    <row r="6" spans="1:26" ht="15.95" customHeight="1" x14ac:dyDescent="0.25">
      <c r="B6" s="957" t="s">
        <v>2808</v>
      </c>
      <c r="C6" s="958"/>
      <c r="D6" s="958"/>
      <c r="E6" s="958"/>
      <c r="F6" s="957" t="s">
        <v>2809</v>
      </c>
      <c r="G6" s="958"/>
      <c r="H6" s="958"/>
      <c r="I6" s="958"/>
      <c r="J6" s="957" t="s">
        <v>2790</v>
      </c>
      <c r="K6" s="958"/>
      <c r="L6" s="958"/>
      <c r="M6" s="958"/>
      <c r="N6" s="614" t="s">
        <v>2810</v>
      </c>
      <c r="O6" s="615"/>
      <c r="P6" s="615"/>
      <c r="Q6" s="615"/>
      <c r="R6" s="616" t="s">
        <v>2811</v>
      </c>
      <c r="S6" s="617"/>
      <c r="T6" s="617"/>
      <c r="U6" s="617"/>
      <c r="V6" s="617"/>
      <c r="W6" s="617"/>
      <c r="X6" s="618"/>
      <c r="Y6" s="200"/>
      <c r="Z6" s="200"/>
    </row>
    <row r="7" spans="1:26" ht="48" customHeight="1" x14ac:dyDescent="0.25">
      <c r="B7" s="609" t="s">
        <v>3178</v>
      </c>
      <c r="C7" s="610"/>
      <c r="D7" s="610"/>
      <c r="E7" s="610"/>
      <c r="F7" s="609" t="s">
        <v>2791</v>
      </c>
      <c r="G7" s="610"/>
      <c r="H7" s="610"/>
      <c r="I7" s="610"/>
      <c r="J7" s="609" t="s">
        <v>2792</v>
      </c>
      <c r="K7" s="610"/>
      <c r="L7" s="610"/>
      <c r="M7" s="610"/>
      <c r="N7" s="609" t="s">
        <v>2793</v>
      </c>
      <c r="O7" s="610"/>
      <c r="P7" s="610"/>
      <c r="Q7" s="610"/>
      <c r="R7" s="611" t="s">
        <v>2812</v>
      </c>
      <c r="S7" s="612"/>
      <c r="T7" s="612"/>
      <c r="U7" s="612"/>
      <c r="V7" s="612"/>
      <c r="W7" s="612"/>
      <c r="X7" s="613"/>
      <c r="Y7" s="200"/>
      <c r="Z7" s="200"/>
    </row>
    <row r="8" spans="1:26" ht="20.100000000000001" customHeight="1" thickBot="1" x14ac:dyDescent="0.3">
      <c r="B8" s="639" t="s">
        <v>2794</v>
      </c>
      <c r="C8" s="640"/>
      <c r="D8" s="632" t="s">
        <v>2813</v>
      </c>
      <c r="E8" s="632"/>
      <c r="F8" s="639" t="s">
        <v>2814</v>
      </c>
      <c r="G8" s="640"/>
      <c r="H8" s="632" t="s">
        <v>2815</v>
      </c>
      <c r="I8" s="632"/>
      <c r="J8" s="641" t="s">
        <v>2795</v>
      </c>
      <c r="K8" s="642"/>
      <c r="L8" s="632" t="s">
        <v>2816</v>
      </c>
      <c r="M8" s="632"/>
      <c r="N8" s="639" t="s">
        <v>2817</v>
      </c>
      <c r="O8" s="640"/>
      <c r="P8" s="632" t="s">
        <v>2818</v>
      </c>
      <c r="Q8" s="632"/>
      <c r="R8" s="633" t="s">
        <v>2796</v>
      </c>
      <c r="S8" s="634"/>
      <c r="T8" s="634"/>
      <c r="U8" s="635" t="s">
        <v>2819</v>
      </c>
      <c r="V8" s="635"/>
      <c r="W8" s="635"/>
      <c r="X8" s="636"/>
      <c r="Y8" s="200"/>
      <c r="Z8" s="200"/>
    </row>
    <row r="9" spans="1:26" ht="21.95" customHeight="1" thickTop="1" x14ac:dyDescent="0.25">
      <c r="B9" s="637" t="s">
        <v>2837</v>
      </c>
      <c r="C9" s="637"/>
      <c r="D9" s="637"/>
      <c r="E9" s="637"/>
      <c r="F9" s="637"/>
      <c r="G9" s="637"/>
      <c r="H9" s="637"/>
      <c r="I9" s="637"/>
      <c r="J9" s="637"/>
      <c r="K9" s="637"/>
      <c r="L9" s="637"/>
      <c r="M9" s="638" t="s">
        <v>2838</v>
      </c>
      <c r="N9" s="638"/>
      <c r="O9" s="638"/>
      <c r="P9" s="638"/>
      <c r="Q9" s="638"/>
      <c r="R9" s="638"/>
      <c r="S9" s="638"/>
      <c r="T9" s="638"/>
      <c r="U9" s="638"/>
      <c r="V9" s="638"/>
      <c r="W9" s="638"/>
      <c r="X9" s="638"/>
      <c r="Y9" s="200"/>
      <c r="Z9" s="200"/>
    </row>
    <row r="10" spans="1:26" ht="18" customHeight="1" x14ac:dyDescent="0.25">
      <c r="B10" s="204" t="s">
        <v>267</v>
      </c>
      <c r="C10" s="204" t="s">
        <v>470</v>
      </c>
      <c r="D10" s="204" t="s">
        <v>2839</v>
      </c>
      <c r="E10" s="204" t="s">
        <v>2840</v>
      </c>
      <c r="F10" s="204" t="s">
        <v>2841</v>
      </c>
      <c r="G10" s="204" t="s">
        <v>2842</v>
      </c>
      <c r="H10" s="204" t="s">
        <v>2822</v>
      </c>
      <c r="I10" s="204" t="s">
        <v>2797</v>
      </c>
      <c r="J10" s="204" t="s">
        <v>1972</v>
      </c>
      <c r="K10" s="204" t="s">
        <v>2823</v>
      </c>
      <c r="L10" s="204" t="s">
        <v>2843</v>
      </c>
      <c r="M10" s="217" t="s">
        <v>326</v>
      </c>
      <c r="N10" s="217" t="s">
        <v>2839</v>
      </c>
      <c r="O10" s="217" t="s">
        <v>2840</v>
      </c>
      <c r="P10" s="217" t="s">
        <v>2841</v>
      </c>
      <c r="Q10" s="217" t="s">
        <v>2842</v>
      </c>
      <c r="R10" s="217" t="s">
        <v>2844</v>
      </c>
      <c r="S10" s="217" t="s">
        <v>2845</v>
      </c>
      <c r="T10" s="217" t="s">
        <v>2846</v>
      </c>
      <c r="U10" s="217" t="s">
        <v>2847</v>
      </c>
      <c r="V10" s="217"/>
      <c r="W10" s="217"/>
      <c r="X10" s="217"/>
      <c r="Y10" s="200"/>
      <c r="Z10" s="200"/>
    </row>
    <row r="11" spans="1:26" ht="15.95" customHeight="1" x14ac:dyDescent="0.25">
      <c r="B11" s="352" t="s">
        <v>2848</v>
      </c>
      <c r="C11" s="206" t="s">
        <v>2824</v>
      </c>
      <c r="D11" s="206">
        <v>817075</v>
      </c>
      <c r="E11" s="218">
        <v>820000</v>
      </c>
      <c r="F11" s="206">
        <v>-2925</v>
      </c>
      <c r="G11" s="207">
        <v>-4.0000000000000001E-3</v>
      </c>
      <c r="H11" s="205">
        <v>0</v>
      </c>
      <c r="I11" s="205">
        <v>817075</v>
      </c>
      <c r="J11" s="205">
        <v>0</v>
      </c>
      <c r="K11" s="205">
        <v>0</v>
      </c>
      <c r="L11" s="205" t="s">
        <v>2825</v>
      </c>
      <c r="M11" s="225" t="s">
        <v>2848</v>
      </c>
      <c r="N11" s="227">
        <v>817075</v>
      </c>
      <c r="O11" s="227">
        <v>820000</v>
      </c>
      <c r="P11" s="228">
        <v>-2925</v>
      </c>
      <c r="Q11" s="229">
        <v>-4.0000000000000001E-3</v>
      </c>
      <c r="R11" s="226">
        <v>-4.0000000000000001E-3</v>
      </c>
      <c r="S11" s="227">
        <v>860000</v>
      </c>
      <c r="T11" s="227">
        <v>780000</v>
      </c>
      <c r="U11" s="643" t="s">
        <v>2857</v>
      </c>
      <c r="V11" s="643"/>
      <c r="W11" s="643"/>
      <c r="X11" s="643"/>
      <c r="Y11" s="200"/>
      <c r="Z11" s="200"/>
    </row>
    <row r="12" spans="1:26" ht="15.95" customHeight="1" x14ac:dyDescent="0.25">
      <c r="B12" s="351" t="s">
        <v>2849</v>
      </c>
      <c r="C12" s="209" t="s">
        <v>2824</v>
      </c>
      <c r="D12" s="209">
        <v>18702</v>
      </c>
      <c r="E12" s="220">
        <v>17700</v>
      </c>
      <c r="F12" s="209">
        <v>1002</v>
      </c>
      <c r="G12" s="210">
        <v>1.2999999999999999E-2</v>
      </c>
      <c r="H12" s="208">
        <v>817075</v>
      </c>
      <c r="I12" s="208">
        <v>18702</v>
      </c>
      <c r="J12" s="208">
        <v>0</v>
      </c>
      <c r="K12" s="208">
        <v>0</v>
      </c>
      <c r="L12" s="208" t="s">
        <v>2826</v>
      </c>
      <c r="M12" s="208" t="s">
        <v>2828</v>
      </c>
      <c r="N12" s="209">
        <v>153798</v>
      </c>
      <c r="O12" s="209">
        <v>161000</v>
      </c>
      <c r="P12" s="223">
        <v>-7202</v>
      </c>
      <c r="Q12" s="231">
        <v>-4.4999999999999998E-2</v>
      </c>
      <c r="R12" s="230">
        <v>7.0000000000000001E-3</v>
      </c>
      <c r="S12" s="209">
        <v>168000</v>
      </c>
      <c r="T12" s="209">
        <v>138000</v>
      </c>
      <c r="U12" s="644" t="s">
        <v>2858</v>
      </c>
      <c r="V12" s="644"/>
      <c r="W12" s="644"/>
      <c r="X12" s="644"/>
      <c r="Y12" s="200"/>
      <c r="Z12" s="200"/>
    </row>
    <row r="13" spans="1:26" ht="15.95" customHeight="1" x14ac:dyDescent="0.25">
      <c r="B13" s="352" t="s">
        <v>2850</v>
      </c>
      <c r="C13" s="206" t="s">
        <v>2824</v>
      </c>
      <c r="D13" s="206">
        <v>-385352</v>
      </c>
      <c r="E13" s="218">
        <v>-374000</v>
      </c>
      <c r="F13" s="206">
        <v>-11352</v>
      </c>
      <c r="G13" s="207">
        <v>-0.03</v>
      </c>
      <c r="H13" s="205">
        <v>450723</v>
      </c>
      <c r="I13" s="205">
        <v>0</v>
      </c>
      <c r="J13" s="205">
        <v>385352</v>
      </c>
      <c r="K13" s="205">
        <v>0</v>
      </c>
      <c r="L13" s="205" t="s">
        <v>2827</v>
      </c>
      <c r="M13" s="225" t="s">
        <v>785</v>
      </c>
      <c r="N13" s="227">
        <v>216451</v>
      </c>
      <c r="O13" s="227">
        <v>225200</v>
      </c>
      <c r="P13" s="228">
        <v>-8749</v>
      </c>
      <c r="Q13" s="229">
        <v>-3.9E-2</v>
      </c>
      <c r="R13" s="226">
        <v>7.0000000000000001E-3</v>
      </c>
      <c r="S13" s="227">
        <v>232000</v>
      </c>
      <c r="T13" s="227">
        <v>198000</v>
      </c>
      <c r="U13" s="643" t="s">
        <v>2859</v>
      </c>
      <c r="V13" s="643"/>
      <c r="W13" s="643"/>
      <c r="X13" s="643"/>
      <c r="Y13" s="200"/>
      <c r="Z13" s="200"/>
    </row>
    <row r="14" spans="1:26" ht="15.95" customHeight="1" x14ac:dyDescent="0.25">
      <c r="B14" s="351" t="s">
        <v>278</v>
      </c>
      <c r="C14" s="209" t="s">
        <v>2824</v>
      </c>
      <c r="D14" s="209">
        <v>-219880</v>
      </c>
      <c r="E14" s="220">
        <v>-224000</v>
      </c>
      <c r="F14" s="209">
        <v>4120</v>
      </c>
      <c r="G14" s="210">
        <v>1.7999999999999999E-2</v>
      </c>
      <c r="H14" s="208">
        <v>65371</v>
      </c>
      <c r="I14" s="208">
        <v>0</v>
      </c>
      <c r="J14" s="208">
        <v>219880</v>
      </c>
      <c r="K14" s="208">
        <v>0</v>
      </c>
      <c r="L14" s="208" t="s">
        <v>2827</v>
      </c>
      <c r="M14" s="208" t="s">
        <v>2860</v>
      </c>
      <c r="N14" s="209">
        <v>6521</v>
      </c>
      <c r="O14" s="209">
        <v>7200</v>
      </c>
      <c r="P14" s="223">
        <v>-679</v>
      </c>
      <c r="Q14" s="231">
        <v>-9.4E-2</v>
      </c>
      <c r="R14" s="230">
        <v>1E-3</v>
      </c>
      <c r="S14" s="209">
        <v>8000</v>
      </c>
      <c r="T14" s="209">
        <v>5000</v>
      </c>
      <c r="U14" s="644" t="s">
        <v>2861</v>
      </c>
      <c r="V14" s="644"/>
      <c r="W14" s="644"/>
      <c r="X14" s="644"/>
      <c r="Y14" s="200"/>
      <c r="Z14" s="200"/>
    </row>
    <row r="15" spans="1:26" ht="15.95" customHeight="1" x14ac:dyDescent="0.25">
      <c r="B15" s="352" t="s">
        <v>2851</v>
      </c>
      <c r="C15" s="206" t="s">
        <v>2824</v>
      </c>
      <c r="D15" s="206">
        <v>-62653</v>
      </c>
      <c r="E15" s="221">
        <v>-64200</v>
      </c>
      <c r="F15" s="206">
        <v>1547</v>
      </c>
      <c r="G15" s="207">
        <v>2.4E-2</v>
      </c>
      <c r="H15" s="205">
        <v>153798</v>
      </c>
      <c r="I15" s="205">
        <v>0</v>
      </c>
      <c r="J15" s="205">
        <v>62653</v>
      </c>
      <c r="K15" s="205">
        <v>0</v>
      </c>
      <c r="L15" s="205" t="s">
        <v>2827</v>
      </c>
      <c r="M15" s="225" t="s">
        <v>2862</v>
      </c>
      <c r="N15" s="227">
        <v>-33718</v>
      </c>
      <c r="O15" s="227">
        <v>-37600</v>
      </c>
      <c r="P15" s="232">
        <v>3882</v>
      </c>
      <c r="Q15" s="233">
        <v>0.10299999999999999</v>
      </c>
      <c r="R15" s="226">
        <v>-5.0000000000000001E-3</v>
      </c>
      <c r="S15" s="227">
        <v>-30000</v>
      </c>
      <c r="T15" s="227">
        <v>-38000</v>
      </c>
      <c r="U15" s="643" t="s">
        <v>2863</v>
      </c>
      <c r="V15" s="643"/>
      <c r="W15" s="643"/>
      <c r="X15" s="643"/>
      <c r="Y15" s="200"/>
      <c r="Z15" s="200"/>
    </row>
    <row r="16" spans="1:26" ht="15.95" customHeight="1" x14ac:dyDescent="0.25">
      <c r="B16" s="211" t="s">
        <v>2852</v>
      </c>
      <c r="C16" s="212" t="s">
        <v>2853</v>
      </c>
      <c r="D16" s="212">
        <v>153798</v>
      </c>
      <c r="E16" s="222">
        <v>161000</v>
      </c>
      <c r="F16" s="212">
        <v>-7202</v>
      </c>
      <c r="G16" s="213">
        <v>-4.4999999999999998E-2</v>
      </c>
      <c r="H16" s="211">
        <v>0</v>
      </c>
      <c r="I16" s="211">
        <v>0</v>
      </c>
      <c r="J16" s="211">
        <v>0</v>
      </c>
      <c r="K16" s="211">
        <v>153798</v>
      </c>
      <c r="L16" s="211" t="s">
        <v>2829</v>
      </c>
      <c r="M16" s="208" t="s">
        <v>2864</v>
      </c>
      <c r="N16" s="209">
        <v>160319</v>
      </c>
      <c r="O16" s="209">
        <v>168200</v>
      </c>
      <c r="P16" s="223">
        <v>-7881</v>
      </c>
      <c r="Q16" s="231">
        <v>-4.7E-2</v>
      </c>
      <c r="R16" s="230">
        <v>2E-3</v>
      </c>
      <c r="S16" s="209">
        <v>175000</v>
      </c>
      <c r="T16" s="209">
        <v>146000</v>
      </c>
      <c r="U16" s="644" t="s">
        <v>2865</v>
      </c>
      <c r="V16" s="644"/>
      <c r="W16" s="644"/>
      <c r="X16" s="644"/>
      <c r="Y16" s="200"/>
      <c r="Z16" s="200"/>
    </row>
    <row r="17" spans="2:26" ht="15.95" customHeight="1" x14ac:dyDescent="0.25">
      <c r="B17" s="205" t="s">
        <v>2854</v>
      </c>
      <c r="C17" s="206" t="s">
        <v>2830</v>
      </c>
      <c r="D17" s="206">
        <v>6521</v>
      </c>
      <c r="E17" s="218">
        <v>7200</v>
      </c>
      <c r="F17" s="206">
        <v>-679</v>
      </c>
      <c r="G17" s="207">
        <v>-9.4E-2</v>
      </c>
      <c r="H17" s="205">
        <v>153798</v>
      </c>
      <c r="I17" s="205">
        <v>6521</v>
      </c>
      <c r="J17" s="205">
        <v>0</v>
      </c>
      <c r="K17" s="205">
        <v>0</v>
      </c>
      <c r="L17" s="205" t="s">
        <v>2826</v>
      </c>
      <c r="M17" s="225" t="s">
        <v>2833</v>
      </c>
      <c r="N17" s="227">
        <v>-44491</v>
      </c>
      <c r="O17" s="227">
        <v>-42700</v>
      </c>
      <c r="P17" s="228">
        <v>-1791</v>
      </c>
      <c r="Q17" s="229">
        <v>-4.2000000000000003E-2</v>
      </c>
      <c r="R17" s="226">
        <v>-2E-3</v>
      </c>
      <c r="S17" s="227">
        <v>-46000</v>
      </c>
      <c r="T17" s="227">
        <v>-41000</v>
      </c>
      <c r="U17" s="643" t="s">
        <v>2866</v>
      </c>
      <c r="V17" s="643"/>
      <c r="W17" s="643"/>
      <c r="X17" s="643"/>
      <c r="Y17" s="200"/>
      <c r="Z17" s="200"/>
    </row>
    <row r="18" spans="2:26" ht="15.95" customHeight="1" x14ac:dyDescent="0.25">
      <c r="B18" s="351" t="s">
        <v>2855</v>
      </c>
      <c r="C18" s="209" t="s">
        <v>2831</v>
      </c>
      <c r="D18" s="209">
        <v>-33718</v>
      </c>
      <c r="E18" s="220">
        <v>-37600</v>
      </c>
      <c r="F18" s="209">
        <v>3882</v>
      </c>
      <c r="G18" s="210">
        <v>0.10299999999999999</v>
      </c>
      <c r="H18" s="208">
        <v>160319</v>
      </c>
      <c r="I18" s="208">
        <v>0</v>
      </c>
      <c r="J18" s="208">
        <v>33718</v>
      </c>
      <c r="K18" s="208">
        <v>0</v>
      </c>
      <c r="L18" s="208" t="s">
        <v>2827</v>
      </c>
      <c r="M18" s="208" t="s">
        <v>501</v>
      </c>
      <c r="N18" s="209">
        <v>82110</v>
      </c>
      <c r="O18" s="209">
        <v>126400</v>
      </c>
      <c r="P18" s="223">
        <v>-44290</v>
      </c>
      <c r="Q18" s="231">
        <v>-0.35</v>
      </c>
      <c r="R18" s="230">
        <v>-5.3999999999999999E-2</v>
      </c>
      <c r="S18" s="209">
        <v>95000</v>
      </c>
      <c r="T18" s="209">
        <v>68000</v>
      </c>
      <c r="U18" s="644" t="s">
        <v>2867</v>
      </c>
      <c r="V18" s="644"/>
      <c r="W18" s="644"/>
      <c r="X18" s="644"/>
      <c r="Y18" s="200"/>
      <c r="Z18" s="200"/>
    </row>
    <row r="19" spans="2:26" ht="15.95" customHeight="1" x14ac:dyDescent="0.25">
      <c r="B19" s="211" t="s">
        <v>2832</v>
      </c>
      <c r="C19" s="212" t="s">
        <v>2853</v>
      </c>
      <c r="D19" s="212">
        <v>160319</v>
      </c>
      <c r="E19" s="222">
        <v>168200</v>
      </c>
      <c r="F19" s="212">
        <v>-7881</v>
      </c>
      <c r="G19" s="213">
        <v>-4.7E-2</v>
      </c>
      <c r="H19" s="211">
        <v>0</v>
      </c>
      <c r="I19" s="211">
        <v>0</v>
      </c>
      <c r="J19" s="211">
        <v>0</v>
      </c>
      <c r="K19" s="211">
        <v>160319</v>
      </c>
      <c r="L19" s="211" t="s">
        <v>2829</v>
      </c>
      <c r="M19" s="225" t="s">
        <v>2868</v>
      </c>
      <c r="N19" s="227">
        <v>78448</v>
      </c>
      <c r="O19" s="227">
        <v>134400</v>
      </c>
      <c r="P19" s="228">
        <v>-55952</v>
      </c>
      <c r="Q19" s="229">
        <v>-0.41599999999999998</v>
      </c>
      <c r="R19" s="234">
        <v>0</v>
      </c>
      <c r="S19" s="227">
        <v>95000</v>
      </c>
      <c r="T19" s="227">
        <v>62000</v>
      </c>
      <c r="U19" s="643" t="s">
        <v>2869</v>
      </c>
      <c r="V19" s="643"/>
      <c r="W19" s="643"/>
      <c r="X19" s="643"/>
      <c r="Y19" s="200"/>
      <c r="Z19" s="200"/>
    </row>
    <row r="20" spans="2:26" ht="15.95" customHeight="1" x14ac:dyDescent="0.25">
      <c r="B20" s="351" t="s">
        <v>2833</v>
      </c>
      <c r="C20" s="209" t="s">
        <v>2834</v>
      </c>
      <c r="D20" s="209">
        <v>-44491</v>
      </c>
      <c r="E20" s="223">
        <v>-42700</v>
      </c>
      <c r="F20" s="209">
        <v>-1791</v>
      </c>
      <c r="G20" s="210">
        <v>-4.2000000000000003E-2</v>
      </c>
      <c r="H20" s="208">
        <v>160319</v>
      </c>
      <c r="I20" s="208">
        <v>0</v>
      </c>
      <c r="J20" s="208">
        <v>44491</v>
      </c>
      <c r="K20" s="208">
        <v>0</v>
      </c>
      <c r="L20" s="208" t="s">
        <v>2827</v>
      </c>
      <c r="M20" s="208" t="s">
        <v>2870</v>
      </c>
      <c r="N20" s="209">
        <v>123000</v>
      </c>
      <c r="O20" s="209">
        <v>168000</v>
      </c>
      <c r="P20" s="223">
        <v>-45000</v>
      </c>
      <c r="Q20" s="231">
        <v>-0.26800000000000002</v>
      </c>
      <c r="R20" s="235">
        <v>0</v>
      </c>
      <c r="S20" s="209">
        <v>110000</v>
      </c>
      <c r="T20" s="209">
        <v>130000</v>
      </c>
      <c r="U20" s="644" t="s">
        <v>2871</v>
      </c>
      <c r="V20" s="644"/>
      <c r="W20" s="644"/>
      <c r="X20" s="644"/>
      <c r="Y20" s="200"/>
      <c r="Z20" s="200"/>
    </row>
    <row r="21" spans="2:26" ht="15.95" customHeight="1" x14ac:dyDescent="0.25">
      <c r="B21" s="352" t="s">
        <v>2835</v>
      </c>
      <c r="C21" s="206" t="s">
        <v>2836</v>
      </c>
      <c r="D21" s="206">
        <v>0</v>
      </c>
      <c r="E21" s="221">
        <v>0</v>
      </c>
      <c r="F21" s="206">
        <v>0</v>
      </c>
      <c r="G21" s="207">
        <v>0</v>
      </c>
      <c r="H21" s="205">
        <v>115828</v>
      </c>
      <c r="I21" s="205">
        <v>0</v>
      </c>
      <c r="J21" s="205">
        <v>0</v>
      </c>
      <c r="K21" s="205">
        <v>0</v>
      </c>
      <c r="L21" s="205" t="s">
        <v>798</v>
      </c>
      <c r="Y21" s="200"/>
      <c r="Z21" s="200"/>
    </row>
    <row r="22" spans="2:26" ht="15.95" customHeight="1" x14ac:dyDescent="0.25">
      <c r="B22" s="214" t="s">
        <v>2856</v>
      </c>
      <c r="C22" s="215" t="s">
        <v>416</v>
      </c>
      <c r="D22" s="215">
        <v>82110</v>
      </c>
      <c r="E22" s="224">
        <v>126400</v>
      </c>
      <c r="F22" s="215">
        <v>-44290</v>
      </c>
      <c r="G22" s="216">
        <v>-0.35</v>
      </c>
      <c r="H22" s="214">
        <v>0</v>
      </c>
      <c r="I22" s="214">
        <v>0</v>
      </c>
      <c r="J22" s="214">
        <v>0</v>
      </c>
      <c r="K22" s="214">
        <v>82110</v>
      </c>
      <c r="L22" s="214" t="s">
        <v>337</v>
      </c>
      <c r="Y22" s="200"/>
      <c r="Z22" s="200"/>
    </row>
    <row r="23" spans="2:26" ht="21.95" customHeight="1" x14ac:dyDescent="0.25">
      <c r="B23" s="645" t="s">
        <v>2872</v>
      </c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 t="s">
        <v>2873</v>
      </c>
      <c r="N23" s="646"/>
      <c r="O23" s="646"/>
      <c r="P23" s="646"/>
      <c r="Q23" s="646"/>
      <c r="R23" s="646"/>
      <c r="S23" s="646"/>
      <c r="T23" s="646"/>
      <c r="U23" s="646"/>
      <c r="V23" s="646"/>
      <c r="W23" s="646"/>
      <c r="X23" s="646"/>
      <c r="Y23" s="200"/>
      <c r="Z23" s="200"/>
    </row>
    <row r="24" spans="2:26" ht="15.95" customHeight="1" x14ac:dyDescent="0.25">
      <c r="B24" s="237" t="s">
        <v>188</v>
      </c>
      <c r="C24" s="237" t="s">
        <v>2874</v>
      </c>
      <c r="D24" s="237" t="s">
        <v>2875</v>
      </c>
      <c r="E24" s="237" t="s">
        <v>2820</v>
      </c>
      <c r="F24" s="237" t="s">
        <v>2821</v>
      </c>
      <c r="G24" s="237" t="s">
        <v>2876</v>
      </c>
      <c r="H24" s="959" t="s">
        <v>2877</v>
      </c>
      <c r="I24" s="959"/>
      <c r="J24" s="959"/>
      <c r="K24" s="959"/>
      <c r="L24" s="959"/>
      <c r="M24" s="247" t="s">
        <v>70</v>
      </c>
      <c r="N24" s="247" t="s">
        <v>2143</v>
      </c>
      <c r="O24" s="247" t="s">
        <v>2907</v>
      </c>
      <c r="P24" s="247" t="s">
        <v>2908</v>
      </c>
      <c r="Q24" s="247" t="s">
        <v>2909</v>
      </c>
      <c r="R24" s="247" t="s">
        <v>2910</v>
      </c>
      <c r="S24" s="247" t="s">
        <v>2842</v>
      </c>
      <c r="T24" s="247" t="s">
        <v>2911</v>
      </c>
      <c r="U24" s="247" t="s">
        <v>2192</v>
      </c>
      <c r="V24" s="247" t="s">
        <v>2912</v>
      </c>
      <c r="W24" s="247" t="s">
        <v>378</v>
      </c>
      <c r="X24" s="247"/>
      <c r="Y24" s="200"/>
      <c r="Z24" s="200"/>
    </row>
    <row r="25" spans="2:26" ht="15.95" customHeight="1" x14ac:dyDescent="0.25">
      <c r="B25" s="238" t="s">
        <v>2878</v>
      </c>
      <c r="C25" s="240">
        <v>761289</v>
      </c>
      <c r="D25" s="240">
        <v>720000</v>
      </c>
      <c r="E25" s="241">
        <v>41289</v>
      </c>
      <c r="F25" s="239">
        <v>5.7000000000000002E-2</v>
      </c>
      <c r="G25" s="239">
        <v>0.55000000000000004</v>
      </c>
      <c r="H25" s="960" t="s">
        <v>2879</v>
      </c>
      <c r="I25" s="960"/>
      <c r="J25" s="960"/>
      <c r="K25" s="960"/>
      <c r="L25" s="960"/>
      <c r="M25" s="248" t="s">
        <v>26</v>
      </c>
      <c r="N25" s="250">
        <v>12400</v>
      </c>
      <c r="O25" s="250">
        <v>8900</v>
      </c>
      <c r="P25" s="250">
        <v>85000</v>
      </c>
      <c r="Q25" s="250">
        <v>106300</v>
      </c>
      <c r="R25" s="250">
        <v>114800</v>
      </c>
      <c r="S25" s="249">
        <v>-7.3999999999999996E-2</v>
      </c>
      <c r="T25" s="248">
        <v>67800</v>
      </c>
      <c r="U25" s="249">
        <v>1.5680000000000001</v>
      </c>
      <c r="V25" s="248">
        <v>43.5</v>
      </c>
      <c r="W25" s="648" t="s">
        <v>2913</v>
      </c>
      <c r="X25" s="648"/>
      <c r="Y25" s="200"/>
      <c r="Z25" s="200"/>
    </row>
    <row r="26" spans="2:26" ht="15.95" customHeight="1" x14ac:dyDescent="0.25">
      <c r="B26" s="208" t="s">
        <v>2880</v>
      </c>
      <c r="C26" s="209">
        <v>59135</v>
      </c>
      <c r="D26" s="209">
        <v>85000</v>
      </c>
      <c r="E26" s="223">
        <v>-25865</v>
      </c>
      <c r="F26" s="230">
        <v>-0.30399999999999999</v>
      </c>
      <c r="G26" s="230">
        <v>4.2999999999999997E-2</v>
      </c>
      <c r="H26" s="961" t="s">
        <v>2881</v>
      </c>
      <c r="I26" s="961"/>
      <c r="J26" s="961"/>
      <c r="K26" s="961"/>
      <c r="L26" s="961"/>
      <c r="M26" s="208" t="s">
        <v>31</v>
      </c>
      <c r="N26" s="209">
        <v>29600</v>
      </c>
      <c r="O26" s="209">
        <v>15600</v>
      </c>
      <c r="P26" s="209">
        <v>142000</v>
      </c>
      <c r="Q26" s="209">
        <v>187200</v>
      </c>
      <c r="R26" s="209">
        <v>198600</v>
      </c>
      <c r="S26" s="230">
        <v>-5.7000000000000002E-2</v>
      </c>
      <c r="T26" s="208">
        <v>112000</v>
      </c>
      <c r="U26" s="230">
        <v>1.671</v>
      </c>
      <c r="V26" s="208">
        <v>176.2</v>
      </c>
      <c r="W26" s="644" t="s">
        <v>2913</v>
      </c>
      <c r="X26" s="644"/>
      <c r="Y26" s="200"/>
      <c r="Z26" s="200"/>
    </row>
    <row r="27" spans="2:26" ht="15.95" customHeight="1" x14ac:dyDescent="0.25">
      <c r="B27" s="242" t="s">
        <v>2882</v>
      </c>
      <c r="C27" s="244">
        <v>551938</v>
      </c>
      <c r="D27" s="244">
        <v>515000</v>
      </c>
      <c r="E27" s="245">
        <v>36938</v>
      </c>
      <c r="F27" s="243">
        <v>7.1999999999999995E-2</v>
      </c>
      <c r="G27" s="243">
        <v>0.39800000000000002</v>
      </c>
      <c r="H27" s="962" t="s">
        <v>2883</v>
      </c>
      <c r="I27" s="962"/>
      <c r="J27" s="962"/>
      <c r="K27" s="962"/>
      <c r="L27" s="962"/>
      <c r="M27" s="248" t="s">
        <v>33</v>
      </c>
      <c r="N27" s="250">
        <v>8200</v>
      </c>
      <c r="O27" s="250">
        <v>6100</v>
      </c>
      <c r="P27" s="250">
        <v>62000</v>
      </c>
      <c r="Q27" s="250">
        <v>76300</v>
      </c>
      <c r="R27" s="250">
        <v>79100</v>
      </c>
      <c r="S27" s="249">
        <v>-3.5000000000000003E-2</v>
      </c>
      <c r="T27" s="248">
        <v>43500</v>
      </c>
      <c r="U27" s="249">
        <v>1.754</v>
      </c>
      <c r="V27" s="248">
        <v>50.1</v>
      </c>
      <c r="W27" s="648" t="s">
        <v>2913</v>
      </c>
      <c r="X27" s="648"/>
      <c r="Y27" s="200"/>
      <c r="Z27" s="200"/>
    </row>
    <row r="28" spans="2:26" ht="15.95" customHeight="1" x14ac:dyDescent="0.25">
      <c r="B28" s="208" t="s">
        <v>2884</v>
      </c>
      <c r="C28" s="209">
        <v>36341</v>
      </c>
      <c r="D28" s="209">
        <v>32000</v>
      </c>
      <c r="E28" s="219">
        <v>4341</v>
      </c>
      <c r="F28" s="230">
        <v>0.13600000000000001</v>
      </c>
      <c r="G28" s="230">
        <v>2.5999999999999999E-2</v>
      </c>
      <c r="H28" s="961" t="s">
        <v>2885</v>
      </c>
      <c r="I28" s="961"/>
      <c r="J28" s="961"/>
      <c r="K28" s="961"/>
      <c r="L28" s="961"/>
      <c r="M28" s="208" t="s">
        <v>35</v>
      </c>
      <c r="N28" s="209">
        <v>18900</v>
      </c>
      <c r="O28" s="209">
        <v>14100</v>
      </c>
      <c r="P28" s="209">
        <v>195000</v>
      </c>
      <c r="Q28" s="209">
        <v>228000</v>
      </c>
      <c r="R28" s="209">
        <v>236500</v>
      </c>
      <c r="S28" s="230">
        <v>-3.5999999999999997E-2</v>
      </c>
      <c r="T28" s="208">
        <v>129000</v>
      </c>
      <c r="U28" s="230">
        <v>1.7669999999999999</v>
      </c>
      <c r="V28" s="208">
        <v>104.8</v>
      </c>
      <c r="W28" s="644" t="s">
        <v>2913</v>
      </c>
      <c r="X28" s="644"/>
      <c r="Y28" s="200"/>
      <c r="Z28" s="200"/>
    </row>
    <row r="29" spans="2:26" ht="15.95" customHeight="1" x14ac:dyDescent="0.25">
      <c r="B29" s="238" t="s">
        <v>2886</v>
      </c>
      <c r="C29" s="240">
        <v>624116</v>
      </c>
      <c r="D29" s="240">
        <v>578000</v>
      </c>
      <c r="E29" s="241">
        <v>46116</v>
      </c>
      <c r="F29" s="239">
        <v>0.08</v>
      </c>
      <c r="G29" s="239">
        <v>0.45100000000000001</v>
      </c>
      <c r="H29" s="960" t="s">
        <v>2887</v>
      </c>
      <c r="I29" s="960"/>
      <c r="J29" s="960"/>
      <c r="K29" s="960"/>
      <c r="L29" s="960"/>
      <c r="M29" s="248" t="s">
        <v>37</v>
      </c>
      <c r="N29" s="250">
        <v>5400</v>
      </c>
      <c r="O29" s="250">
        <v>3800</v>
      </c>
      <c r="P29" s="250">
        <v>28000</v>
      </c>
      <c r="Q29" s="250">
        <v>37200</v>
      </c>
      <c r="R29" s="250">
        <v>37900</v>
      </c>
      <c r="S29" s="249">
        <v>-1.7999999999999999E-2</v>
      </c>
      <c r="T29" s="248">
        <v>20200</v>
      </c>
      <c r="U29" s="249">
        <v>1.8420000000000001</v>
      </c>
      <c r="V29" s="248">
        <v>89.9</v>
      </c>
      <c r="W29" s="648" t="s">
        <v>2913</v>
      </c>
      <c r="X29" s="648"/>
      <c r="Y29" s="200"/>
      <c r="Z29" s="200"/>
    </row>
    <row r="30" spans="2:26" ht="15.95" customHeight="1" x14ac:dyDescent="0.25">
      <c r="B30" s="208" t="s">
        <v>2888</v>
      </c>
      <c r="C30" s="209">
        <v>417748</v>
      </c>
      <c r="D30" s="209">
        <v>388000</v>
      </c>
      <c r="E30" s="219">
        <v>29748</v>
      </c>
      <c r="F30" s="230">
        <v>7.6999999999999999E-2</v>
      </c>
      <c r="G30" s="230">
        <v>0.30199999999999999</v>
      </c>
      <c r="H30" s="961" t="s">
        <v>2889</v>
      </c>
      <c r="I30" s="961"/>
      <c r="J30" s="961"/>
      <c r="K30" s="961"/>
      <c r="L30" s="961"/>
      <c r="M30" s="214" t="s">
        <v>2914</v>
      </c>
      <c r="N30" s="215">
        <v>74500</v>
      </c>
      <c r="O30" s="215">
        <v>0</v>
      </c>
      <c r="P30" s="215">
        <v>0</v>
      </c>
      <c r="Q30" s="215">
        <v>74500</v>
      </c>
      <c r="R30" s="215">
        <v>116800</v>
      </c>
      <c r="S30" s="251">
        <v>-0.36199999999999999</v>
      </c>
      <c r="T30" s="214">
        <v>54000</v>
      </c>
      <c r="U30" s="251">
        <v>1.379</v>
      </c>
      <c r="V30" s="214">
        <v>91.2</v>
      </c>
      <c r="W30" s="649" t="s">
        <v>2915</v>
      </c>
      <c r="X30" s="649"/>
      <c r="Y30" s="200"/>
      <c r="Z30" s="200"/>
    </row>
    <row r="31" spans="2:26" ht="15.95" customHeight="1" x14ac:dyDescent="0.25">
      <c r="B31" s="242" t="s">
        <v>2890</v>
      </c>
      <c r="C31" s="244">
        <v>170012</v>
      </c>
      <c r="D31" s="244">
        <v>158000</v>
      </c>
      <c r="E31" s="245">
        <v>12012</v>
      </c>
      <c r="F31" s="243">
        <v>7.5999999999999998E-2</v>
      </c>
      <c r="G31" s="243">
        <v>0.123</v>
      </c>
      <c r="H31" s="962" t="s">
        <v>2891</v>
      </c>
      <c r="I31" s="962"/>
      <c r="J31" s="962"/>
      <c r="K31" s="962"/>
      <c r="L31" s="962"/>
      <c r="M31" s="214" t="s">
        <v>2916</v>
      </c>
      <c r="N31" s="215">
        <v>0</v>
      </c>
      <c r="O31" s="215">
        <v>48500</v>
      </c>
      <c r="P31" s="215">
        <v>0</v>
      </c>
      <c r="Q31" s="215">
        <v>48500</v>
      </c>
      <c r="R31" s="215">
        <v>51200</v>
      </c>
      <c r="S31" s="251">
        <v>-5.2999999999999999E-2</v>
      </c>
      <c r="T31" s="214">
        <v>27500</v>
      </c>
      <c r="U31" s="251">
        <v>1.764</v>
      </c>
      <c r="V31" s="214">
        <v>59.4</v>
      </c>
      <c r="W31" s="649" t="s">
        <v>2915</v>
      </c>
      <c r="X31" s="649"/>
      <c r="Y31" s="200"/>
      <c r="Z31" s="200"/>
    </row>
    <row r="32" spans="2:26" ht="15.95" customHeight="1" x14ac:dyDescent="0.25">
      <c r="B32" s="238" t="s">
        <v>2892</v>
      </c>
      <c r="C32" s="240">
        <v>1385405</v>
      </c>
      <c r="D32" s="240">
        <v>1298000</v>
      </c>
      <c r="E32" s="241">
        <v>87405</v>
      </c>
      <c r="F32" s="239">
        <v>6.7000000000000004E-2</v>
      </c>
      <c r="G32" s="239">
        <v>1</v>
      </c>
      <c r="H32" s="960" t="s">
        <v>2893</v>
      </c>
      <c r="I32" s="960"/>
      <c r="J32" s="960"/>
      <c r="K32" s="960"/>
      <c r="L32" s="960"/>
      <c r="M32" s="214" t="s">
        <v>2917</v>
      </c>
      <c r="N32" s="215">
        <v>0</v>
      </c>
      <c r="O32" s="215">
        <v>0</v>
      </c>
      <c r="P32" s="215">
        <v>512000</v>
      </c>
      <c r="Q32" s="215">
        <v>512000</v>
      </c>
      <c r="R32" s="215">
        <v>538000</v>
      </c>
      <c r="S32" s="251">
        <v>-4.8000000000000001E-2</v>
      </c>
      <c r="T32" s="214">
        <v>300000</v>
      </c>
      <c r="U32" s="251">
        <v>1.7070000000000001</v>
      </c>
      <c r="V32" s="214">
        <v>626.6</v>
      </c>
      <c r="W32" s="649" t="s">
        <v>2918</v>
      </c>
      <c r="X32" s="649"/>
      <c r="Y32" s="200"/>
      <c r="Z32" s="200"/>
    </row>
    <row r="33" spans="2:26" ht="15.95" customHeight="1" x14ac:dyDescent="0.25">
      <c r="B33" s="238" t="s">
        <v>2894</v>
      </c>
      <c r="C33" s="240">
        <v>259679</v>
      </c>
      <c r="D33" s="240">
        <v>232200</v>
      </c>
      <c r="E33" s="241">
        <v>27479</v>
      </c>
      <c r="F33" s="239">
        <v>0.11799999999999999</v>
      </c>
      <c r="G33" s="239">
        <v>0.188</v>
      </c>
      <c r="H33" s="960" t="s">
        <v>2895</v>
      </c>
      <c r="I33" s="960"/>
      <c r="J33" s="960"/>
      <c r="K33" s="960"/>
      <c r="L33" s="960"/>
      <c r="M33" s="214" t="s">
        <v>2919</v>
      </c>
      <c r="N33" s="215">
        <v>74500</v>
      </c>
      <c r="O33" s="215">
        <v>48500</v>
      </c>
      <c r="P33" s="215">
        <v>512000</v>
      </c>
      <c r="Q33" s="215">
        <v>635000</v>
      </c>
      <c r="R33" s="215">
        <v>706000</v>
      </c>
      <c r="S33" s="251">
        <v>-0.10100000000000001</v>
      </c>
      <c r="T33" s="214">
        <v>381500</v>
      </c>
      <c r="U33" s="251">
        <v>1.665</v>
      </c>
      <c r="V33" s="214">
        <v>777.2</v>
      </c>
      <c r="W33" s="649" t="s">
        <v>2920</v>
      </c>
      <c r="X33" s="649"/>
      <c r="Y33" s="200"/>
      <c r="Z33" s="200"/>
    </row>
    <row r="34" spans="2:26" ht="15.95" customHeight="1" x14ac:dyDescent="0.25">
      <c r="B34" s="208" t="s">
        <v>2896</v>
      </c>
      <c r="C34" s="209">
        <v>198747</v>
      </c>
      <c r="D34" s="209">
        <v>190000</v>
      </c>
      <c r="E34" s="219">
        <v>8747</v>
      </c>
      <c r="F34" s="230">
        <v>4.5999999999999999E-2</v>
      </c>
      <c r="G34" s="230">
        <v>0.14399999999999999</v>
      </c>
      <c r="H34" s="961" t="e" cm="1">
        <f t="array" ref="H34" xml:space="preserve"> Résultat + Réserves + OCI</f>
        <v>#NAME?</v>
      </c>
      <c r="I34" s="961"/>
      <c r="J34" s="961"/>
      <c r="K34" s="961"/>
      <c r="L34" s="961"/>
      <c r="Y34" s="200"/>
      <c r="Z34" s="200"/>
    </row>
    <row r="35" spans="2:26" ht="15.95" customHeight="1" x14ac:dyDescent="0.25">
      <c r="B35" s="242" t="s">
        <v>2897</v>
      </c>
      <c r="C35" s="244">
        <v>60932</v>
      </c>
      <c r="D35" s="244">
        <v>42200</v>
      </c>
      <c r="E35" s="245">
        <v>18732</v>
      </c>
      <c r="F35" s="243">
        <v>0.44400000000000001</v>
      </c>
      <c r="G35" s="243">
        <v>4.3999999999999997E-2</v>
      </c>
      <c r="H35" s="962" t="s">
        <v>2898</v>
      </c>
      <c r="I35" s="962"/>
      <c r="J35" s="962"/>
      <c r="K35" s="962"/>
      <c r="L35" s="962"/>
      <c r="Y35" s="200"/>
      <c r="Z35" s="200"/>
    </row>
    <row r="36" spans="2:26" ht="15.95" customHeight="1" x14ac:dyDescent="0.25">
      <c r="B36" s="238" t="s">
        <v>2899</v>
      </c>
      <c r="C36" s="240">
        <v>459039</v>
      </c>
      <c r="D36" s="240">
        <v>440000</v>
      </c>
      <c r="E36" s="241">
        <v>19039</v>
      </c>
      <c r="F36" s="239">
        <v>4.2999999999999997E-2</v>
      </c>
      <c r="G36" s="239">
        <v>0.33200000000000002</v>
      </c>
      <c r="H36" s="960" t="s">
        <v>2900</v>
      </c>
      <c r="I36" s="960"/>
      <c r="J36" s="960"/>
      <c r="K36" s="960"/>
      <c r="L36" s="960"/>
      <c r="Y36" s="200"/>
      <c r="Z36" s="200"/>
    </row>
    <row r="37" spans="2:26" ht="15.95" customHeight="1" x14ac:dyDescent="0.25">
      <c r="B37" s="242" t="s">
        <v>2901</v>
      </c>
      <c r="C37" s="244">
        <v>365785</v>
      </c>
      <c r="D37" s="244">
        <v>350000</v>
      </c>
      <c r="E37" s="245">
        <v>15785</v>
      </c>
      <c r="F37" s="243">
        <v>4.4999999999999998E-2</v>
      </c>
      <c r="G37" s="243">
        <v>0.26400000000000001</v>
      </c>
      <c r="H37" s="962" t="s">
        <v>2902</v>
      </c>
      <c r="I37" s="962"/>
      <c r="J37" s="962"/>
      <c r="K37" s="962"/>
      <c r="L37" s="962"/>
      <c r="Y37" s="200"/>
      <c r="Z37" s="200"/>
    </row>
    <row r="38" spans="2:26" ht="15.95" customHeight="1" x14ac:dyDescent="0.25">
      <c r="B38" s="238" t="s">
        <v>2903</v>
      </c>
      <c r="C38" s="240">
        <v>251736</v>
      </c>
      <c r="D38" s="240">
        <v>243000</v>
      </c>
      <c r="E38" s="241">
        <v>8736</v>
      </c>
      <c r="F38" s="239">
        <v>3.5999999999999997E-2</v>
      </c>
      <c r="G38" s="239">
        <v>0.182</v>
      </c>
      <c r="H38" s="960" t="s">
        <v>2904</v>
      </c>
      <c r="I38" s="960"/>
      <c r="J38" s="960"/>
      <c r="K38" s="960"/>
      <c r="L38" s="960"/>
      <c r="Y38" s="200"/>
      <c r="Z38" s="200"/>
    </row>
    <row r="39" spans="2:26" ht="15.95" customHeight="1" x14ac:dyDescent="0.25">
      <c r="B39" s="238" t="s">
        <v>2905</v>
      </c>
      <c r="C39" s="240">
        <v>1385405</v>
      </c>
      <c r="D39" s="240">
        <v>1298000</v>
      </c>
      <c r="E39" s="241">
        <v>87405</v>
      </c>
      <c r="F39" s="239">
        <v>6.7000000000000004E-2</v>
      </c>
      <c r="G39" s="239">
        <v>1</v>
      </c>
      <c r="H39" s="960" t="s">
        <v>2906</v>
      </c>
      <c r="I39" s="960"/>
      <c r="J39" s="960"/>
      <c r="K39" s="960"/>
      <c r="L39" s="960"/>
      <c r="Y39" s="200"/>
      <c r="Z39" s="200"/>
    </row>
    <row r="40" spans="2:26" ht="15.95" customHeight="1" x14ac:dyDescent="0.25">
      <c r="Y40" s="200"/>
      <c r="Z40" s="200"/>
    </row>
    <row r="41" spans="2:26" ht="21.95" customHeight="1" x14ac:dyDescent="0.25">
      <c r="B41" s="647" t="s">
        <v>2921</v>
      </c>
      <c r="C41" s="647"/>
      <c r="D41" s="647"/>
      <c r="E41" s="647"/>
      <c r="F41" s="647"/>
      <c r="G41" s="647"/>
      <c r="H41" s="647"/>
      <c r="I41" s="647"/>
      <c r="J41" s="647"/>
      <c r="K41" s="647"/>
      <c r="L41" s="647"/>
      <c r="M41" s="647"/>
      <c r="N41" s="647"/>
      <c r="O41" s="647"/>
      <c r="P41" s="647"/>
      <c r="Q41" s="647"/>
      <c r="R41" s="647"/>
      <c r="S41" s="647"/>
      <c r="T41" s="647"/>
      <c r="U41" s="647"/>
      <c r="V41" s="647"/>
      <c r="W41" s="647"/>
      <c r="X41" s="647"/>
      <c r="Y41" s="200"/>
      <c r="Z41" s="200"/>
    </row>
    <row r="42" spans="2:26" ht="20.100000000000001" customHeight="1" x14ac:dyDescent="0.25">
      <c r="B42" s="275" t="s">
        <v>2922</v>
      </c>
      <c r="C42" s="276" t="s">
        <v>2923</v>
      </c>
      <c r="D42" s="276" t="s">
        <v>70</v>
      </c>
      <c r="E42" s="276" t="s">
        <v>72</v>
      </c>
      <c r="F42" s="276" t="s">
        <v>2932</v>
      </c>
      <c r="G42" s="276" t="s">
        <v>267</v>
      </c>
      <c r="H42" s="276" t="s">
        <v>2924</v>
      </c>
      <c r="I42" s="276" t="s">
        <v>2925</v>
      </c>
      <c r="J42" s="276" t="s">
        <v>2926</v>
      </c>
      <c r="K42" s="276" t="s">
        <v>2927</v>
      </c>
      <c r="L42" s="276" t="s">
        <v>2928</v>
      </c>
      <c r="M42" s="276" t="s">
        <v>517</v>
      </c>
      <c r="N42" s="276" t="s">
        <v>2933</v>
      </c>
      <c r="O42" s="276" t="s">
        <v>2934</v>
      </c>
      <c r="P42" s="276" t="s">
        <v>2935</v>
      </c>
      <c r="Q42" s="276" t="s">
        <v>270</v>
      </c>
      <c r="R42" s="276" t="s">
        <v>2936</v>
      </c>
      <c r="S42" s="276" t="s">
        <v>643</v>
      </c>
      <c r="T42" s="276" t="s">
        <v>2261</v>
      </c>
      <c r="U42" s="276" t="s">
        <v>2845</v>
      </c>
      <c r="V42" s="276" t="s">
        <v>2846</v>
      </c>
      <c r="W42" s="276" t="s">
        <v>2931</v>
      </c>
      <c r="X42" s="277" t="s">
        <v>378</v>
      </c>
      <c r="Y42" s="200"/>
      <c r="Z42" s="200"/>
    </row>
    <row r="43" spans="2:26" ht="14.1" customHeight="1" x14ac:dyDescent="0.25">
      <c r="B43" s="278">
        <v>2025</v>
      </c>
      <c r="C43" s="279" t="s">
        <v>2937</v>
      </c>
      <c r="D43" s="280" t="s">
        <v>26</v>
      </c>
      <c r="E43" s="279" t="s">
        <v>77</v>
      </c>
      <c r="F43" s="279">
        <v>1</v>
      </c>
      <c r="G43" s="279" t="s">
        <v>2848</v>
      </c>
      <c r="H43" s="279" t="s">
        <v>1428</v>
      </c>
      <c r="I43" s="279">
        <v>7010</v>
      </c>
      <c r="J43" s="279" t="s">
        <v>2938</v>
      </c>
      <c r="K43" s="281">
        <v>285000</v>
      </c>
      <c r="L43" s="281">
        <v>285000</v>
      </c>
      <c r="M43" s="279">
        <v>0</v>
      </c>
      <c r="N43" s="281">
        <v>285000</v>
      </c>
      <c r="O43" s="279" t="s">
        <v>2939</v>
      </c>
      <c r="P43" s="279" t="s">
        <v>1486</v>
      </c>
      <c r="Q43" s="279" t="s">
        <v>274</v>
      </c>
      <c r="R43" s="279" t="s">
        <v>798</v>
      </c>
      <c r="S43" s="279">
        <v>0</v>
      </c>
      <c r="T43" s="279" t="s">
        <v>642</v>
      </c>
      <c r="U43" s="279">
        <v>304950</v>
      </c>
      <c r="V43" s="279">
        <v>256500</v>
      </c>
      <c r="W43" s="279" t="s">
        <v>2940</v>
      </c>
      <c r="X43" s="282" t="s">
        <v>383</v>
      </c>
      <c r="Y43" s="200"/>
      <c r="Z43" s="200"/>
    </row>
    <row r="44" spans="2:26" ht="14.1" customHeight="1" x14ac:dyDescent="0.25">
      <c r="B44" s="278">
        <v>2025</v>
      </c>
      <c r="C44" s="279" t="s">
        <v>2937</v>
      </c>
      <c r="D44" s="280" t="s">
        <v>26</v>
      </c>
      <c r="E44" s="279" t="s">
        <v>77</v>
      </c>
      <c r="F44" s="279">
        <v>1</v>
      </c>
      <c r="G44" s="279" t="s">
        <v>2850</v>
      </c>
      <c r="H44" s="279" t="s">
        <v>1428</v>
      </c>
      <c r="I44" s="279">
        <v>6010</v>
      </c>
      <c r="J44" s="279" t="s">
        <v>2941</v>
      </c>
      <c r="K44" s="283">
        <v>-95000</v>
      </c>
      <c r="L44" s="283">
        <v>-95000</v>
      </c>
      <c r="M44" s="279">
        <v>0</v>
      </c>
      <c r="N44" s="283">
        <v>-95000</v>
      </c>
      <c r="O44" s="279" t="s">
        <v>2942</v>
      </c>
      <c r="P44" s="279" t="s">
        <v>1486</v>
      </c>
      <c r="Q44" s="279" t="s">
        <v>216</v>
      </c>
      <c r="R44" s="279" t="s">
        <v>2908</v>
      </c>
      <c r="S44" s="279">
        <v>-39900</v>
      </c>
      <c r="T44" s="279" t="s">
        <v>642</v>
      </c>
      <c r="U44" s="279"/>
      <c r="V44" s="279"/>
      <c r="W44" s="279" t="s">
        <v>2940</v>
      </c>
      <c r="X44" s="282" t="s">
        <v>383</v>
      </c>
      <c r="Y44" s="200"/>
      <c r="Z44" s="200"/>
    </row>
    <row r="45" spans="2:26" ht="14.1" customHeight="1" x14ac:dyDescent="0.25">
      <c r="B45" s="278">
        <v>2025</v>
      </c>
      <c r="C45" s="279" t="s">
        <v>2937</v>
      </c>
      <c r="D45" s="280" t="s">
        <v>26</v>
      </c>
      <c r="E45" s="279" t="s">
        <v>77</v>
      </c>
      <c r="F45" s="279">
        <v>1</v>
      </c>
      <c r="G45" s="279" t="s">
        <v>278</v>
      </c>
      <c r="H45" s="279" t="s">
        <v>1428</v>
      </c>
      <c r="I45" s="279">
        <v>6400</v>
      </c>
      <c r="J45" s="279" t="s">
        <v>2943</v>
      </c>
      <c r="K45" s="283">
        <v>-68000</v>
      </c>
      <c r="L45" s="283">
        <v>-68000</v>
      </c>
      <c r="M45" s="279">
        <v>0</v>
      </c>
      <c r="N45" s="283">
        <v>-68000</v>
      </c>
      <c r="O45" s="279" t="s">
        <v>2944</v>
      </c>
      <c r="P45" s="279" t="s">
        <v>1486</v>
      </c>
      <c r="Q45" s="279" t="s">
        <v>242</v>
      </c>
      <c r="R45" s="279" t="s">
        <v>798</v>
      </c>
      <c r="S45" s="279">
        <v>0</v>
      </c>
      <c r="T45" s="279" t="s">
        <v>661</v>
      </c>
      <c r="U45" s="279"/>
      <c r="V45" s="279"/>
      <c r="W45" s="279" t="s">
        <v>2940</v>
      </c>
      <c r="X45" s="282" t="s">
        <v>383</v>
      </c>
      <c r="Y45" s="200"/>
      <c r="Z45" s="200"/>
    </row>
    <row r="46" spans="2:26" ht="14.1" customHeight="1" x14ac:dyDescent="0.25">
      <c r="B46" s="278">
        <v>2025</v>
      </c>
      <c r="C46" s="279" t="s">
        <v>2937</v>
      </c>
      <c r="D46" s="280" t="s">
        <v>26</v>
      </c>
      <c r="E46" s="279" t="s">
        <v>77</v>
      </c>
      <c r="F46" s="279">
        <v>1</v>
      </c>
      <c r="G46" s="279" t="s">
        <v>2945</v>
      </c>
      <c r="H46" s="279" t="s">
        <v>1428</v>
      </c>
      <c r="I46" s="279">
        <v>6811</v>
      </c>
      <c r="J46" s="279" t="s">
        <v>2946</v>
      </c>
      <c r="K46" s="283">
        <v>-22000</v>
      </c>
      <c r="L46" s="283">
        <v>-22000</v>
      </c>
      <c r="M46" s="279">
        <v>0</v>
      </c>
      <c r="N46" s="283">
        <v>-22000</v>
      </c>
      <c r="O46" s="279" t="s">
        <v>2947</v>
      </c>
      <c r="P46" s="279" t="s">
        <v>1486</v>
      </c>
      <c r="Q46" s="279" t="s">
        <v>1027</v>
      </c>
      <c r="R46" s="279" t="s">
        <v>798</v>
      </c>
      <c r="S46" s="279">
        <v>0</v>
      </c>
      <c r="T46" s="279" t="s">
        <v>798</v>
      </c>
      <c r="U46" s="279"/>
      <c r="V46" s="279"/>
      <c r="W46" s="279" t="s">
        <v>2940</v>
      </c>
      <c r="X46" s="282" t="s">
        <v>383</v>
      </c>
      <c r="Y46" s="200"/>
      <c r="Z46" s="200"/>
    </row>
    <row r="47" spans="2:26" ht="14.1" customHeight="1" x14ac:dyDescent="0.25">
      <c r="B47" s="278">
        <v>2025</v>
      </c>
      <c r="C47" s="279" t="s">
        <v>2937</v>
      </c>
      <c r="D47" s="280" t="s">
        <v>26</v>
      </c>
      <c r="E47" s="279" t="s">
        <v>77</v>
      </c>
      <c r="F47" s="279">
        <v>1</v>
      </c>
      <c r="G47" s="279" t="s">
        <v>1073</v>
      </c>
      <c r="H47" s="279" t="s">
        <v>1437</v>
      </c>
      <c r="I47" s="279">
        <v>7610</v>
      </c>
      <c r="J47" s="279" t="s">
        <v>2948</v>
      </c>
      <c r="K47" s="281">
        <v>4200</v>
      </c>
      <c r="L47" s="281">
        <v>4200</v>
      </c>
      <c r="M47" s="279">
        <v>-4200</v>
      </c>
      <c r="N47" s="281">
        <v>0</v>
      </c>
      <c r="O47" s="279" t="s">
        <v>2949</v>
      </c>
      <c r="P47" s="279" t="s">
        <v>1486</v>
      </c>
      <c r="Q47" s="279" t="s">
        <v>2950</v>
      </c>
      <c r="R47" s="279" t="s">
        <v>798</v>
      </c>
      <c r="S47" s="279">
        <v>0</v>
      </c>
      <c r="T47" s="279" t="s">
        <v>798</v>
      </c>
      <c r="U47" s="279"/>
      <c r="V47" s="279"/>
      <c r="W47" s="279" t="s">
        <v>2940</v>
      </c>
      <c r="X47" s="282" t="s">
        <v>2951</v>
      </c>
      <c r="Y47" s="200"/>
      <c r="Z47" s="200"/>
    </row>
    <row r="48" spans="2:26" ht="14.1" customHeight="1" x14ac:dyDescent="0.25">
      <c r="B48" s="278">
        <v>2025</v>
      </c>
      <c r="C48" s="279" t="s">
        <v>2937</v>
      </c>
      <c r="D48" s="280" t="s">
        <v>26</v>
      </c>
      <c r="E48" s="279" t="s">
        <v>77</v>
      </c>
      <c r="F48" s="279">
        <v>1</v>
      </c>
      <c r="G48" s="279" t="s">
        <v>2952</v>
      </c>
      <c r="H48" s="279" t="s">
        <v>1440</v>
      </c>
      <c r="I48" s="279">
        <v>6610</v>
      </c>
      <c r="J48" s="279" t="s">
        <v>2953</v>
      </c>
      <c r="K48" s="283">
        <v>-8200</v>
      </c>
      <c r="L48" s="283">
        <v>-8200</v>
      </c>
      <c r="M48" s="279">
        <v>0</v>
      </c>
      <c r="N48" s="283">
        <v>-8200</v>
      </c>
      <c r="O48" s="279" t="s">
        <v>2954</v>
      </c>
      <c r="P48" s="279" t="s">
        <v>1486</v>
      </c>
      <c r="Q48" s="279" t="s">
        <v>219</v>
      </c>
      <c r="R48" s="279" t="s">
        <v>798</v>
      </c>
      <c r="S48" s="279">
        <v>0</v>
      </c>
      <c r="T48" s="279" t="s">
        <v>798</v>
      </c>
      <c r="U48" s="279"/>
      <c r="V48" s="279"/>
      <c r="W48" s="279" t="s">
        <v>2940</v>
      </c>
      <c r="X48" s="282" t="s">
        <v>383</v>
      </c>
      <c r="Y48" s="200"/>
      <c r="Z48" s="200"/>
    </row>
    <row r="49" spans="2:26" ht="14.1" customHeight="1" x14ac:dyDescent="0.25">
      <c r="B49" s="278">
        <v>2025</v>
      </c>
      <c r="C49" s="279" t="s">
        <v>2937</v>
      </c>
      <c r="D49" s="280" t="s">
        <v>26</v>
      </c>
      <c r="E49" s="279" t="s">
        <v>77</v>
      </c>
      <c r="F49" s="279">
        <v>1</v>
      </c>
      <c r="G49" s="279" t="s">
        <v>2955</v>
      </c>
      <c r="H49" s="279" t="s">
        <v>1441</v>
      </c>
      <c r="I49" s="279">
        <v>6950</v>
      </c>
      <c r="J49" s="279" t="s">
        <v>2956</v>
      </c>
      <c r="K49" s="283">
        <v>-12400</v>
      </c>
      <c r="L49" s="283">
        <v>-12400</v>
      </c>
      <c r="M49" s="279">
        <v>0</v>
      </c>
      <c r="N49" s="283">
        <v>-12400</v>
      </c>
      <c r="O49" s="279" t="s">
        <v>2957</v>
      </c>
      <c r="P49" s="279" t="s">
        <v>1486</v>
      </c>
      <c r="Q49" s="279" t="s">
        <v>209</v>
      </c>
      <c r="R49" s="279" t="s">
        <v>798</v>
      </c>
      <c r="S49" s="279">
        <v>0</v>
      </c>
      <c r="T49" s="279" t="s">
        <v>798</v>
      </c>
      <c r="U49" s="279"/>
      <c r="V49" s="279"/>
      <c r="W49" s="279" t="s">
        <v>2940</v>
      </c>
      <c r="X49" s="282" t="s">
        <v>383</v>
      </c>
      <c r="Y49" s="200"/>
      <c r="Z49" s="200"/>
    </row>
    <row r="50" spans="2:26" ht="14.1" customHeight="1" x14ac:dyDescent="0.25">
      <c r="B50" s="278">
        <v>2025</v>
      </c>
      <c r="C50" s="279" t="s">
        <v>2937</v>
      </c>
      <c r="D50" s="284" t="s">
        <v>31</v>
      </c>
      <c r="E50" s="279" t="s">
        <v>77</v>
      </c>
      <c r="F50" s="279">
        <v>1</v>
      </c>
      <c r="G50" s="279" t="s">
        <v>2848</v>
      </c>
      <c r="H50" s="279" t="s">
        <v>1428</v>
      </c>
      <c r="I50" s="279">
        <v>7010</v>
      </c>
      <c r="J50" s="279" t="s">
        <v>2958</v>
      </c>
      <c r="K50" s="281">
        <v>168000</v>
      </c>
      <c r="L50" s="281">
        <v>168000</v>
      </c>
      <c r="M50" s="279">
        <v>0</v>
      </c>
      <c r="N50" s="281">
        <v>168000</v>
      </c>
      <c r="O50" s="279" t="s">
        <v>2959</v>
      </c>
      <c r="P50" s="279" t="s">
        <v>1486</v>
      </c>
      <c r="Q50" s="279" t="s">
        <v>274</v>
      </c>
      <c r="R50" s="279" t="s">
        <v>798</v>
      </c>
      <c r="S50" s="279">
        <v>0</v>
      </c>
      <c r="T50" s="279" t="s">
        <v>642</v>
      </c>
      <c r="U50" s="279">
        <v>179760</v>
      </c>
      <c r="V50" s="279">
        <v>151200</v>
      </c>
      <c r="W50" s="279" t="s">
        <v>2960</v>
      </c>
      <c r="X50" s="282" t="s">
        <v>383</v>
      </c>
      <c r="Y50" s="200"/>
      <c r="Z50" s="200"/>
    </row>
    <row r="51" spans="2:26" ht="14.1" customHeight="1" x14ac:dyDescent="0.25">
      <c r="B51" s="278">
        <v>2025</v>
      </c>
      <c r="C51" s="279" t="s">
        <v>2937</v>
      </c>
      <c r="D51" s="284" t="s">
        <v>31</v>
      </c>
      <c r="E51" s="279" t="s">
        <v>77</v>
      </c>
      <c r="F51" s="279">
        <v>1</v>
      </c>
      <c r="G51" s="279" t="s">
        <v>2850</v>
      </c>
      <c r="H51" s="279" t="s">
        <v>1428</v>
      </c>
      <c r="I51" s="279">
        <v>6010</v>
      </c>
      <c r="J51" s="279" t="s">
        <v>2961</v>
      </c>
      <c r="K51" s="283">
        <v>-82000</v>
      </c>
      <c r="L51" s="283">
        <v>-82000</v>
      </c>
      <c r="M51" s="279">
        <v>0</v>
      </c>
      <c r="N51" s="283">
        <v>-82000</v>
      </c>
      <c r="O51" s="279" t="s">
        <v>2962</v>
      </c>
      <c r="P51" s="279" t="s">
        <v>1486</v>
      </c>
      <c r="Q51" s="279" t="s">
        <v>216</v>
      </c>
      <c r="R51" s="279" t="s">
        <v>2908</v>
      </c>
      <c r="S51" s="279">
        <v>-47620</v>
      </c>
      <c r="T51" s="279" t="s">
        <v>642</v>
      </c>
      <c r="U51" s="279"/>
      <c r="V51" s="279"/>
      <c r="W51" s="279" t="s">
        <v>2960</v>
      </c>
      <c r="X51" s="282" t="s">
        <v>383</v>
      </c>
      <c r="Y51" s="200"/>
      <c r="Z51" s="200"/>
    </row>
    <row r="52" spans="2:26" ht="14.1" customHeight="1" x14ac:dyDescent="0.25">
      <c r="B52" s="278">
        <v>2025</v>
      </c>
      <c r="C52" s="279" t="s">
        <v>2937</v>
      </c>
      <c r="D52" s="284" t="s">
        <v>31</v>
      </c>
      <c r="E52" s="279" t="s">
        <v>77</v>
      </c>
      <c r="F52" s="279">
        <v>1</v>
      </c>
      <c r="G52" s="279" t="s">
        <v>278</v>
      </c>
      <c r="H52" s="279" t="s">
        <v>1428</v>
      </c>
      <c r="I52" s="279">
        <v>6400</v>
      </c>
      <c r="J52" s="279" t="s">
        <v>1445</v>
      </c>
      <c r="K52" s="283">
        <v>-45000</v>
      </c>
      <c r="L52" s="283">
        <v>-45000</v>
      </c>
      <c r="M52" s="279">
        <v>0</v>
      </c>
      <c r="N52" s="283">
        <v>-45000</v>
      </c>
      <c r="O52" s="279" t="s">
        <v>2963</v>
      </c>
      <c r="P52" s="279" t="s">
        <v>1486</v>
      </c>
      <c r="Q52" s="279" t="s">
        <v>242</v>
      </c>
      <c r="R52" s="279" t="s">
        <v>798</v>
      </c>
      <c r="S52" s="279">
        <v>0</v>
      </c>
      <c r="T52" s="279" t="s">
        <v>661</v>
      </c>
      <c r="U52" s="279"/>
      <c r="V52" s="279"/>
      <c r="W52" s="279" t="s">
        <v>2960</v>
      </c>
      <c r="X52" s="282" t="s">
        <v>383</v>
      </c>
      <c r="Y52" s="200"/>
      <c r="Z52" s="200"/>
    </row>
    <row r="53" spans="2:26" ht="14.1" customHeight="1" x14ac:dyDescent="0.25">
      <c r="B53" s="278">
        <v>2025</v>
      </c>
      <c r="C53" s="279" t="s">
        <v>2937</v>
      </c>
      <c r="D53" s="284" t="s">
        <v>31</v>
      </c>
      <c r="E53" s="279" t="s">
        <v>77</v>
      </c>
      <c r="F53" s="279">
        <v>1</v>
      </c>
      <c r="G53" s="279" t="s">
        <v>2952</v>
      </c>
      <c r="H53" s="279" t="s">
        <v>1440</v>
      </c>
      <c r="I53" s="279">
        <v>6610</v>
      </c>
      <c r="J53" s="279" t="s">
        <v>2964</v>
      </c>
      <c r="K53" s="283">
        <v>-4500</v>
      </c>
      <c r="L53" s="283">
        <v>-4500</v>
      </c>
      <c r="M53" s="279">
        <v>0</v>
      </c>
      <c r="N53" s="283">
        <v>-4500</v>
      </c>
      <c r="O53" s="279" t="s">
        <v>2965</v>
      </c>
      <c r="P53" s="279" t="s">
        <v>1486</v>
      </c>
      <c r="Q53" s="279" t="s">
        <v>219</v>
      </c>
      <c r="R53" s="279" t="s">
        <v>798</v>
      </c>
      <c r="S53" s="279">
        <v>0</v>
      </c>
      <c r="T53" s="279" t="s">
        <v>798</v>
      </c>
      <c r="U53" s="279"/>
      <c r="V53" s="279"/>
      <c r="W53" s="279" t="s">
        <v>2960</v>
      </c>
      <c r="X53" s="282" t="s">
        <v>383</v>
      </c>
      <c r="Y53" s="200"/>
      <c r="Z53" s="200"/>
    </row>
    <row r="54" spans="2:26" ht="14.1" customHeight="1" x14ac:dyDescent="0.25">
      <c r="B54" s="278">
        <v>2025</v>
      </c>
      <c r="C54" s="279" t="s">
        <v>2937</v>
      </c>
      <c r="D54" s="285" t="s">
        <v>33</v>
      </c>
      <c r="E54" s="279" t="s">
        <v>82</v>
      </c>
      <c r="F54" s="279">
        <v>1.1519999999999999</v>
      </c>
      <c r="G54" s="279" t="s">
        <v>2848</v>
      </c>
      <c r="H54" s="279" t="s">
        <v>1428</v>
      </c>
      <c r="I54" s="279">
        <v>7010</v>
      </c>
      <c r="J54" s="279" t="s">
        <v>2966</v>
      </c>
      <c r="K54" s="281">
        <v>142000</v>
      </c>
      <c r="L54" s="281">
        <v>163584</v>
      </c>
      <c r="M54" s="279">
        <v>0</v>
      </c>
      <c r="N54" s="281">
        <v>163584</v>
      </c>
      <c r="O54" s="279" t="s">
        <v>2967</v>
      </c>
      <c r="P54" s="279" t="s">
        <v>1486</v>
      </c>
      <c r="Q54" s="279" t="s">
        <v>2968</v>
      </c>
      <c r="R54" s="279" t="s">
        <v>798</v>
      </c>
      <c r="S54" s="279">
        <v>0</v>
      </c>
      <c r="T54" s="279" t="s">
        <v>642</v>
      </c>
      <c r="U54" s="279">
        <v>174934</v>
      </c>
      <c r="V54" s="279">
        <v>147226</v>
      </c>
      <c r="W54" s="279" t="s">
        <v>2969</v>
      </c>
      <c r="X54" s="282" t="s">
        <v>383</v>
      </c>
      <c r="Y54" s="200"/>
      <c r="Z54" s="200"/>
    </row>
    <row r="55" spans="2:26" ht="14.1" customHeight="1" x14ac:dyDescent="0.25">
      <c r="B55" s="278">
        <v>2025</v>
      </c>
      <c r="C55" s="279" t="s">
        <v>2937</v>
      </c>
      <c r="D55" s="285" t="s">
        <v>33</v>
      </c>
      <c r="E55" s="279" t="s">
        <v>82</v>
      </c>
      <c r="F55" s="279">
        <v>1.1519999999999999</v>
      </c>
      <c r="G55" s="279" t="s">
        <v>2850</v>
      </c>
      <c r="H55" s="279" t="s">
        <v>1428</v>
      </c>
      <c r="I55" s="279">
        <v>6010</v>
      </c>
      <c r="J55" s="279" t="s">
        <v>2970</v>
      </c>
      <c r="K55" s="283">
        <v>-68000</v>
      </c>
      <c r="L55" s="283">
        <v>-78336</v>
      </c>
      <c r="M55" s="279">
        <v>0</v>
      </c>
      <c r="N55" s="283">
        <v>-78336</v>
      </c>
      <c r="O55" s="279" t="s">
        <v>2971</v>
      </c>
      <c r="P55" s="279" t="s">
        <v>1486</v>
      </c>
      <c r="Q55" s="279" t="s">
        <v>1141</v>
      </c>
      <c r="R55" s="279" t="s">
        <v>2908</v>
      </c>
      <c r="S55" s="279">
        <v>-25233</v>
      </c>
      <c r="T55" s="279" t="s">
        <v>642</v>
      </c>
      <c r="U55" s="279"/>
      <c r="V55" s="279"/>
      <c r="W55" s="279" t="s">
        <v>2969</v>
      </c>
      <c r="X55" s="282" t="s">
        <v>383</v>
      </c>
      <c r="Y55" s="200"/>
      <c r="Z55" s="200"/>
    </row>
    <row r="56" spans="2:26" ht="14.1" customHeight="1" x14ac:dyDescent="0.25">
      <c r="B56" s="278">
        <v>2025</v>
      </c>
      <c r="C56" s="279" t="s">
        <v>2937</v>
      </c>
      <c r="D56" s="285" t="s">
        <v>33</v>
      </c>
      <c r="E56" s="279" t="s">
        <v>82</v>
      </c>
      <c r="F56" s="279">
        <v>1.1519999999999999</v>
      </c>
      <c r="G56" s="279" t="s">
        <v>278</v>
      </c>
      <c r="H56" s="279" t="s">
        <v>1428</v>
      </c>
      <c r="I56" s="279">
        <v>6400</v>
      </c>
      <c r="J56" s="279" t="s">
        <v>2972</v>
      </c>
      <c r="K56" s="283">
        <v>-38000</v>
      </c>
      <c r="L56" s="283">
        <v>-43776</v>
      </c>
      <c r="M56" s="279">
        <v>0</v>
      </c>
      <c r="N56" s="283">
        <v>-43776</v>
      </c>
      <c r="O56" s="279" t="s">
        <v>2973</v>
      </c>
      <c r="P56" s="279" t="s">
        <v>1486</v>
      </c>
      <c r="Q56" s="279" t="s">
        <v>2974</v>
      </c>
      <c r="R56" s="279" t="s">
        <v>798</v>
      </c>
      <c r="S56" s="279">
        <v>0</v>
      </c>
      <c r="T56" s="279" t="s">
        <v>661</v>
      </c>
      <c r="U56" s="279"/>
      <c r="V56" s="279"/>
      <c r="W56" s="279" t="s">
        <v>2969</v>
      </c>
      <c r="X56" s="282" t="s">
        <v>383</v>
      </c>
      <c r="Y56" s="200"/>
      <c r="Z56" s="200"/>
    </row>
    <row r="57" spans="2:26" ht="14.1" customHeight="1" x14ac:dyDescent="0.25">
      <c r="B57" s="278">
        <v>2025</v>
      </c>
      <c r="C57" s="279" t="s">
        <v>2937</v>
      </c>
      <c r="D57" s="286" t="s">
        <v>35</v>
      </c>
      <c r="E57" s="279" t="s">
        <v>84</v>
      </c>
      <c r="F57" s="279">
        <v>0.92500000000000004</v>
      </c>
      <c r="G57" s="279" t="s">
        <v>2848</v>
      </c>
      <c r="H57" s="279" t="s">
        <v>1428</v>
      </c>
      <c r="I57" s="279">
        <v>7010</v>
      </c>
      <c r="J57" s="279" t="s">
        <v>2975</v>
      </c>
      <c r="K57" s="281">
        <v>195000</v>
      </c>
      <c r="L57" s="281">
        <v>180375</v>
      </c>
      <c r="M57" s="279">
        <v>0</v>
      </c>
      <c r="N57" s="281">
        <v>180375</v>
      </c>
      <c r="O57" s="279" t="s">
        <v>2976</v>
      </c>
      <c r="P57" s="279" t="s">
        <v>1486</v>
      </c>
      <c r="Q57" s="279" t="s">
        <v>2968</v>
      </c>
      <c r="R57" s="279" t="s">
        <v>798</v>
      </c>
      <c r="S57" s="279">
        <v>0</v>
      </c>
      <c r="T57" s="279" t="s">
        <v>642</v>
      </c>
      <c r="U57" s="279">
        <v>192701</v>
      </c>
      <c r="V57" s="279">
        <v>162338</v>
      </c>
      <c r="W57" s="279" t="s">
        <v>2977</v>
      </c>
      <c r="X57" s="282" t="s">
        <v>383</v>
      </c>
      <c r="Y57" s="200"/>
      <c r="Z57" s="200"/>
    </row>
    <row r="58" spans="2:26" ht="14.1" customHeight="1" x14ac:dyDescent="0.25">
      <c r="B58" s="278">
        <v>2025</v>
      </c>
      <c r="C58" s="279" t="s">
        <v>2937</v>
      </c>
      <c r="D58" s="286" t="s">
        <v>35</v>
      </c>
      <c r="E58" s="279" t="s">
        <v>84</v>
      </c>
      <c r="F58" s="279">
        <v>0.92500000000000004</v>
      </c>
      <c r="G58" s="279" t="s">
        <v>2850</v>
      </c>
      <c r="H58" s="279" t="s">
        <v>1428</v>
      </c>
      <c r="I58" s="279">
        <v>6010</v>
      </c>
      <c r="J58" s="279" t="s">
        <v>2978</v>
      </c>
      <c r="K58" s="283">
        <v>-92000</v>
      </c>
      <c r="L58" s="283">
        <v>-85100</v>
      </c>
      <c r="M58" s="279">
        <v>0</v>
      </c>
      <c r="N58" s="283">
        <v>-85100</v>
      </c>
      <c r="O58" s="279" t="s">
        <v>2979</v>
      </c>
      <c r="P58" s="279" t="s">
        <v>1486</v>
      </c>
      <c r="Q58" s="279" t="s">
        <v>1141</v>
      </c>
      <c r="R58" s="279" t="s">
        <v>2908</v>
      </c>
      <c r="S58" s="279">
        <v>-87750</v>
      </c>
      <c r="T58" s="279" t="s">
        <v>642</v>
      </c>
      <c r="U58" s="279"/>
      <c r="V58" s="279"/>
      <c r="W58" s="279" t="s">
        <v>2977</v>
      </c>
      <c r="X58" s="282" t="s">
        <v>383</v>
      </c>
      <c r="Y58" s="200"/>
      <c r="Z58" s="200"/>
    </row>
    <row r="59" spans="2:26" ht="14.1" customHeight="1" x14ac:dyDescent="0.25">
      <c r="B59" s="278">
        <v>2025</v>
      </c>
      <c r="C59" s="279" t="s">
        <v>2937</v>
      </c>
      <c r="D59" s="286" t="s">
        <v>35</v>
      </c>
      <c r="E59" s="279" t="s">
        <v>84</v>
      </c>
      <c r="F59" s="279">
        <v>0.92500000000000004</v>
      </c>
      <c r="G59" s="279" t="s">
        <v>278</v>
      </c>
      <c r="H59" s="279" t="s">
        <v>1428</v>
      </c>
      <c r="I59" s="279">
        <v>6400</v>
      </c>
      <c r="J59" s="279" t="s">
        <v>2980</v>
      </c>
      <c r="K59" s="283">
        <v>-52000</v>
      </c>
      <c r="L59" s="283">
        <v>-48100</v>
      </c>
      <c r="M59" s="279">
        <v>0</v>
      </c>
      <c r="N59" s="283">
        <v>-48100</v>
      </c>
      <c r="O59" s="279" t="s">
        <v>2981</v>
      </c>
      <c r="P59" s="279" t="s">
        <v>1486</v>
      </c>
      <c r="Q59" s="279" t="s">
        <v>2974</v>
      </c>
      <c r="R59" s="279" t="s">
        <v>798</v>
      </c>
      <c r="S59" s="279">
        <v>0</v>
      </c>
      <c r="T59" s="279" t="s">
        <v>661</v>
      </c>
      <c r="U59" s="279"/>
      <c r="V59" s="279"/>
      <c r="W59" s="279" t="s">
        <v>2977</v>
      </c>
      <c r="X59" s="282" t="s">
        <v>383</v>
      </c>
      <c r="Y59" s="200"/>
      <c r="Z59" s="200"/>
    </row>
    <row r="60" spans="2:26" ht="14.1" customHeight="1" x14ac:dyDescent="0.25">
      <c r="B60" s="278">
        <v>2025</v>
      </c>
      <c r="C60" s="279" t="s">
        <v>2937</v>
      </c>
      <c r="D60" s="286" t="s">
        <v>35</v>
      </c>
      <c r="E60" s="279" t="s">
        <v>84</v>
      </c>
      <c r="F60" s="279">
        <v>0.92500000000000004</v>
      </c>
      <c r="G60" s="279" t="s">
        <v>2952</v>
      </c>
      <c r="H60" s="279" t="s">
        <v>1440</v>
      </c>
      <c r="I60" s="279">
        <v>6610</v>
      </c>
      <c r="J60" s="279" t="s">
        <v>949</v>
      </c>
      <c r="K60" s="283">
        <v>-7800</v>
      </c>
      <c r="L60" s="283">
        <v>-7215</v>
      </c>
      <c r="M60" s="279">
        <v>0</v>
      </c>
      <c r="N60" s="283">
        <v>-7215</v>
      </c>
      <c r="O60" s="279" t="s">
        <v>2982</v>
      </c>
      <c r="P60" s="279" t="s">
        <v>1486</v>
      </c>
      <c r="Q60" s="279" t="s">
        <v>2983</v>
      </c>
      <c r="R60" s="279" t="s">
        <v>798</v>
      </c>
      <c r="S60" s="279">
        <v>0</v>
      </c>
      <c r="T60" s="279" t="s">
        <v>798</v>
      </c>
      <c r="U60" s="279"/>
      <c r="V60" s="279"/>
      <c r="W60" s="279" t="s">
        <v>2977</v>
      </c>
      <c r="X60" s="282" t="s">
        <v>383</v>
      </c>
      <c r="Y60" s="200"/>
      <c r="Z60" s="200"/>
    </row>
    <row r="61" spans="2:26" ht="14.1" customHeight="1" x14ac:dyDescent="0.25">
      <c r="B61" s="278">
        <v>2025</v>
      </c>
      <c r="C61" s="279" t="s">
        <v>2937</v>
      </c>
      <c r="D61" s="287" t="s">
        <v>37</v>
      </c>
      <c r="E61" s="279" t="s">
        <v>86</v>
      </c>
      <c r="F61" s="279">
        <v>0.68200000000000005</v>
      </c>
      <c r="G61" s="279" t="s">
        <v>2848</v>
      </c>
      <c r="H61" s="279" t="s">
        <v>1428</v>
      </c>
      <c r="I61" s="279">
        <v>7010</v>
      </c>
      <c r="J61" s="279" t="s">
        <v>2984</v>
      </c>
      <c r="K61" s="281">
        <v>88000</v>
      </c>
      <c r="L61" s="281">
        <v>60016</v>
      </c>
      <c r="M61" s="279">
        <v>0</v>
      </c>
      <c r="N61" s="281">
        <v>60016</v>
      </c>
      <c r="O61" s="279" t="s">
        <v>2985</v>
      </c>
      <c r="P61" s="279" t="s">
        <v>1486</v>
      </c>
      <c r="Q61" s="279" t="s">
        <v>2968</v>
      </c>
      <c r="R61" s="279" t="s">
        <v>798</v>
      </c>
      <c r="S61" s="279">
        <v>0</v>
      </c>
      <c r="T61" s="279" t="s">
        <v>642</v>
      </c>
      <c r="U61" s="279">
        <v>64217</v>
      </c>
      <c r="V61" s="279">
        <v>54014</v>
      </c>
      <c r="W61" s="279" t="s">
        <v>2986</v>
      </c>
      <c r="X61" s="282" t="s">
        <v>383</v>
      </c>
      <c r="Y61" s="200"/>
      <c r="Z61" s="200"/>
    </row>
    <row r="62" spans="2:26" ht="14.1" customHeight="1" x14ac:dyDescent="0.25">
      <c r="B62" s="278">
        <v>2025</v>
      </c>
      <c r="C62" s="279" t="s">
        <v>2937</v>
      </c>
      <c r="D62" s="287" t="s">
        <v>37</v>
      </c>
      <c r="E62" s="279" t="s">
        <v>86</v>
      </c>
      <c r="F62" s="279">
        <v>0.68200000000000005</v>
      </c>
      <c r="G62" s="279" t="s">
        <v>2850</v>
      </c>
      <c r="H62" s="279" t="s">
        <v>1428</v>
      </c>
      <c r="I62" s="279">
        <v>6010</v>
      </c>
      <c r="J62" s="279" t="s">
        <v>2987</v>
      </c>
      <c r="K62" s="283">
        <v>-38000</v>
      </c>
      <c r="L62" s="283">
        <v>-25916</v>
      </c>
      <c r="M62" s="279">
        <v>0</v>
      </c>
      <c r="N62" s="283">
        <v>-25916</v>
      </c>
      <c r="O62" s="279" t="s">
        <v>2988</v>
      </c>
      <c r="P62" s="279" t="s">
        <v>1486</v>
      </c>
      <c r="Q62" s="279" t="s">
        <v>1141</v>
      </c>
      <c r="R62" s="279" t="s">
        <v>2908</v>
      </c>
      <c r="S62" s="279">
        <v>-19096</v>
      </c>
      <c r="T62" s="279" t="s">
        <v>642</v>
      </c>
      <c r="U62" s="279"/>
      <c r="V62" s="279"/>
      <c r="W62" s="279" t="s">
        <v>2986</v>
      </c>
      <c r="X62" s="282" t="s">
        <v>383</v>
      </c>
      <c r="Y62" s="200"/>
      <c r="Z62" s="200"/>
    </row>
    <row r="63" spans="2:26" ht="14.1" customHeight="1" x14ac:dyDescent="0.25">
      <c r="B63" s="278">
        <v>2025</v>
      </c>
      <c r="C63" s="279" t="s">
        <v>2937</v>
      </c>
      <c r="D63" s="287" t="s">
        <v>37</v>
      </c>
      <c r="E63" s="279" t="s">
        <v>86</v>
      </c>
      <c r="F63" s="279">
        <v>0.68200000000000005</v>
      </c>
      <c r="G63" s="279" t="s">
        <v>278</v>
      </c>
      <c r="H63" s="279" t="s">
        <v>1428</v>
      </c>
      <c r="I63" s="279">
        <v>6400</v>
      </c>
      <c r="J63" s="279" t="s">
        <v>2989</v>
      </c>
      <c r="K63" s="283">
        <v>-22000</v>
      </c>
      <c r="L63" s="283">
        <v>-15004</v>
      </c>
      <c r="M63" s="279">
        <v>0</v>
      </c>
      <c r="N63" s="283">
        <v>-15004</v>
      </c>
      <c r="O63" s="279" t="s">
        <v>2990</v>
      </c>
      <c r="P63" s="279" t="s">
        <v>1486</v>
      </c>
      <c r="Q63" s="279" t="s">
        <v>2974</v>
      </c>
      <c r="R63" s="279" t="s">
        <v>798</v>
      </c>
      <c r="S63" s="279">
        <v>0</v>
      </c>
      <c r="T63" s="279" t="s">
        <v>661</v>
      </c>
      <c r="U63" s="279"/>
      <c r="V63" s="279"/>
      <c r="W63" s="279" t="s">
        <v>2986</v>
      </c>
      <c r="X63" s="282" t="s">
        <v>383</v>
      </c>
      <c r="Y63" s="200"/>
      <c r="Z63" s="200"/>
    </row>
    <row r="64" spans="2:26" ht="14.1" customHeight="1" x14ac:dyDescent="0.25">
      <c r="B64" s="278">
        <v>2025</v>
      </c>
      <c r="C64" s="279" t="s">
        <v>2937</v>
      </c>
      <c r="D64" s="288" t="s">
        <v>2991</v>
      </c>
      <c r="E64" s="279" t="s">
        <v>77</v>
      </c>
      <c r="F64" s="279">
        <v>1</v>
      </c>
      <c r="G64" s="279" t="s">
        <v>2992</v>
      </c>
      <c r="H64" s="279" t="s">
        <v>1428</v>
      </c>
      <c r="I64" s="279">
        <v>9100</v>
      </c>
      <c r="J64" s="279" t="s">
        <v>2993</v>
      </c>
      <c r="K64" s="283">
        <v>0</v>
      </c>
      <c r="L64" s="283">
        <v>0</v>
      </c>
      <c r="M64" s="279">
        <v>-39900</v>
      </c>
      <c r="N64" s="283">
        <v>-39900</v>
      </c>
      <c r="O64" s="279" t="s">
        <v>2994</v>
      </c>
      <c r="P64" s="279" t="s">
        <v>1486</v>
      </c>
      <c r="Q64" s="279" t="s">
        <v>244</v>
      </c>
      <c r="R64" s="279" t="s">
        <v>798</v>
      </c>
      <c r="S64" s="279">
        <v>0</v>
      </c>
      <c r="T64" s="279" t="s">
        <v>798</v>
      </c>
      <c r="U64" s="279"/>
      <c r="V64" s="279"/>
      <c r="W64" s="279" t="s">
        <v>2995</v>
      </c>
      <c r="X64" s="282" t="s">
        <v>2996</v>
      </c>
      <c r="Y64" s="200"/>
      <c r="Z64" s="200"/>
    </row>
    <row r="65" spans="2:26" ht="14.1" customHeight="1" x14ac:dyDescent="0.25">
      <c r="B65" s="278">
        <v>2025</v>
      </c>
      <c r="C65" s="279" t="s">
        <v>2937</v>
      </c>
      <c r="D65" s="288" t="s">
        <v>2991</v>
      </c>
      <c r="E65" s="279" t="s">
        <v>77</v>
      </c>
      <c r="F65" s="279">
        <v>1</v>
      </c>
      <c r="G65" s="279" t="s">
        <v>2997</v>
      </c>
      <c r="H65" s="279" t="s">
        <v>1437</v>
      </c>
      <c r="I65" s="279">
        <v>9200</v>
      </c>
      <c r="J65" s="279" t="s">
        <v>2998</v>
      </c>
      <c r="K65" s="283">
        <v>0</v>
      </c>
      <c r="L65" s="283">
        <v>0</v>
      </c>
      <c r="M65" s="279">
        <v>-4200</v>
      </c>
      <c r="N65" s="283">
        <v>-4200</v>
      </c>
      <c r="O65" s="279" t="s">
        <v>2999</v>
      </c>
      <c r="P65" s="279" t="s">
        <v>1486</v>
      </c>
      <c r="Q65" s="279" t="s">
        <v>244</v>
      </c>
      <c r="R65" s="279" t="s">
        <v>798</v>
      </c>
      <c r="S65" s="279">
        <v>0</v>
      </c>
      <c r="T65" s="279" t="s">
        <v>798</v>
      </c>
      <c r="U65" s="279"/>
      <c r="V65" s="279"/>
      <c r="W65" s="279" t="s">
        <v>2995</v>
      </c>
      <c r="X65" s="282" t="s">
        <v>2996</v>
      </c>
      <c r="Y65" s="200"/>
      <c r="Z65" s="200"/>
    </row>
    <row r="66" spans="2:26" ht="14.1" customHeight="1" x14ac:dyDescent="0.25">
      <c r="B66" s="278">
        <v>2025</v>
      </c>
      <c r="C66" s="279" t="s">
        <v>2937</v>
      </c>
      <c r="D66" s="288" t="s">
        <v>2991</v>
      </c>
      <c r="E66" s="279" t="s">
        <v>77</v>
      </c>
      <c r="F66" s="279">
        <v>1</v>
      </c>
      <c r="G66" s="279" t="s">
        <v>3000</v>
      </c>
      <c r="H66" s="279" t="s">
        <v>1428</v>
      </c>
      <c r="I66" s="279">
        <v>9110</v>
      </c>
      <c r="J66" s="279" t="s">
        <v>3001</v>
      </c>
      <c r="K66" s="283">
        <v>0</v>
      </c>
      <c r="L66" s="283">
        <v>0</v>
      </c>
      <c r="M66" s="279">
        <v>28000</v>
      </c>
      <c r="N66" s="281">
        <v>28000</v>
      </c>
      <c r="O66" s="279" t="s">
        <v>3002</v>
      </c>
      <c r="P66" s="279" t="s">
        <v>1486</v>
      </c>
      <c r="Q66" s="279" t="s">
        <v>244</v>
      </c>
      <c r="R66" s="279" t="s">
        <v>798</v>
      </c>
      <c r="S66" s="279">
        <v>0</v>
      </c>
      <c r="T66" s="279" t="s">
        <v>798</v>
      </c>
      <c r="U66" s="279"/>
      <c r="V66" s="279"/>
      <c r="W66" s="279" t="s">
        <v>2995</v>
      </c>
      <c r="X66" s="282" t="s">
        <v>2996</v>
      </c>
      <c r="Y66" s="200"/>
      <c r="Z66" s="200"/>
    </row>
    <row r="67" spans="2:26" ht="14.1" customHeight="1" x14ac:dyDescent="0.25">
      <c r="B67" s="278">
        <v>2025</v>
      </c>
      <c r="C67" s="279" t="s">
        <v>2845</v>
      </c>
      <c r="D67" s="280" t="s">
        <v>26</v>
      </c>
      <c r="E67" s="279" t="s">
        <v>77</v>
      </c>
      <c r="F67" s="279">
        <v>1</v>
      </c>
      <c r="G67" s="279" t="s">
        <v>3003</v>
      </c>
      <c r="H67" s="279" t="s">
        <v>1428</v>
      </c>
      <c r="I67" s="279">
        <v>7010</v>
      </c>
      <c r="J67" s="279" t="s">
        <v>3004</v>
      </c>
      <c r="K67" s="281">
        <v>304950</v>
      </c>
      <c r="L67" s="281">
        <v>304950</v>
      </c>
      <c r="M67" s="279">
        <v>0</v>
      </c>
      <c r="N67" s="281">
        <v>304950</v>
      </c>
      <c r="O67" s="279" t="s">
        <v>3005</v>
      </c>
      <c r="P67" s="279" t="s">
        <v>1486</v>
      </c>
      <c r="Q67" s="279" t="s">
        <v>274</v>
      </c>
      <c r="R67" s="279" t="s">
        <v>798</v>
      </c>
      <c r="S67" s="279">
        <v>0</v>
      </c>
      <c r="T67" s="279" t="s">
        <v>642</v>
      </c>
      <c r="U67" s="279">
        <v>304950</v>
      </c>
      <c r="V67" s="279">
        <v>256500</v>
      </c>
      <c r="W67" s="279" t="s">
        <v>2940</v>
      </c>
      <c r="X67" s="282" t="s">
        <v>3006</v>
      </c>
      <c r="Y67" s="200"/>
      <c r="Z67" s="200"/>
    </row>
    <row r="68" spans="2:26" ht="14.1" customHeight="1" x14ac:dyDescent="0.25">
      <c r="B68" s="278">
        <v>2025</v>
      </c>
      <c r="C68" s="279" t="s">
        <v>2846</v>
      </c>
      <c r="D68" s="280" t="s">
        <v>26</v>
      </c>
      <c r="E68" s="279" t="s">
        <v>77</v>
      </c>
      <c r="F68" s="279">
        <v>1</v>
      </c>
      <c r="G68" s="279" t="s">
        <v>3007</v>
      </c>
      <c r="H68" s="279" t="s">
        <v>1428</v>
      </c>
      <c r="I68" s="279">
        <v>7010</v>
      </c>
      <c r="J68" s="279" t="s">
        <v>3008</v>
      </c>
      <c r="K68" s="281">
        <v>256500</v>
      </c>
      <c r="L68" s="281">
        <v>256500</v>
      </c>
      <c r="M68" s="279">
        <v>0</v>
      </c>
      <c r="N68" s="281">
        <v>256500</v>
      </c>
      <c r="O68" s="279" t="s">
        <v>3009</v>
      </c>
      <c r="P68" s="279" t="s">
        <v>1486</v>
      </c>
      <c r="Q68" s="279" t="s">
        <v>274</v>
      </c>
      <c r="R68" s="279" t="s">
        <v>798</v>
      </c>
      <c r="S68" s="279">
        <v>0</v>
      </c>
      <c r="T68" s="279" t="s">
        <v>642</v>
      </c>
      <c r="U68" s="279">
        <v>304950</v>
      </c>
      <c r="V68" s="279">
        <v>256500</v>
      </c>
      <c r="W68" s="279" t="s">
        <v>2940</v>
      </c>
      <c r="X68" s="282" t="s">
        <v>3006</v>
      </c>
      <c r="Y68" s="200"/>
      <c r="Z68" s="200"/>
    </row>
    <row r="69" spans="2:26" ht="14.1" customHeight="1" x14ac:dyDescent="0.25">
      <c r="B69" s="278">
        <v>2024</v>
      </c>
      <c r="C69" s="279" t="s">
        <v>2937</v>
      </c>
      <c r="D69" s="280" t="s">
        <v>26</v>
      </c>
      <c r="E69" s="279" t="s">
        <v>77</v>
      </c>
      <c r="F69" s="279">
        <v>1</v>
      </c>
      <c r="G69" s="279" t="s">
        <v>2848</v>
      </c>
      <c r="H69" s="279" t="s">
        <v>1428</v>
      </c>
      <c r="I69" s="279">
        <v>7010</v>
      </c>
      <c r="J69" s="279" t="s">
        <v>3010</v>
      </c>
      <c r="K69" s="281">
        <v>270000</v>
      </c>
      <c r="L69" s="281">
        <v>270000</v>
      </c>
      <c r="M69" s="279">
        <v>0</v>
      </c>
      <c r="N69" s="281">
        <v>270000</v>
      </c>
      <c r="O69" s="279" t="s">
        <v>3011</v>
      </c>
      <c r="P69" s="279" t="s">
        <v>3012</v>
      </c>
      <c r="Q69" s="279" t="s">
        <v>274</v>
      </c>
      <c r="R69" s="279" t="s">
        <v>798</v>
      </c>
      <c r="S69" s="279">
        <v>0</v>
      </c>
      <c r="T69" s="279" t="s">
        <v>642</v>
      </c>
      <c r="U69" s="279"/>
      <c r="V69" s="279"/>
      <c r="W69" s="279" t="s">
        <v>2940</v>
      </c>
      <c r="X69" s="282" t="s">
        <v>3013</v>
      </c>
      <c r="Y69" s="200"/>
      <c r="Z69" s="200"/>
    </row>
    <row r="70" spans="2:26" ht="14.1" customHeight="1" x14ac:dyDescent="0.25">
      <c r="B70" s="278">
        <v>2024</v>
      </c>
      <c r="C70" s="279" t="s">
        <v>2937</v>
      </c>
      <c r="D70" s="284" t="s">
        <v>31</v>
      </c>
      <c r="E70" s="279" t="s">
        <v>77</v>
      </c>
      <c r="F70" s="279">
        <v>1</v>
      </c>
      <c r="G70" s="279" t="s">
        <v>2848</v>
      </c>
      <c r="H70" s="279" t="s">
        <v>1428</v>
      </c>
      <c r="I70" s="279">
        <v>7010</v>
      </c>
      <c r="J70" s="279" t="s">
        <v>3014</v>
      </c>
      <c r="K70" s="281">
        <v>158000</v>
      </c>
      <c r="L70" s="281">
        <v>158000</v>
      </c>
      <c r="M70" s="279">
        <v>0</v>
      </c>
      <c r="N70" s="281">
        <v>158000</v>
      </c>
      <c r="O70" s="279" t="s">
        <v>3015</v>
      </c>
      <c r="P70" s="279" t="s">
        <v>3012</v>
      </c>
      <c r="Q70" s="279" t="s">
        <v>274</v>
      </c>
      <c r="R70" s="279" t="s">
        <v>798</v>
      </c>
      <c r="S70" s="279">
        <v>0</v>
      </c>
      <c r="T70" s="279" t="s">
        <v>642</v>
      </c>
      <c r="U70" s="279"/>
      <c r="V70" s="279"/>
      <c r="W70" s="279" t="s">
        <v>2960</v>
      </c>
      <c r="X70" s="282" t="s">
        <v>3013</v>
      </c>
      <c r="Y70" s="200"/>
      <c r="Z70" s="200"/>
    </row>
    <row r="71" spans="2:26" ht="14.1" customHeight="1" x14ac:dyDescent="0.25">
      <c r="B71" s="278">
        <v>2024</v>
      </c>
      <c r="C71" s="279" t="s">
        <v>2937</v>
      </c>
      <c r="D71" s="285" t="s">
        <v>33</v>
      </c>
      <c r="E71" s="279" t="s">
        <v>82</v>
      </c>
      <c r="F71" s="279">
        <v>1.1479999999999999</v>
      </c>
      <c r="G71" s="279" t="s">
        <v>2848</v>
      </c>
      <c r="H71" s="279" t="s">
        <v>1428</v>
      </c>
      <c r="I71" s="279">
        <v>7010</v>
      </c>
      <c r="J71" s="279" t="s">
        <v>3016</v>
      </c>
      <c r="K71" s="281">
        <v>131500</v>
      </c>
      <c r="L71" s="281">
        <v>151000</v>
      </c>
      <c r="M71" s="279">
        <v>0</v>
      </c>
      <c r="N71" s="281">
        <v>151000</v>
      </c>
      <c r="O71" s="279" t="s">
        <v>3017</v>
      </c>
      <c r="P71" s="279" t="s">
        <v>3012</v>
      </c>
      <c r="Q71" s="279" t="s">
        <v>2968</v>
      </c>
      <c r="R71" s="279" t="s">
        <v>798</v>
      </c>
      <c r="S71" s="279">
        <v>0</v>
      </c>
      <c r="T71" s="279" t="s">
        <v>642</v>
      </c>
      <c r="U71" s="279"/>
      <c r="V71" s="279"/>
      <c r="W71" s="279" t="s">
        <v>2969</v>
      </c>
      <c r="X71" s="282" t="s">
        <v>3013</v>
      </c>
      <c r="Y71" s="200"/>
      <c r="Z71" s="200"/>
    </row>
    <row r="72" spans="2:26" ht="14.1" customHeight="1" x14ac:dyDescent="0.25">
      <c r="B72" s="278">
        <v>2024</v>
      </c>
      <c r="C72" s="279" t="s">
        <v>2937</v>
      </c>
      <c r="D72" s="286" t="s">
        <v>35</v>
      </c>
      <c r="E72" s="279" t="s">
        <v>84</v>
      </c>
      <c r="F72" s="279">
        <v>0.93</v>
      </c>
      <c r="G72" s="279" t="s">
        <v>2848</v>
      </c>
      <c r="H72" s="279" t="s">
        <v>1428</v>
      </c>
      <c r="I72" s="279">
        <v>7010</v>
      </c>
      <c r="J72" s="279" t="s">
        <v>3018</v>
      </c>
      <c r="K72" s="281">
        <v>181000</v>
      </c>
      <c r="L72" s="281">
        <v>168330</v>
      </c>
      <c r="M72" s="279">
        <v>0</v>
      </c>
      <c r="N72" s="281">
        <v>168330</v>
      </c>
      <c r="O72" s="279" t="s">
        <v>3019</v>
      </c>
      <c r="P72" s="279" t="s">
        <v>3012</v>
      </c>
      <c r="Q72" s="279" t="s">
        <v>2968</v>
      </c>
      <c r="R72" s="279" t="s">
        <v>798</v>
      </c>
      <c r="S72" s="279">
        <v>0</v>
      </c>
      <c r="T72" s="279" t="s">
        <v>642</v>
      </c>
      <c r="U72" s="279"/>
      <c r="V72" s="279"/>
      <c r="W72" s="279" t="s">
        <v>2977</v>
      </c>
      <c r="X72" s="282" t="s">
        <v>3013</v>
      </c>
      <c r="Y72" s="200"/>
      <c r="Z72" s="200"/>
    </row>
    <row r="73" spans="2:26" ht="14.1" customHeight="1" thickBot="1" x14ac:dyDescent="0.3">
      <c r="B73" s="289">
        <v>2024</v>
      </c>
      <c r="C73" s="290" t="s">
        <v>2937</v>
      </c>
      <c r="D73" s="291" t="s">
        <v>37</v>
      </c>
      <c r="E73" s="290" t="s">
        <v>86</v>
      </c>
      <c r="F73" s="290">
        <v>0.68</v>
      </c>
      <c r="G73" s="290" t="s">
        <v>2848</v>
      </c>
      <c r="H73" s="290" t="s">
        <v>1428</v>
      </c>
      <c r="I73" s="290">
        <v>7010</v>
      </c>
      <c r="J73" s="290" t="s">
        <v>3020</v>
      </c>
      <c r="K73" s="292">
        <v>85000</v>
      </c>
      <c r="L73" s="292">
        <v>57800</v>
      </c>
      <c r="M73" s="290">
        <v>0</v>
      </c>
      <c r="N73" s="292">
        <v>57800</v>
      </c>
      <c r="O73" s="290" t="s">
        <v>3021</v>
      </c>
      <c r="P73" s="290" t="s">
        <v>3012</v>
      </c>
      <c r="Q73" s="290" t="s">
        <v>2968</v>
      </c>
      <c r="R73" s="290" t="s">
        <v>798</v>
      </c>
      <c r="S73" s="290">
        <v>0</v>
      </c>
      <c r="T73" s="290" t="s">
        <v>642</v>
      </c>
      <c r="U73" s="290"/>
      <c r="V73" s="290"/>
      <c r="W73" s="290" t="s">
        <v>2986</v>
      </c>
      <c r="X73" s="293" t="s">
        <v>3013</v>
      </c>
      <c r="Y73" s="200"/>
      <c r="Z73" s="200"/>
    </row>
    <row r="74" spans="2:26" ht="15" customHeight="1" x14ac:dyDescent="0.25">
      <c r="B74" t="s">
        <v>3022</v>
      </c>
      <c r="K74" s="252"/>
      <c r="L74" s="252"/>
      <c r="N74" s="252"/>
      <c r="Y74" s="200"/>
      <c r="Z74" s="200"/>
    </row>
    <row r="75" spans="2:26" ht="15" customHeight="1" x14ac:dyDescent="0.25">
      <c r="Y75" s="200"/>
      <c r="Z75" s="200"/>
    </row>
    <row r="76" spans="2:26" ht="21.95" customHeight="1" x14ac:dyDescent="0.25">
      <c r="B76" s="963" t="s">
        <v>3023</v>
      </c>
      <c r="C76" s="963"/>
      <c r="D76" s="963"/>
      <c r="E76" s="963"/>
      <c r="F76" s="963"/>
      <c r="G76" s="963"/>
      <c r="H76" s="963"/>
      <c r="I76" s="963"/>
      <c r="J76" s="963"/>
      <c r="K76" s="963"/>
      <c r="L76" s="963"/>
      <c r="M76" s="963"/>
      <c r="N76" s="963"/>
      <c r="O76" s="963"/>
      <c r="P76" s="963"/>
      <c r="Q76" s="963"/>
      <c r="R76" s="963"/>
      <c r="S76" s="963"/>
      <c r="T76" s="963"/>
      <c r="U76" s="963"/>
      <c r="V76" s="963"/>
      <c r="W76" s="963"/>
      <c r="X76" s="963"/>
      <c r="Y76" s="200"/>
      <c r="Z76" s="200"/>
    </row>
    <row r="77" spans="2:26" s="258" customFormat="1" ht="18" customHeight="1" x14ac:dyDescent="0.2">
      <c r="B77" s="257" t="s">
        <v>3024</v>
      </c>
      <c r="C77" s="253" t="s">
        <v>3025</v>
      </c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9"/>
      <c r="Z77" s="259"/>
    </row>
    <row r="78" spans="2:26" s="258" customFormat="1" ht="14.1" customHeight="1" x14ac:dyDescent="0.2">
      <c r="B78" s="254" t="s">
        <v>3026</v>
      </c>
      <c r="C78" s="208" t="s">
        <v>3027</v>
      </c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59"/>
      <c r="Z78" s="259"/>
    </row>
    <row r="79" spans="2:26" s="258" customFormat="1" ht="14.1" customHeight="1" x14ac:dyDescent="0.2">
      <c r="B79" s="256" t="s">
        <v>3028</v>
      </c>
      <c r="C79" s="255" t="s">
        <v>3029</v>
      </c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9"/>
      <c r="Z79" s="259"/>
    </row>
    <row r="80" spans="2:26" s="258" customFormat="1" ht="14.1" customHeight="1" x14ac:dyDescent="0.2">
      <c r="B80" s="254" t="s">
        <v>3030</v>
      </c>
      <c r="C80" s="208" t="s">
        <v>3031</v>
      </c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59"/>
      <c r="Z80" s="259"/>
    </row>
    <row r="81" spans="2:26" s="258" customFormat="1" ht="14.1" customHeight="1" x14ac:dyDescent="0.2">
      <c r="B81" s="256" t="s">
        <v>3032</v>
      </c>
      <c r="C81" s="255" t="s">
        <v>3033</v>
      </c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9"/>
      <c r="Z81" s="259"/>
    </row>
    <row r="82" spans="2:26" s="258" customFormat="1" ht="18" customHeight="1" x14ac:dyDescent="0.2">
      <c r="B82" s="257" t="s">
        <v>3034</v>
      </c>
      <c r="C82" s="253" t="s">
        <v>3035</v>
      </c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9"/>
      <c r="Z82" s="259"/>
    </row>
    <row r="83" spans="2:26" s="258" customFormat="1" ht="14.1" customHeight="1" x14ac:dyDescent="0.2">
      <c r="B83" s="256" t="s">
        <v>3036</v>
      </c>
      <c r="C83" s="255" t="s">
        <v>3037</v>
      </c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9"/>
      <c r="Z83" s="259"/>
    </row>
    <row r="84" spans="2:26" s="258" customFormat="1" ht="14.1" customHeight="1" x14ac:dyDescent="0.2">
      <c r="B84" s="254" t="s">
        <v>3038</v>
      </c>
      <c r="C84" s="208" t="s">
        <v>3039</v>
      </c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59"/>
      <c r="Z84" s="259"/>
    </row>
    <row r="85" spans="2:26" s="258" customFormat="1" ht="14.1" customHeight="1" x14ac:dyDescent="0.2">
      <c r="B85" s="256" t="s">
        <v>3040</v>
      </c>
      <c r="C85" s="255" t="s">
        <v>3041</v>
      </c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9"/>
      <c r="Z85" s="259"/>
    </row>
    <row r="86" spans="2:26" s="258" customFormat="1" ht="14.1" customHeight="1" x14ac:dyDescent="0.2">
      <c r="B86" s="254" t="s">
        <v>3042</v>
      </c>
      <c r="C86" s="208" t="s">
        <v>3043</v>
      </c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59"/>
      <c r="Z86" s="259"/>
    </row>
    <row r="87" spans="2:26" s="258" customFormat="1" ht="14.1" customHeight="1" x14ac:dyDescent="0.2">
      <c r="B87" s="256" t="s">
        <v>3044</v>
      </c>
      <c r="C87" s="255" t="s">
        <v>3045</v>
      </c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9"/>
      <c r="Z87" s="259"/>
    </row>
    <row r="88" spans="2:26" s="258" customFormat="1" ht="18" customHeight="1" x14ac:dyDescent="0.2">
      <c r="B88" s="257" t="s">
        <v>3046</v>
      </c>
      <c r="C88" s="253" t="s">
        <v>3047</v>
      </c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9"/>
      <c r="Z88" s="259"/>
    </row>
    <row r="89" spans="2:26" s="258" customFormat="1" ht="14.1" customHeight="1" x14ac:dyDescent="0.2">
      <c r="B89" s="256" t="s">
        <v>3048</v>
      </c>
      <c r="C89" s="255" t="s">
        <v>3049</v>
      </c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9"/>
      <c r="Z89" s="259"/>
    </row>
    <row r="90" spans="2:26" s="258" customFormat="1" ht="14.1" customHeight="1" x14ac:dyDescent="0.2">
      <c r="B90" s="254" t="s">
        <v>3050</v>
      </c>
      <c r="C90" s="208" t="s">
        <v>3051</v>
      </c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59"/>
      <c r="Z90" s="259"/>
    </row>
    <row r="91" spans="2:26" s="258" customFormat="1" ht="14.1" customHeight="1" x14ac:dyDescent="0.2">
      <c r="B91" s="256" t="s">
        <v>3052</v>
      </c>
      <c r="C91" s="255" t="s">
        <v>3053</v>
      </c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9"/>
      <c r="Z91" s="259"/>
    </row>
    <row r="92" spans="2:26" s="258" customFormat="1" ht="14.1" customHeight="1" x14ac:dyDescent="0.2">
      <c r="B92" s="254" t="s">
        <v>3054</v>
      </c>
      <c r="C92" s="208" t="s">
        <v>3055</v>
      </c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59"/>
      <c r="Z92" s="259"/>
    </row>
    <row r="93" spans="2:26" s="258" customFormat="1" ht="14.1" customHeight="1" x14ac:dyDescent="0.2">
      <c r="B93" s="256" t="s">
        <v>3056</v>
      </c>
      <c r="C93" s="255" t="s">
        <v>3057</v>
      </c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9"/>
      <c r="Z93" s="259"/>
    </row>
    <row r="94" spans="2:26" s="258" customFormat="1" ht="18" customHeight="1" x14ac:dyDescent="0.2">
      <c r="B94" s="257" t="s">
        <v>3058</v>
      </c>
      <c r="C94" s="253" t="s">
        <v>3059</v>
      </c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9"/>
      <c r="Z94" s="259"/>
    </row>
    <row r="95" spans="2:26" s="258" customFormat="1" ht="14.1" customHeight="1" x14ac:dyDescent="0.2">
      <c r="B95" s="256" t="s">
        <v>3060</v>
      </c>
      <c r="C95" s="255" t="s">
        <v>3061</v>
      </c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9"/>
      <c r="Z95" s="259"/>
    </row>
    <row r="96" spans="2:26" s="258" customFormat="1" ht="14.1" customHeight="1" x14ac:dyDescent="0.2">
      <c r="B96" s="254" t="s">
        <v>3062</v>
      </c>
      <c r="C96" s="208" t="s">
        <v>3063</v>
      </c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59"/>
      <c r="Z96" s="259"/>
    </row>
    <row r="97" spans="2:26" s="258" customFormat="1" ht="14.1" customHeight="1" x14ac:dyDescent="0.2">
      <c r="B97" s="256" t="s">
        <v>3064</v>
      </c>
      <c r="C97" s="255" t="s">
        <v>3065</v>
      </c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9"/>
      <c r="Z97" s="259"/>
    </row>
    <row r="98" spans="2:26" s="258" customFormat="1" ht="14.1" customHeight="1" x14ac:dyDescent="0.2">
      <c r="B98" s="254" t="s">
        <v>3066</v>
      </c>
      <c r="C98" s="208" t="s">
        <v>3067</v>
      </c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59"/>
      <c r="Z98" s="259"/>
    </row>
    <row r="99" spans="2:26" s="258" customFormat="1" ht="14.1" customHeight="1" x14ac:dyDescent="0.2">
      <c r="B99" s="256" t="s">
        <v>3068</v>
      </c>
      <c r="C99" s="255" t="s">
        <v>3069</v>
      </c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9"/>
      <c r="Z99" s="259"/>
    </row>
    <row r="100" spans="2:26" s="258" customFormat="1" ht="14.1" customHeight="1" x14ac:dyDescent="0.2">
      <c r="B100" s="254" t="s">
        <v>3070</v>
      </c>
      <c r="C100" s="208" t="s">
        <v>3071</v>
      </c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59"/>
      <c r="Z100" s="259"/>
    </row>
    <row r="101" spans="2:26" s="258" customFormat="1" ht="14.1" customHeight="1" x14ac:dyDescent="0.2">
      <c r="B101" s="256" t="s">
        <v>3072</v>
      </c>
      <c r="C101" s="255" t="s">
        <v>3073</v>
      </c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9"/>
      <c r="Z101" s="259"/>
    </row>
    <row r="102" spans="2:26" s="258" customFormat="1" ht="14.1" customHeight="1" x14ac:dyDescent="0.2">
      <c r="B102" s="254" t="s">
        <v>3074</v>
      </c>
      <c r="C102" s="208" t="s">
        <v>3075</v>
      </c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59"/>
      <c r="Z102" s="259"/>
    </row>
    <row r="103" spans="2:26" s="258" customFormat="1" ht="14.1" customHeight="1" x14ac:dyDescent="0.2">
      <c r="B103" s="256" t="s">
        <v>3076</v>
      </c>
      <c r="C103" s="255" t="s">
        <v>3077</v>
      </c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9"/>
      <c r="Z103" s="259"/>
    </row>
    <row r="104" spans="2:26" s="258" customFormat="1" ht="14.1" customHeight="1" x14ac:dyDescent="0.2">
      <c r="B104" s="254" t="s">
        <v>3078</v>
      </c>
      <c r="C104" s="208" t="s">
        <v>3079</v>
      </c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59"/>
      <c r="Z104" s="259"/>
    </row>
    <row r="105" spans="2:26" s="258" customFormat="1" ht="18" customHeight="1" x14ac:dyDescent="0.2">
      <c r="B105" s="257" t="s">
        <v>3080</v>
      </c>
      <c r="C105" s="253" t="s">
        <v>3081</v>
      </c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9"/>
      <c r="Z105" s="259"/>
    </row>
    <row r="106" spans="2:26" s="258" customFormat="1" ht="14.1" customHeight="1" x14ac:dyDescent="0.2">
      <c r="B106" s="254" t="s">
        <v>3082</v>
      </c>
      <c r="C106" s="208" t="s">
        <v>3083</v>
      </c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59"/>
      <c r="Z106" s="259"/>
    </row>
    <row r="107" spans="2:26" s="258" customFormat="1" ht="14.1" customHeight="1" x14ac:dyDescent="0.2">
      <c r="B107" s="256" t="s">
        <v>3084</v>
      </c>
      <c r="C107" s="255" t="s">
        <v>3085</v>
      </c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9"/>
      <c r="Z107" s="259"/>
    </row>
    <row r="108" spans="2:26" s="258" customFormat="1" ht="14.1" customHeight="1" x14ac:dyDescent="0.2">
      <c r="B108" s="254" t="s">
        <v>3086</v>
      </c>
      <c r="C108" s="208" t="s">
        <v>3087</v>
      </c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59"/>
      <c r="Z108" s="259"/>
    </row>
    <row r="109" spans="2:26" s="258" customFormat="1" ht="18" customHeight="1" x14ac:dyDescent="0.2">
      <c r="B109" s="257" t="s">
        <v>3088</v>
      </c>
      <c r="C109" s="253" t="s">
        <v>3089</v>
      </c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9"/>
      <c r="Z109" s="259"/>
    </row>
    <row r="110" spans="2:26" s="258" customFormat="1" ht="14.1" customHeight="1" x14ac:dyDescent="0.2">
      <c r="B110" s="254" t="s">
        <v>3090</v>
      </c>
      <c r="C110" s="208" t="s">
        <v>3091</v>
      </c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59"/>
      <c r="Z110" s="259"/>
    </row>
    <row r="111" spans="2:26" s="258" customFormat="1" ht="14.1" customHeight="1" x14ac:dyDescent="0.2">
      <c r="B111" s="256" t="s">
        <v>3092</v>
      </c>
      <c r="C111" s="255" t="s">
        <v>3093</v>
      </c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9"/>
      <c r="Z111" s="259"/>
    </row>
    <row r="112" spans="2:26" s="258" customFormat="1" ht="14.1" customHeight="1" x14ac:dyDescent="0.2">
      <c r="B112" s="254" t="s">
        <v>3094</v>
      </c>
      <c r="C112" s="208" t="s">
        <v>3095</v>
      </c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59"/>
      <c r="Z112" s="259"/>
    </row>
    <row r="113" spans="2:26" s="258" customFormat="1" ht="14.1" customHeight="1" x14ac:dyDescent="0.2">
      <c r="B113" s="256" t="s">
        <v>3096</v>
      </c>
      <c r="C113" s="255" t="s">
        <v>3097</v>
      </c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9"/>
      <c r="Z113" s="259"/>
    </row>
    <row r="114" spans="2:26" ht="15" customHeight="1" x14ac:dyDescent="0.25">
      <c r="Y114" s="200"/>
      <c r="Z114" s="200"/>
    </row>
    <row r="115" spans="2:26" ht="15" customHeight="1" x14ac:dyDescent="0.25">
      <c r="Y115" s="200"/>
      <c r="Z115" s="200"/>
    </row>
    <row r="116" spans="2:26" ht="15" customHeight="1" x14ac:dyDescent="0.25">
      <c r="Y116" s="200"/>
      <c r="Z116" s="200"/>
    </row>
    <row r="117" spans="2:26" ht="15" customHeight="1" x14ac:dyDescent="0.25">
      <c r="Y117" s="200"/>
      <c r="Z117" s="200"/>
    </row>
    <row r="118" spans="2:26" ht="15" customHeight="1" x14ac:dyDescent="0.25">
      <c r="Y118" s="200"/>
      <c r="Z118" s="200"/>
    </row>
    <row r="119" spans="2:26" ht="15" customHeight="1" x14ac:dyDescent="0.25">
      <c r="Y119" s="200"/>
      <c r="Z119" s="200"/>
    </row>
    <row r="120" spans="2:26" ht="15" customHeight="1" x14ac:dyDescent="0.25">
      <c r="Y120" s="200"/>
      <c r="Z120" s="200"/>
    </row>
    <row r="121" spans="2:26" ht="15" customHeight="1" x14ac:dyDescent="0.25"/>
    <row r="122" spans="2:26" ht="15" customHeight="1" x14ac:dyDescent="0.25"/>
    <row r="123" spans="2:26" ht="15" customHeight="1" x14ac:dyDescent="0.25"/>
    <row r="124" spans="2:26" ht="15" customHeight="1" x14ac:dyDescent="0.25"/>
    <row r="125" spans="2:26" ht="15" customHeight="1" x14ac:dyDescent="0.25"/>
    <row r="126" spans="2:26" ht="15" customHeight="1" x14ac:dyDescent="0.25"/>
    <row r="127" spans="2:26" ht="15" customHeight="1" x14ac:dyDescent="0.25"/>
    <row r="128" spans="2:26" ht="15" customHeight="1" x14ac:dyDescent="0.25"/>
    <row r="129" spans="18:25" ht="15" customHeight="1" x14ac:dyDescent="0.25"/>
    <row r="130" spans="18:25" ht="15" customHeight="1" x14ac:dyDescent="0.25"/>
    <row r="131" spans="18:25" ht="21.95" customHeight="1" x14ac:dyDescent="0.25">
      <c r="R131" s="266" t="s">
        <v>3106</v>
      </c>
      <c r="S131" s="266"/>
      <c r="T131" s="266"/>
      <c r="U131" s="266"/>
      <c r="V131" s="266"/>
      <c r="W131" s="266"/>
      <c r="X131" s="266"/>
    </row>
    <row r="132" spans="18:25" ht="15" customHeight="1" x14ac:dyDescent="0.25">
      <c r="R132" s="267" t="s">
        <v>826</v>
      </c>
      <c r="S132" s="267" t="s">
        <v>3107</v>
      </c>
      <c r="T132" s="267" t="s">
        <v>2929</v>
      </c>
      <c r="U132" s="267" t="s">
        <v>2930</v>
      </c>
      <c r="V132" s="267" t="s">
        <v>2840</v>
      </c>
      <c r="W132" s="267" t="s">
        <v>3108</v>
      </c>
      <c r="X132" s="267" t="s">
        <v>3109</v>
      </c>
      <c r="Y132" s="267" t="s">
        <v>3110</v>
      </c>
    </row>
    <row r="133" spans="18:25" ht="15.95" customHeight="1" x14ac:dyDescent="0.25">
      <c r="R133" s="270" t="s">
        <v>3111</v>
      </c>
      <c r="S133" s="268">
        <v>817075</v>
      </c>
      <c r="T133" s="268">
        <v>875000</v>
      </c>
      <c r="U133" s="268">
        <v>736000</v>
      </c>
      <c r="V133" s="268">
        <v>820000</v>
      </c>
      <c r="W133" s="269">
        <v>7.0999999999999994E-2</v>
      </c>
      <c r="X133" s="269">
        <v>-9.9000000000000005E-2</v>
      </c>
      <c r="Y133" s="269">
        <v>-4.0000000000000001E-3</v>
      </c>
    </row>
    <row r="134" spans="18:25" ht="15.95" customHeight="1" x14ac:dyDescent="0.25">
      <c r="R134" s="246" t="s">
        <v>3112</v>
      </c>
      <c r="S134" s="208">
        <v>216451</v>
      </c>
      <c r="T134" s="208">
        <v>238096</v>
      </c>
      <c r="U134" s="208">
        <v>194806</v>
      </c>
      <c r="V134" s="208">
        <v>225200</v>
      </c>
      <c r="W134" s="230">
        <v>0.1</v>
      </c>
      <c r="X134" s="230">
        <v>-0.1</v>
      </c>
      <c r="Y134" s="230">
        <v>-3.9E-2</v>
      </c>
    </row>
    <row r="135" spans="18:25" ht="15.95" customHeight="1" x14ac:dyDescent="0.25">
      <c r="R135" s="270" t="s">
        <v>3113</v>
      </c>
      <c r="S135" s="268">
        <v>82110</v>
      </c>
      <c r="T135" s="268">
        <v>90321</v>
      </c>
      <c r="U135" s="268">
        <v>73899</v>
      </c>
      <c r="V135" s="268">
        <v>126400</v>
      </c>
      <c r="W135" s="269">
        <v>0.1</v>
      </c>
      <c r="X135" s="269">
        <v>-0.1</v>
      </c>
      <c r="Y135" s="269">
        <v>-0.35</v>
      </c>
    </row>
    <row r="136" spans="18:25" ht="15.95" customHeight="1" x14ac:dyDescent="0.25">
      <c r="R136" s="246" t="s">
        <v>3114</v>
      </c>
      <c r="S136" s="208">
        <v>78448</v>
      </c>
      <c r="T136" s="208">
        <v>86293</v>
      </c>
      <c r="U136" s="208">
        <v>70603</v>
      </c>
      <c r="V136" s="208">
        <v>134400</v>
      </c>
      <c r="W136" s="230">
        <v>0.1</v>
      </c>
      <c r="X136" s="230">
        <v>-0.1</v>
      </c>
      <c r="Y136" s="230">
        <v>-0.41599999999999998</v>
      </c>
    </row>
    <row r="137" spans="18:25" ht="15.95" customHeight="1" x14ac:dyDescent="0.25">
      <c r="R137" s="270" t="s">
        <v>2789</v>
      </c>
      <c r="S137" s="269">
        <v>0.26500000000000001</v>
      </c>
      <c r="T137" s="269">
        <v>0.27200000000000002</v>
      </c>
      <c r="U137" s="269">
        <v>0.26500000000000001</v>
      </c>
      <c r="V137" s="269">
        <v>0.27500000000000002</v>
      </c>
      <c r="W137" s="268" t="s">
        <v>3115</v>
      </c>
      <c r="X137" s="268" t="s">
        <v>3116</v>
      </c>
      <c r="Y137" s="268" t="s">
        <v>3117</v>
      </c>
    </row>
    <row r="138" spans="18:25" ht="15.95" customHeight="1" x14ac:dyDescent="0.25">
      <c r="R138" s="246" t="s">
        <v>3118</v>
      </c>
      <c r="S138" s="230">
        <v>0.27700000000000002</v>
      </c>
      <c r="T138" s="230">
        <v>0.27500000000000002</v>
      </c>
      <c r="U138" s="230">
        <v>0.28100000000000003</v>
      </c>
      <c r="V138" s="230">
        <v>0.254</v>
      </c>
      <c r="W138" s="208" t="s">
        <v>3119</v>
      </c>
      <c r="X138" s="208" t="s">
        <v>3120</v>
      </c>
      <c r="Y138" s="208" t="s">
        <v>3121</v>
      </c>
    </row>
    <row r="139" spans="18:25" ht="15.95" customHeight="1" x14ac:dyDescent="0.25">
      <c r="R139" s="270" t="s">
        <v>3122</v>
      </c>
      <c r="S139" s="268">
        <v>123000</v>
      </c>
      <c r="T139" s="268">
        <v>121000</v>
      </c>
      <c r="U139" s="268">
        <v>126000</v>
      </c>
      <c r="V139" s="268">
        <v>168000</v>
      </c>
      <c r="W139" s="269">
        <v>-1.6E-2</v>
      </c>
      <c r="X139" s="269">
        <v>2.4E-2</v>
      </c>
      <c r="Y139" s="269">
        <v>-0.26800000000000002</v>
      </c>
    </row>
    <row r="140" spans="18:25" ht="15.95" customHeight="1" x14ac:dyDescent="0.25">
      <c r="R140" s="246" t="s">
        <v>3123</v>
      </c>
      <c r="S140" s="208">
        <v>512000</v>
      </c>
      <c r="T140" s="208">
        <v>520000</v>
      </c>
      <c r="U140" s="208">
        <v>505000</v>
      </c>
      <c r="V140" s="208">
        <v>538000</v>
      </c>
      <c r="W140" s="230">
        <v>1.6E-2</v>
      </c>
      <c r="X140" s="230">
        <v>-1.4E-2</v>
      </c>
      <c r="Y140" s="230">
        <v>-4.8000000000000001E-2</v>
      </c>
    </row>
    <row r="141" spans="18:25" ht="15" customHeight="1" x14ac:dyDescent="0.25"/>
    <row r="142" spans="18:25" ht="15" customHeight="1" x14ac:dyDescent="0.25"/>
    <row r="143" spans="18:25" ht="15" customHeight="1" x14ac:dyDescent="0.25"/>
    <row r="144" spans="18:25" ht="15" customHeight="1" x14ac:dyDescent="0.25"/>
    <row r="145" spans="2:24" ht="15" customHeight="1" x14ac:dyDescent="0.25"/>
    <row r="146" spans="2:24" ht="15" customHeight="1" x14ac:dyDescent="0.25"/>
    <row r="147" spans="2:24" ht="21.95" customHeight="1" x14ac:dyDescent="0.25">
      <c r="B147" s="265" t="s">
        <v>3105</v>
      </c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</row>
    <row r="148" spans="2:24" ht="15" customHeight="1" x14ac:dyDescent="0.25">
      <c r="C148" s="260" t="s">
        <v>3100</v>
      </c>
    </row>
    <row r="149" spans="2:24" ht="15" customHeight="1" x14ac:dyDescent="0.25">
      <c r="C149" t="s">
        <v>2937</v>
      </c>
      <c r="E149" t="s">
        <v>2846</v>
      </c>
      <c r="G149" t="s">
        <v>2845</v>
      </c>
      <c r="I149" t="s">
        <v>3102</v>
      </c>
      <c r="J149" t="s">
        <v>3103</v>
      </c>
    </row>
    <row r="150" spans="2:24" ht="15" customHeight="1" x14ac:dyDescent="0.25">
      <c r="B150" s="260" t="s">
        <v>3098</v>
      </c>
      <c r="C150" t="s">
        <v>3101</v>
      </c>
      <c r="D150" t="s">
        <v>3104</v>
      </c>
      <c r="E150" t="s">
        <v>3101</v>
      </c>
      <c r="F150" t="s">
        <v>3104</v>
      </c>
      <c r="G150" t="s">
        <v>3101</v>
      </c>
      <c r="H150" t="s">
        <v>3104</v>
      </c>
    </row>
    <row r="151" spans="2:24" ht="15" customHeight="1" x14ac:dyDescent="0.25">
      <c r="B151" s="261" t="s">
        <v>31</v>
      </c>
      <c r="C151">
        <v>194500</v>
      </c>
      <c r="D151">
        <v>-47620</v>
      </c>
      <c r="I151">
        <v>194500</v>
      </c>
      <c r="J151">
        <v>-47620</v>
      </c>
    </row>
    <row r="152" spans="2:24" ht="15" customHeight="1" x14ac:dyDescent="0.25">
      <c r="B152" s="262" t="s">
        <v>1428</v>
      </c>
      <c r="C152">
        <v>199000</v>
      </c>
      <c r="D152">
        <v>-47620</v>
      </c>
      <c r="I152">
        <v>199000</v>
      </c>
      <c r="J152">
        <v>-47620</v>
      </c>
    </row>
    <row r="153" spans="2:24" ht="15" customHeight="1" x14ac:dyDescent="0.25">
      <c r="B153" s="263" t="s">
        <v>2850</v>
      </c>
      <c r="C153">
        <v>-82000</v>
      </c>
      <c r="D153">
        <v>-47620</v>
      </c>
      <c r="I153">
        <v>-82000</v>
      </c>
      <c r="J153">
        <v>-47620</v>
      </c>
    </row>
    <row r="154" spans="2:24" ht="15" customHeight="1" x14ac:dyDescent="0.25">
      <c r="B154" s="264">
        <v>6010</v>
      </c>
      <c r="C154">
        <v>-82000</v>
      </c>
      <c r="D154">
        <v>-47620</v>
      </c>
      <c r="I154">
        <v>-82000</v>
      </c>
      <c r="J154">
        <v>-47620</v>
      </c>
    </row>
    <row r="155" spans="2:24" ht="15" customHeight="1" x14ac:dyDescent="0.25">
      <c r="B155" s="263" t="s">
        <v>2848</v>
      </c>
      <c r="C155">
        <v>326000</v>
      </c>
      <c r="D155">
        <v>0</v>
      </c>
      <c r="I155">
        <v>326000</v>
      </c>
      <c r="J155">
        <v>0</v>
      </c>
    </row>
    <row r="156" spans="2:24" ht="15" customHeight="1" x14ac:dyDescent="0.25">
      <c r="B156" s="264">
        <v>7010</v>
      </c>
      <c r="C156">
        <v>326000</v>
      </c>
      <c r="D156">
        <v>0</v>
      </c>
      <c r="I156">
        <v>326000</v>
      </c>
      <c r="J156">
        <v>0</v>
      </c>
    </row>
    <row r="157" spans="2:24" ht="15" customHeight="1" x14ac:dyDescent="0.25">
      <c r="B157" s="263" t="s">
        <v>278</v>
      </c>
      <c r="C157">
        <v>-45000</v>
      </c>
      <c r="D157">
        <v>0</v>
      </c>
      <c r="I157">
        <v>-45000</v>
      </c>
      <c r="J157">
        <v>0</v>
      </c>
    </row>
    <row r="158" spans="2:24" ht="15" customHeight="1" x14ac:dyDescent="0.25">
      <c r="B158" s="264">
        <v>6400</v>
      </c>
      <c r="C158">
        <v>-45000</v>
      </c>
      <c r="D158">
        <v>0</v>
      </c>
      <c r="I158">
        <v>-45000</v>
      </c>
      <c r="J158">
        <v>0</v>
      </c>
    </row>
    <row r="159" spans="2:24" ht="15" customHeight="1" x14ac:dyDescent="0.25">
      <c r="B159" s="262" t="s">
        <v>1440</v>
      </c>
      <c r="C159">
        <v>-4500</v>
      </c>
      <c r="D159">
        <v>0</v>
      </c>
      <c r="I159">
        <v>-4500</v>
      </c>
      <c r="J159">
        <v>0</v>
      </c>
    </row>
    <row r="160" spans="2:24" ht="15" customHeight="1" x14ac:dyDescent="0.25">
      <c r="B160" s="263" t="s">
        <v>2952</v>
      </c>
      <c r="C160">
        <v>-4500</v>
      </c>
      <c r="D160">
        <v>0</v>
      </c>
      <c r="I160">
        <v>-4500</v>
      </c>
      <c r="J160">
        <v>0</v>
      </c>
    </row>
    <row r="161" spans="2:10" ht="15" customHeight="1" x14ac:dyDescent="0.25">
      <c r="B161" s="264">
        <v>6610</v>
      </c>
      <c r="C161">
        <v>-4500</v>
      </c>
      <c r="D161">
        <v>0</v>
      </c>
      <c r="I161">
        <v>-4500</v>
      </c>
      <c r="J161">
        <v>0</v>
      </c>
    </row>
    <row r="162" spans="2:10" ht="15" customHeight="1" x14ac:dyDescent="0.25">
      <c r="B162" s="261" t="s">
        <v>2991</v>
      </c>
      <c r="C162">
        <v>0</v>
      </c>
      <c r="D162">
        <v>0</v>
      </c>
      <c r="I162">
        <v>0</v>
      </c>
      <c r="J162">
        <v>0</v>
      </c>
    </row>
    <row r="163" spans="2:10" ht="15" customHeight="1" x14ac:dyDescent="0.25">
      <c r="B163" s="262" t="s">
        <v>1428</v>
      </c>
      <c r="C163">
        <v>0</v>
      </c>
      <c r="D163">
        <v>0</v>
      </c>
      <c r="I163">
        <v>0</v>
      </c>
      <c r="J163">
        <v>0</v>
      </c>
    </row>
    <row r="164" spans="2:10" ht="15" customHeight="1" x14ac:dyDescent="0.25">
      <c r="B164" s="263" t="s">
        <v>3000</v>
      </c>
      <c r="C164">
        <v>0</v>
      </c>
      <c r="D164">
        <v>0</v>
      </c>
      <c r="I164">
        <v>0</v>
      </c>
      <c r="J164">
        <v>0</v>
      </c>
    </row>
    <row r="165" spans="2:10" ht="15" customHeight="1" x14ac:dyDescent="0.25">
      <c r="B165" s="264">
        <v>9110</v>
      </c>
      <c r="C165">
        <v>0</v>
      </c>
      <c r="D165">
        <v>0</v>
      </c>
      <c r="I165">
        <v>0</v>
      </c>
      <c r="J165">
        <v>0</v>
      </c>
    </row>
    <row r="166" spans="2:10" ht="15" customHeight="1" x14ac:dyDescent="0.25">
      <c r="B166" s="263" t="s">
        <v>2992</v>
      </c>
      <c r="C166">
        <v>0</v>
      </c>
      <c r="D166">
        <v>0</v>
      </c>
      <c r="I166">
        <v>0</v>
      </c>
      <c r="J166">
        <v>0</v>
      </c>
    </row>
    <row r="167" spans="2:10" ht="15" customHeight="1" x14ac:dyDescent="0.25">
      <c r="B167" s="264">
        <v>9100</v>
      </c>
      <c r="C167">
        <v>0</v>
      </c>
      <c r="D167">
        <v>0</v>
      </c>
      <c r="I167">
        <v>0</v>
      </c>
      <c r="J167">
        <v>0</v>
      </c>
    </row>
    <row r="168" spans="2:10" ht="15" customHeight="1" x14ac:dyDescent="0.25">
      <c r="B168" s="262" t="s">
        <v>1437</v>
      </c>
      <c r="C168">
        <v>0</v>
      </c>
      <c r="D168">
        <v>0</v>
      </c>
      <c r="I168">
        <v>0</v>
      </c>
      <c r="J168">
        <v>0</v>
      </c>
    </row>
    <row r="169" spans="2:10" ht="15" customHeight="1" x14ac:dyDescent="0.25">
      <c r="B169" s="263" t="s">
        <v>2997</v>
      </c>
      <c r="C169">
        <v>0</v>
      </c>
      <c r="D169">
        <v>0</v>
      </c>
      <c r="I169">
        <v>0</v>
      </c>
      <c r="J169">
        <v>0</v>
      </c>
    </row>
    <row r="170" spans="2:10" ht="15" customHeight="1" x14ac:dyDescent="0.25">
      <c r="B170" s="264">
        <v>9200</v>
      </c>
      <c r="C170">
        <v>0</v>
      </c>
      <c r="D170">
        <v>0</v>
      </c>
      <c r="I170">
        <v>0</v>
      </c>
      <c r="J170">
        <v>0</v>
      </c>
    </row>
    <row r="171" spans="2:10" ht="15" customHeight="1" x14ac:dyDescent="0.25">
      <c r="B171" s="261" t="s">
        <v>26</v>
      </c>
      <c r="C171">
        <v>353600</v>
      </c>
      <c r="D171">
        <v>-39900</v>
      </c>
      <c r="E171">
        <v>256500</v>
      </c>
      <c r="F171">
        <v>0</v>
      </c>
      <c r="G171">
        <v>304950</v>
      </c>
      <c r="H171">
        <v>0</v>
      </c>
      <c r="I171">
        <v>915050</v>
      </c>
      <c r="J171">
        <v>-39900</v>
      </c>
    </row>
    <row r="172" spans="2:10" ht="15" customHeight="1" x14ac:dyDescent="0.25">
      <c r="B172" s="262" t="s">
        <v>1428</v>
      </c>
      <c r="C172">
        <v>370000</v>
      </c>
      <c r="D172">
        <v>-39900</v>
      </c>
      <c r="E172">
        <v>256500</v>
      </c>
      <c r="F172">
        <v>0</v>
      </c>
      <c r="G172">
        <v>304950</v>
      </c>
      <c r="H172">
        <v>0</v>
      </c>
      <c r="I172">
        <v>931450</v>
      </c>
      <c r="J172">
        <v>-39900</v>
      </c>
    </row>
    <row r="173" spans="2:10" ht="15" customHeight="1" x14ac:dyDescent="0.25">
      <c r="B173" s="263" t="s">
        <v>2850</v>
      </c>
      <c r="C173">
        <v>-95000</v>
      </c>
      <c r="D173">
        <v>-39900</v>
      </c>
      <c r="I173">
        <v>-95000</v>
      </c>
      <c r="J173">
        <v>-39900</v>
      </c>
    </row>
    <row r="174" spans="2:10" ht="15" customHeight="1" x14ac:dyDescent="0.25">
      <c r="B174" s="264">
        <v>6010</v>
      </c>
      <c r="C174">
        <v>-95000</v>
      </c>
      <c r="D174">
        <v>-39900</v>
      </c>
      <c r="I174">
        <v>-95000</v>
      </c>
      <c r="J174">
        <v>-39900</v>
      </c>
    </row>
    <row r="175" spans="2:10" ht="15" customHeight="1" x14ac:dyDescent="0.25">
      <c r="B175" s="263" t="s">
        <v>2945</v>
      </c>
      <c r="C175">
        <v>-22000</v>
      </c>
      <c r="D175">
        <v>0</v>
      </c>
      <c r="I175">
        <v>-22000</v>
      </c>
      <c r="J175">
        <v>0</v>
      </c>
    </row>
    <row r="176" spans="2:10" ht="15" customHeight="1" x14ac:dyDescent="0.25">
      <c r="B176" s="264">
        <v>6811</v>
      </c>
      <c r="C176">
        <v>-22000</v>
      </c>
      <c r="D176">
        <v>0</v>
      </c>
      <c r="I176">
        <v>-22000</v>
      </c>
      <c r="J176">
        <v>0</v>
      </c>
    </row>
    <row r="177" spans="2:10" ht="15" customHeight="1" x14ac:dyDescent="0.25">
      <c r="B177" s="263" t="s">
        <v>3007</v>
      </c>
      <c r="E177">
        <v>256500</v>
      </c>
      <c r="F177">
        <v>0</v>
      </c>
      <c r="I177">
        <v>256500</v>
      </c>
      <c r="J177">
        <v>0</v>
      </c>
    </row>
    <row r="178" spans="2:10" ht="15" customHeight="1" x14ac:dyDescent="0.25">
      <c r="B178" s="264">
        <v>7010</v>
      </c>
      <c r="E178">
        <v>256500</v>
      </c>
      <c r="F178">
        <v>0</v>
      </c>
      <c r="I178">
        <v>256500</v>
      </c>
      <c r="J178">
        <v>0</v>
      </c>
    </row>
    <row r="179" spans="2:10" ht="15" customHeight="1" x14ac:dyDescent="0.25">
      <c r="B179" s="263" t="s">
        <v>3003</v>
      </c>
      <c r="G179">
        <v>304950</v>
      </c>
      <c r="H179">
        <v>0</v>
      </c>
      <c r="I179">
        <v>304950</v>
      </c>
      <c r="J179">
        <v>0</v>
      </c>
    </row>
    <row r="180" spans="2:10" ht="15" customHeight="1" x14ac:dyDescent="0.25">
      <c r="B180" s="264">
        <v>7010</v>
      </c>
      <c r="G180">
        <v>304950</v>
      </c>
      <c r="H180">
        <v>0</v>
      </c>
      <c r="I180">
        <v>304950</v>
      </c>
      <c r="J180">
        <v>0</v>
      </c>
    </row>
    <row r="181" spans="2:10" ht="15" customHeight="1" x14ac:dyDescent="0.25">
      <c r="B181" s="263" t="s">
        <v>2848</v>
      </c>
      <c r="C181">
        <v>555000</v>
      </c>
      <c r="D181">
        <v>0</v>
      </c>
      <c r="I181">
        <v>555000</v>
      </c>
      <c r="J181">
        <v>0</v>
      </c>
    </row>
    <row r="182" spans="2:10" ht="15" customHeight="1" x14ac:dyDescent="0.25">
      <c r="B182" s="264">
        <v>7010</v>
      </c>
      <c r="C182">
        <v>555000</v>
      </c>
      <c r="D182">
        <v>0</v>
      </c>
      <c r="I182">
        <v>555000</v>
      </c>
      <c r="J182">
        <v>0</v>
      </c>
    </row>
    <row r="183" spans="2:10" ht="15" customHeight="1" x14ac:dyDescent="0.25">
      <c r="B183" s="263" t="s">
        <v>278</v>
      </c>
      <c r="C183">
        <v>-68000</v>
      </c>
      <c r="D183">
        <v>0</v>
      </c>
      <c r="I183">
        <v>-68000</v>
      </c>
      <c r="J183">
        <v>0</v>
      </c>
    </row>
    <row r="184" spans="2:10" ht="15" customHeight="1" x14ac:dyDescent="0.25">
      <c r="B184" s="264">
        <v>6400</v>
      </c>
      <c r="C184">
        <v>-68000</v>
      </c>
      <c r="D184">
        <v>0</v>
      </c>
      <c r="I184">
        <v>-68000</v>
      </c>
      <c r="J184">
        <v>0</v>
      </c>
    </row>
    <row r="185" spans="2:10" ht="15" customHeight="1" x14ac:dyDescent="0.25">
      <c r="B185" s="262" t="s">
        <v>1437</v>
      </c>
      <c r="C185">
        <v>4200</v>
      </c>
      <c r="D185">
        <v>0</v>
      </c>
      <c r="I185">
        <v>4200</v>
      </c>
      <c r="J185">
        <v>0</v>
      </c>
    </row>
    <row r="186" spans="2:10" ht="15" customHeight="1" x14ac:dyDescent="0.25">
      <c r="B186" s="263" t="s">
        <v>1073</v>
      </c>
      <c r="C186">
        <v>4200</v>
      </c>
      <c r="D186">
        <v>0</v>
      </c>
      <c r="I186">
        <v>4200</v>
      </c>
      <c r="J186">
        <v>0</v>
      </c>
    </row>
    <row r="187" spans="2:10" ht="15" customHeight="1" x14ac:dyDescent="0.25">
      <c r="B187" s="264">
        <v>7610</v>
      </c>
      <c r="C187">
        <v>4200</v>
      </c>
      <c r="D187">
        <v>0</v>
      </c>
      <c r="I187">
        <v>4200</v>
      </c>
      <c r="J187">
        <v>0</v>
      </c>
    </row>
    <row r="188" spans="2:10" ht="15" customHeight="1" x14ac:dyDescent="0.25">
      <c r="B188" s="262" t="s">
        <v>1440</v>
      </c>
      <c r="C188">
        <v>-8200</v>
      </c>
      <c r="D188">
        <v>0</v>
      </c>
      <c r="I188">
        <v>-8200</v>
      </c>
      <c r="J188">
        <v>0</v>
      </c>
    </row>
    <row r="189" spans="2:10" ht="15" customHeight="1" x14ac:dyDescent="0.25">
      <c r="B189" s="263" t="s">
        <v>2952</v>
      </c>
      <c r="C189">
        <v>-8200</v>
      </c>
      <c r="D189">
        <v>0</v>
      </c>
      <c r="I189">
        <v>-8200</v>
      </c>
      <c r="J189">
        <v>0</v>
      </c>
    </row>
    <row r="190" spans="2:10" ht="15" customHeight="1" x14ac:dyDescent="0.25">
      <c r="B190" s="264">
        <v>6610</v>
      </c>
      <c r="C190">
        <v>-8200</v>
      </c>
      <c r="D190">
        <v>0</v>
      </c>
      <c r="I190">
        <v>-8200</v>
      </c>
      <c r="J190">
        <v>0</v>
      </c>
    </row>
    <row r="191" spans="2:10" ht="15" customHeight="1" x14ac:dyDescent="0.25">
      <c r="B191" s="262" t="s">
        <v>1441</v>
      </c>
      <c r="C191">
        <v>-12400</v>
      </c>
      <c r="D191">
        <v>0</v>
      </c>
      <c r="I191">
        <v>-12400</v>
      </c>
      <c r="J191">
        <v>0</v>
      </c>
    </row>
    <row r="192" spans="2:10" ht="15" customHeight="1" x14ac:dyDescent="0.25">
      <c r="B192" s="263" t="s">
        <v>2955</v>
      </c>
      <c r="C192">
        <v>-12400</v>
      </c>
      <c r="D192">
        <v>0</v>
      </c>
      <c r="I192">
        <v>-12400</v>
      </c>
      <c r="J192">
        <v>0</v>
      </c>
    </row>
    <row r="193" spans="2:10" ht="15" customHeight="1" x14ac:dyDescent="0.25">
      <c r="B193" s="264">
        <v>6950</v>
      </c>
      <c r="C193">
        <v>-12400</v>
      </c>
      <c r="D193">
        <v>0</v>
      </c>
      <c r="I193">
        <v>-12400</v>
      </c>
      <c r="J193">
        <v>0</v>
      </c>
    </row>
    <row r="194" spans="2:10" ht="15" customHeight="1" x14ac:dyDescent="0.25">
      <c r="B194" s="261" t="s">
        <v>37</v>
      </c>
      <c r="C194">
        <v>76896</v>
      </c>
      <c r="D194">
        <v>-19096</v>
      </c>
      <c r="I194">
        <v>76896</v>
      </c>
      <c r="J194">
        <v>-19096</v>
      </c>
    </row>
    <row r="195" spans="2:10" ht="15" customHeight="1" x14ac:dyDescent="0.25">
      <c r="B195" s="262" t="s">
        <v>1428</v>
      </c>
      <c r="C195">
        <v>76896</v>
      </c>
      <c r="D195">
        <v>-19096</v>
      </c>
      <c r="I195">
        <v>76896</v>
      </c>
      <c r="J195">
        <v>-19096</v>
      </c>
    </row>
    <row r="196" spans="2:10" ht="15" customHeight="1" x14ac:dyDescent="0.25">
      <c r="B196" s="263" t="s">
        <v>2850</v>
      </c>
      <c r="C196">
        <v>-25916</v>
      </c>
      <c r="D196">
        <v>-19096</v>
      </c>
      <c r="I196">
        <v>-25916</v>
      </c>
      <c r="J196">
        <v>-19096</v>
      </c>
    </row>
    <row r="197" spans="2:10" ht="15" customHeight="1" x14ac:dyDescent="0.25">
      <c r="B197" s="264">
        <v>6010</v>
      </c>
      <c r="C197">
        <v>-25916</v>
      </c>
      <c r="D197">
        <v>-19096</v>
      </c>
      <c r="I197">
        <v>-25916</v>
      </c>
      <c r="J197">
        <v>-19096</v>
      </c>
    </row>
    <row r="198" spans="2:10" ht="15" customHeight="1" x14ac:dyDescent="0.25">
      <c r="B198" s="263" t="s">
        <v>2848</v>
      </c>
      <c r="C198">
        <v>117816</v>
      </c>
      <c r="D198">
        <v>0</v>
      </c>
      <c r="I198">
        <v>117816</v>
      </c>
      <c r="J198">
        <v>0</v>
      </c>
    </row>
    <row r="199" spans="2:10" ht="15" customHeight="1" x14ac:dyDescent="0.25">
      <c r="B199" s="264">
        <v>7010</v>
      </c>
      <c r="C199">
        <v>117816</v>
      </c>
      <c r="D199">
        <v>0</v>
      </c>
      <c r="I199">
        <v>117816</v>
      </c>
      <c r="J199">
        <v>0</v>
      </c>
    </row>
    <row r="200" spans="2:10" ht="15" customHeight="1" x14ac:dyDescent="0.25">
      <c r="B200" s="263" t="s">
        <v>278</v>
      </c>
      <c r="C200">
        <v>-15004</v>
      </c>
      <c r="D200">
        <v>0</v>
      </c>
      <c r="I200">
        <v>-15004</v>
      </c>
      <c r="J200">
        <v>0</v>
      </c>
    </row>
    <row r="201" spans="2:10" ht="15" customHeight="1" x14ac:dyDescent="0.25">
      <c r="B201" s="264">
        <v>6400</v>
      </c>
      <c r="C201">
        <v>-15004</v>
      </c>
      <c r="D201">
        <v>0</v>
      </c>
      <c r="I201">
        <v>-15004</v>
      </c>
      <c r="J201">
        <v>0</v>
      </c>
    </row>
    <row r="202" spans="2:10" ht="15" customHeight="1" x14ac:dyDescent="0.25">
      <c r="B202" s="261" t="s">
        <v>33</v>
      </c>
      <c r="C202">
        <v>192472</v>
      </c>
      <c r="D202">
        <v>-25233</v>
      </c>
      <c r="I202">
        <v>192472</v>
      </c>
      <c r="J202">
        <v>-25233</v>
      </c>
    </row>
    <row r="203" spans="2:10" ht="15" customHeight="1" x14ac:dyDescent="0.25">
      <c r="B203" s="262" t="s">
        <v>1428</v>
      </c>
      <c r="C203">
        <v>192472</v>
      </c>
      <c r="D203">
        <v>-25233</v>
      </c>
      <c r="I203">
        <v>192472</v>
      </c>
      <c r="J203">
        <v>-25233</v>
      </c>
    </row>
    <row r="204" spans="2:10" ht="15" customHeight="1" x14ac:dyDescent="0.25">
      <c r="B204" s="263" t="s">
        <v>2850</v>
      </c>
      <c r="C204">
        <v>-78336</v>
      </c>
      <c r="D204">
        <v>-25233</v>
      </c>
      <c r="I204">
        <v>-78336</v>
      </c>
      <c r="J204">
        <v>-25233</v>
      </c>
    </row>
    <row r="205" spans="2:10" ht="15" customHeight="1" x14ac:dyDescent="0.25">
      <c r="B205" s="264">
        <v>6010</v>
      </c>
      <c r="C205">
        <v>-78336</v>
      </c>
      <c r="D205">
        <v>-25233</v>
      </c>
      <c r="I205">
        <v>-78336</v>
      </c>
      <c r="J205">
        <v>-25233</v>
      </c>
    </row>
    <row r="206" spans="2:10" ht="15" customHeight="1" x14ac:dyDescent="0.25">
      <c r="B206" s="263" t="s">
        <v>2848</v>
      </c>
      <c r="C206">
        <v>314584</v>
      </c>
      <c r="D206">
        <v>0</v>
      </c>
      <c r="I206">
        <v>314584</v>
      </c>
      <c r="J206">
        <v>0</v>
      </c>
    </row>
    <row r="207" spans="2:10" ht="15" customHeight="1" x14ac:dyDescent="0.25">
      <c r="B207" s="264">
        <v>7010</v>
      </c>
      <c r="C207">
        <v>314584</v>
      </c>
      <c r="D207">
        <v>0</v>
      </c>
      <c r="I207">
        <v>314584</v>
      </c>
      <c r="J207">
        <v>0</v>
      </c>
    </row>
    <row r="208" spans="2:10" ht="15" customHeight="1" x14ac:dyDescent="0.25">
      <c r="B208" s="263" t="s">
        <v>278</v>
      </c>
      <c r="C208">
        <v>-43776</v>
      </c>
      <c r="D208">
        <v>0</v>
      </c>
      <c r="I208">
        <v>-43776</v>
      </c>
      <c r="J208">
        <v>0</v>
      </c>
    </row>
    <row r="209" spans="2:10" ht="15" customHeight="1" x14ac:dyDescent="0.25">
      <c r="B209" s="264">
        <v>6400</v>
      </c>
      <c r="C209">
        <v>-43776</v>
      </c>
      <c r="D209">
        <v>0</v>
      </c>
      <c r="I209">
        <v>-43776</v>
      </c>
      <c r="J209">
        <v>0</v>
      </c>
    </row>
    <row r="210" spans="2:10" ht="15" customHeight="1" x14ac:dyDescent="0.25">
      <c r="B210" s="261" t="s">
        <v>35</v>
      </c>
      <c r="C210">
        <v>208290</v>
      </c>
      <c r="D210">
        <v>-87750</v>
      </c>
      <c r="I210">
        <v>208290</v>
      </c>
      <c r="J210">
        <v>-87750</v>
      </c>
    </row>
    <row r="211" spans="2:10" ht="15" customHeight="1" x14ac:dyDescent="0.25">
      <c r="B211" s="262" t="s">
        <v>1428</v>
      </c>
      <c r="C211">
        <v>215505</v>
      </c>
      <c r="D211">
        <v>-87750</v>
      </c>
      <c r="I211">
        <v>215505</v>
      </c>
      <c r="J211">
        <v>-87750</v>
      </c>
    </row>
    <row r="212" spans="2:10" ht="15" customHeight="1" x14ac:dyDescent="0.25">
      <c r="B212" s="263" t="s">
        <v>2850</v>
      </c>
      <c r="C212">
        <v>-85100</v>
      </c>
      <c r="D212">
        <v>-87750</v>
      </c>
      <c r="I212">
        <v>-85100</v>
      </c>
      <c r="J212">
        <v>-87750</v>
      </c>
    </row>
    <row r="213" spans="2:10" ht="15" customHeight="1" x14ac:dyDescent="0.25">
      <c r="B213" s="264">
        <v>6010</v>
      </c>
      <c r="C213">
        <v>-85100</v>
      </c>
      <c r="D213">
        <v>-87750</v>
      </c>
      <c r="I213">
        <v>-85100</v>
      </c>
      <c r="J213">
        <v>-87750</v>
      </c>
    </row>
    <row r="214" spans="2:10" ht="15" customHeight="1" x14ac:dyDescent="0.25">
      <c r="B214" s="263" t="s">
        <v>2848</v>
      </c>
      <c r="C214">
        <v>348705</v>
      </c>
      <c r="D214">
        <v>0</v>
      </c>
      <c r="I214">
        <v>348705</v>
      </c>
      <c r="J214">
        <v>0</v>
      </c>
    </row>
    <row r="215" spans="2:10" ht="15" customHeight="1" x14ac:dyDescent="0.25">
      <c r="B215" s="264">
        <v>7010</v>
      </c>
      <c r="C215">
        <v>348705</v>
      </c>
      <c r="D215">
        <v>0</v>
      </c>
      <c r="I215">
        <v>348705</v>
      </c>
      <c r="J215">
        <v>0</v>
      </c>
    </row>
    <row r="216" spans="2:10" ht="15" customHeight="1" x14ac:dyDescent="0.25">
      <c r="B216" s="263" t="s">
        <v>278</v>
      </c>
      <c r="C216">
        <v>-48100</v>
      </c>
      <c r="D216">
        <v>0</v>
      </c>
      <c r="I216">
        <v>-48100</v>
      </c>
      <c r="J216">
        <v>0</v>
      </c>
    </row>
    <row r="217" spans="2:10" ht="15" customHeight="1" x14ac:dyDescent="0.25">
      <c r="B217" s="264">
        <v>6400</v>
      </c>
      <c r="C217">
        <v>-48100</v>
      </c>
      <c r="D217">
        <v>0</v>
      </c>
      <c r="I217">
        <v>-48100</v>
      </c>
      <c r="J217">
        <v>0</v>
      </c>
    </row>
    <row r="218" spans="2:10" ht="15" customHeight="1" x14ac:dyDescent="0.25">
      <c r="B218" s="262" t="s">
        <v>1440</v>
      </c>
      <c r="C218">
        <v>-7215</v>
      </c>
      <c r="D218">
        <v>0</v>
      </c>
      <c r="I218">
        <v>-7215</v>
      </c>
      <c r="J218">
        <v>0</v>
      </c>
    </row>
    <row r="219" spans="2:10" ht="15" customHeight="1" x14ac:dyDescent="0.25">
      <c r="B219" s="263" t="s">
        <v>2952</v>
      </c>
      <c r="C219">
        <v>-7215</v>
      </c>
      <c r="D219">
        <v>0</v>
      </c>
      <c r="I219">
        <v>-7215</v>
      </c>
      <c r="J219">
        <v>0</v>
      </c>
    </row>
    <row r="220" spans="2:10" ht="15" customHeight="1" x14ac:dyDescent="0.25">
      <c r="B220" s="264">
        <v>6610</v>
      </c>
      <c r="C220">
        <v>-7215</v>
      </c>
      <c r="D220">
        <v>0</v>
      </c>
      <c r="I220">
        <v>-7215</v>
      </c>
      <c r="J220">
        <v>0</v>
      </c>
    </row>
    <row r="221" spans="2:10" ht="15" customHeight="1" x14ac:dyDescent="0.25">
      <c r="B221" s="261" t="s">
        <v>3099</v>
      </c>
      <c r="C221">
        <v>1025758</v>
      </c>
      <c r="D221">
        <v>-219599</v>
      </c>
      <c r="E221">
        <v>256500</v>
      </c>
      <c r="F221">
        <v>0</v>
      </c>
      <c r="G221">
        <v>304950</v>
      </c>
      <c r="H221">
        <v>0</v>
      </c>
      <c r="I221">
        <v>1587208</v>
      </c>
      <c r="J221">
        <v>-219599</v>
      </c>
    </row>
    <row r="222" spans="2:10" ht="15" customHeight="1" x14ac:dyDescent="0.25"/>
    <row r="223" spans="2:10" ht="15" customHeight="1" x14ac:dyDescent="0.25"/>
    <row r="224" spans="2:10" ht="15" customHeight="1" x14ac:dyDescent="0.25"/>
    <row r="225" spans="2:24" ht="21.95" customHeight="1" x14ac:dyDescent="0.25">
      <c r="B225" s="271" t="s">
        <v>3127</v>
      </c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</row>
    <row r="226" spans="2:24" ht="14.1" customHeight="1" x14ac:dyDescent="0.25">
      <c r="B226" s="257" t="s">
        <v>2474</v>
      </c>
      <c r="C226" s="236" t="s">
        <v>3128</v>
      </c>
      <c r="D226" s="236" t="s">
        <v>16</v>
      </c>
      <c r="E226" s="236" t="s">
        <v>3124</v>
      </c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</row>
    <row r="227" spans="2:24" ht="14.1" customHeight="1" x14ac:dyDescent="0.25">
      <c r="B227" s="272" t="s">
        <v>3125</v>
      </c>
      <c r="C227" s="208" t="s">
        <v>3129</v>
      </c>
      <c r="D227" s="208" t="s">
        <v>3130</v>
      </c>
      <c r="E227" s="208" t="s">
        <v>3126</v>
      </c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</row>
    <row r="228" spans="2:24" ht="14.1" customHeight="1" x14ac:dyDescent="0.25">
      <c r="B228" s="273" t="s">
        <v>2828</v>
      </c>
      <c r="C228" s="255" t="s">
        <v>3131</v>
      </c>
      <c r="D228" s="255" t="s">
        <v>2852</v>
      </c>
      <c r="E228" s="255" t="s">
        <v>3126</v>
      </c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</row>
    <row r="229" spans="2:24" ht="14.1" customHeight="1" x14ac:dyDescent="0.25">
      <c r="B229" s="272" t="s">
        <v>785</v>
      </c>
      <c r="C229" s="208" t="s">
        <v>3132</v>
      </c>
      <c r="D229" s="208" t="s">
        <v>2798</v>
      </c>
      <c r="E229" s="208" t="s">
        <v>3126</v>
      </c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</row>
    <row r="230" spans="2:24" ht="14.1" customHeight="1" x14ac:dyDescent="0.25">
      <c r="B230" s="273" t="s">
        <v>3133</v>
      </c>
      <c r="C230" s="255" t="s">
        <v>3134</v>
      </c>
      <c r="D230" s="255" t="s">
        <v>3135</v>
      </c>
      <c r="E230" s="274">
        <v>0</v>
      </c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</row>
    <row r="231" spans="2:24" ht="14.1" customHeight="1" x14ac:dyDescent="0.25">
      <c r="B231" s="272" t="s">
        <v>3136</v>
      </c>
      <c r="C231" s="208" t="s">
        <v>3137</v>
      </c>
      <c r="D231" s="208" t="s">
        <v>3138</v>
      </c>
      <c r="E231" s="208" t="s">
        <v>3126</v>
      </c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</row>
    <row r="232" spans="2:24" ht="14.1" customHeight="1" x14ac:dyDescent="0.25">
      <c r="B232" s="273" t="s">
        <v>3139</v>
      </c>
      <c r="C232" s="255" t="s">
        <v>3140</v>
      </c>
      <c r="D232" s="255" t="s">
        <v>3141</v>
      </c>
      <c r="E232" s="255" t="s">
        <v>3126</v>
      </c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</row>
    <row r="233" spans="2:24" ht="14.1" customHeight="1" x14ac:dyDescent="0.25">
      <c r="B233" s="272" t="s">
        <v>3142</v>
      </c>
      <c r="C233" s="208" t="s">
        <v>3143</v>
      </c>
      <c r="D233" s="208" t="s">
        <v>3144</v>
      </c>
      <c r="E233" s="208" t="s">
        <v>3126</v>
      </c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</row>
    <row r="234" spans="2:24" ht="14.1" customHeight="1" x14ac:dyDescent="0.25">
      <c r="B234" s="273" t="s">
        <v>3145</v>
      </c>
      <c r="C234" s="255" t="s">
        <v>3146</v>
      </c>
      <c r="D234" s="255" t="s">
        <v>3147</v>
      </c>
      <c r="E234" s="255" t="s">
        <v>3126</v>
      </c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</row>
    <row r="235" spans="2:24" ht="14.1" customHeight="1" x14ac:dyDescent="0.25">
      <c r="B235" s="272" t="s">
        <v>3148</v>
      </c>
      <c r="C235" s="208" t="s">
        <v>3149</v>
      </c>
      <c r="D235" s="208" t="s">
        <v>3150</v>
      </c>
      <c r="E235" s="208">
        <v>0</v>
      </c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</row>
    <row r="236" spans="2:24" ht="14.1" customHeight="1" x14ac:dyDescent="0.25">
      <c r="B236" s="273" t="s">
        <v>3151</v>
      </c>
      <c r="C236" s="255" t="s">
        <v>3152</v>
      </c>
      <c r="D236" s="255" t="s">
        <v>3153</v>
      </c>
      <c r="E236" s="274">
        <v>0</v>
      </c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</row>
    <row r="237" spans="2:24" ht="14.1" customHeight="1" x14ac:dyDescent="0.25">
      <c r="B237" s="272" t="s">
        <v>3154</v>
      </c>
      <c r="C237" s="208" t="s">
        <v>3155</v>
      </c>
      <c r="D237" s="208" t="s">
        <v>3156</v>
      </c>
      <c r="E237" s="230">
        <v>0</v>
      </c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</row>
    <row r="238" spans="2:24" ht="14.1" customHeight="1" x14ac:dyDescent="0.25">
      <c r="B238" s="273" t="s">
        <v>3157</v>
      </c>
      <c r="C238" s="255" t="s">
        <v>3158</v>
      </c>
      <c r="D238" s="255" t="s">
        <v>3159</v>
      </c>
      <c r="E238" s="255" t="s">
        <v>3126</v>
      </c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</row>
    <row r="239" spans="2:24" ht="14.1" customHeight="1" x14ac:dyDescent="0.25">
      <c r="B239" s="272" t="s">
        <v>3160</v>
      </c>
      <c r="C239" s="208" t="s">
        <v>3161</v>
      </c>
      <c r="D239" s="208" t="s">
        <v>3162</v>
      </c>
      <c r="E239" s="208" t="s">
        <v>3126</v>
      </c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</row>
    <row r="240" spans="2:24" ht="14.1" customHeight="1" x14ac:dyDescent="0.25">
      <c r="B240" s="273" t="s">
        <v>3163</v>
      </c>
      <c r="C240" s="255" t="s">
        <v>3164</v>
      </c>
      <c r="D240" s="255" t="s">
        <v>3165</v>
      </c>
      <c r="E240" s="255" t="s">
        <v>3126</v>
      </c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</row>
    <row r="241" spans="2:24" ht="14.1" customHeight="1" x14ac:dyDescent="0.25">
      <c r="B241" s="272" t="s">
        <v>3166</v>
      </c>
      <c r="C241" s="208" t="s">
        <v>3167</v>
      </c>
      <c r="D241" s="208" t="s">
        <v>3168</v>
      </c>
      <c r="E241" s="208" t="s">
        <v>3169</v>
      </c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</row>
    <row r="242" spans="2:24" ht="14.1" customHeight="1" x14ac:dyDescent="0.25">
      <c r="B242" s="273" t="s">
        <v>3170</v>
      </c>
      <c r="C242" s="255" t="s">
        <v>3171</v>
      </c>
      <c r="D242" s="255" t="s">
        <v>3172</v>
      </c>
      <c r="E242" s="274">
        <v>0</v>
      </c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</row>
    <row r="243" spans="2:24" ht="14.1" customHeight="1" x14ac:dyDescent="0.25">
      <c r="B243" s="272" t="s">
        <v>3173</v>
      </c>
      <c r="C243" s="208" t="s">
        <v>3174</v>
      </c>
      <c r="D243" s="208" t="s">
        <v>3175</v>
      </c>
      <c r="E243" s="208" t="s">
        <v>3176</v>
      </c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</row>
    <row r="244" spans="2:24" ht="15" customHeight="1" x14ac:dyDescent="0.25"/>
    <row r="245" spans="2:24" ht="21.95" customHeight="1" x14ac:dyDescent="0.25">
      <c r="B245" s="294" t="s">
        <v>3177</v>
      </c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</row>
    <row r="246" spans="2:24" ht="15" customHeight="1" x14ac:dyDescent="0.25"/>
    <row r="247" spans="2:24" ht="15" customHeight="1" x14ac:dyDescent="0.25"/>
    <row r="248" spans="2:24" ht="15" customHeight="1" x14ac:dyDescent="0.25"/>
    <row r="249" spans="2:24" ht="15" customHeight="1" x14ac:dyDescent="0.25"/>
    <row r="250" spans="2:24" ht="15" customHeight="1" x14ac:dyDescent="0.25"/>
    <row r="251" spans="2:24" ht="15" customHeight="1" x14ac:dyDescent="0.25"/>
    <row r="252" spans="2:24" ht="15" customHeight="1" x14ac:dyDescent="0.25"/>
    <row r="253" spans="2:24" ht="15" customHeight="1" x14ac:dyDescent="0.25"/>
    <row r="254" spans="2:24" ht="15" customHeight="1" x14ac:dyDescent="0.25"/>
    <row r="255" spans="2:24" ht="15" customHeight="1" x14ac:dyDescent="0.25"/>
    <row r="256" spans="2:24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</sheetData>
  <mergeCells count="74">
    <mergeCell ref="B76:X76"/>
    <mergeCell ref="B41:X41"/>
    <mergeCell ref="H38:L38"/>
    <mergeCell ref="H39:L39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H33:L33"/>
    <mergeCell ref="H34:L34"/>
    <mergeCell ref="H35:L35"/>
    <mergeCell ref="H36:L36"/>
    <mergeCell ref="H37:L37"/>
    <mergeCell ref="H28:L28"/>
    <mergeCell ref="H29:L29"/>
    <mergeCell ref="H30:L30"/>
    <mergeCell ref="H31:L31"/>
    <mergeCell ref="H32:L32"/>
    <mergeCell ref="B23:L23"/>
    <mergeCell ref="M23:X23"/>
    <mergeCell ref="H25:L25"/>
    <mergeCell ref="H26:L26"/>
    <mergeCell ref="H27:L27"/>
    <mergeCell ref="H24:L24"/>
    <mergeCell ref="U16:X16"/>
    <mergeCell ref="U17:X17"/>
    <mergeCell ref="U18:X18"/>
    <mergeCell ref="U19:X19"/>
    <mergeCell ref="U20:X20"/>
    <mergeCell ref="U11:X11"/>
    <mergeCell ref="U12:X12"/>
    <mergeCell ref="U13:X13"/>
    <mergeCell ref="U14:X14"/>
    <mergeCell ref="U15:X15"/>
    <mergeCell ref="P8:Q8"/>
    <mergeCell ref="R8:T8"/>
    <mergeCell ref="U8:X8"/>
    <mergeCell ref="B9:L9"/>
    <mergeCell ref="M9:X9"/>
    <mergeCell ref="B8:C8"/>
    <mergeCell ref="D8:E8"/>
    <mergeCell ref="F8:G8"/>
    <mergeCell ref="H8:I8"/>
    <mergeCell ref="J8:K8"/>
    <mergeCell ref="L8:M8"/>
    <mergeCell ref="N8:O8"/>
    <mergeCell ref="B1:X1"/>
    <mergeCell ref="B2:X2"/>
    <mergeCell ref="B3:E3"/>
    <mergeCell ref="F3:I3"/>
    <mergeCell ref="J3:M3"/>
    <mergeCell ref="N3:Q3"/>
    <mergeCell ref="R3:X3"/>
    <mergeCell ref="B4:X4"/>
    <mergeCell ref="B5:E5"/>
    <mergeCell ref="F5:I5"/>
    <mergeCell ref="J5:M5"/>
    <mergeCell ref="N5:Q5"/>
    <mergeCell ref="R5:X5"/>
    <mergeCell ref="B6:E6"/>
    <mergeCell ref="F6:I6"/>
    <mergeCell ref="J6:M6"/>
    <mergeCell ref="N6:Q6"/>
    <mergeCell ref="R6:X6"/>
    <mergeCell ref="B7:E7"/>
    <mergeCell ref="F7:I7"/>
    <mergeCell ref="J7:M7"/>
    <mergeCell ref="N7:Q7"/>
    <mergeCell ref="R7:X7"/>
  </mergeCells>
  <conditionalFormatting sqref="P11:P20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W25:W33">
    <cfRule type="containsText" dxfId="0" priority="3" operator="containsText" text="Conforme">
      <formula>NOT(ISERROR(SEARCH("Conforme",W25)))</formula>
    </cfRule>
  </conditionalFormatting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39</vt:i4>
      </vt:variant>
      <vt:variant>
        <vt:lpstr>Plages nommées</vt:lpstr>
      </vt:variant>
      <vt:variant>
        <vt:i4>9</vt:i4>
      </vt:variant>
    </vt:vector>
  </HeadingPairs>
  <TitlesOfParts>
    <vt:vector size="48" baseType="lpstr">
      <vt:lpstr>HOME</vt:lpstr>
      <vt:lpstr>GUIDE_DÉMARRAGE</vt:lpstr>
      <vt:lpstr>GUIDE</vt:lpstr>
      <vt:lpstr>Méthodologie &amp; Pédagogie</vt:lpstr>
      <vt:lpstr>FR_ParentCo</vt:lpstr>
      <vt:lpstr>DE_Filiale</vt:lpstr>
      <vt:lpstr>UK_Filiale</vt:lpstr>
      <vt:lpstr>US_Filiale</vt:lpstr>
      <vt:lpstr>SG_Filiale</vt:lpstr>
      <vt:lpstr>ELIM</vt:lpstr>
      <vt:lpstr>CONSOL_BILAN</vt:lpstr>
      <vt:lpstr>CONSOL_CR</vt:lpstr>
      <vt:lpstr>CONSOL_TRESORERIE</vt:lpstr>
      <vt:lpstr>IFRS18_MAPPING</vt:lpstr>
      <vt:lpstr>NOTES_IFRS</vt:lpstr>
      <vt:lpstr>ESG_DATA</vt:lpstr>
      <vt:lpstr>CSRD_RAPPORT</vt:lpstr>
      <vt:lpstr>DASHBOARD_FIN</vt:lpstr>
      <vt:lpstr>DASHBOARD_ESG</vt:lpstr>
      <vt:lpstr>SRC_FR</vt:lpstr>
      <vt:lpstr>SRC_DE</vt:lpstr>
      <vt:lpstr>SRC_UK</vt:lpstr>
      <vt:lpstr>SRC_US</vt:lpstr>
      <vt:lpstr>SRC_SG</vt:lpstr>
      <vt:lpstr>PQ_MAPPING</vt:lpstr>
      <vt:lpstr>PQ_CODE</vt:lpstr>
      <vt:lpstr>BALANCES_PQ</vt:lpstr>
      <vt:lpstr>PQ_TAUX_CHANGE</vt:lpstr>
      <vt:lpstr>PQ_DETENTION</vt:lpstr>
      <vt:lpstr>PQ_ELIMINATIONS</vt:lpstr>
      <vt:lpstr>PQ_DAX_MESURES</vt:lpstr>
      <vt:lpstr>PQ_M_AVANCE</vt:lpstr>
      <vt:lpstr>FORMULES_LIAISON</vt:lpstr>
      <vt:lpstr>ESG_CARBONE</vt:lpstr>
      <vt:lpstr>ESG_DIVERSITE</vt:lpstr>
      <vt:lpstr>ESG_MAPPING</vt:lpstr>
      <vt:lpstr>ESG_DAX</vt:lpstr>
      <vt:lpstr>ESG_DASHBOARD_LINK</vt:lpstr>
      <vt:lpstr>DASHBOARD</vt:lpstr>
      <vt:lpstr>CA_Groupe</vt:lpstr>
      <vt:lpstr>EBIT_Groupe</vt:lpstr>
      <vt:lpstr>EBITDA_Groupe</vt:lpstr>
      <vt:lpstr>Marge_EBIT_Groupe</vt:lpstr>
      <vt:lpstr>Marge_EBITDA_Groupe</vt:lpstr>
      <vt:lpstr>RN_Groupe</vt:lpstr>
      <vt:lpstr>Taux_GBP_Cloture</vt:lpstr>
      <vt:lpstr>Taux_SGD_Cloture</vt:lpstr>
      <vt:lpstr>Taux_USD_Cloture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Labeaut</dc:creator>
  <cp:lastModifiedBy>Ludovic Labeaut</cp:lastModifiedBy>
  <dcterms:created xsi:type="dcterms:W3CDTF">2026-02-27T18:39:46Z</dcterms:created>
  <dcterms:modified xsi:type="dcterms:W3CDTF">2026-03-03T11:28:13Z</dcterms:modified>
</cp:coreProperties>
</file>